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Entwuerfe" sheetId="4" state="visible" r:id="rId4"/>
    <sheet name="AltNeu" sheetId="5" state="visible" r:id="rId5"/>
    <sheet name="Preisfit" sheetId="6" state="visible" r:id="rId6"/>
    <sheet name="FitAbweichungen" sheetId="7" state="visible" r:id="rId7"/>
  </sheets>
  <definedNames>
    <definedName name="ComponentIDs">'Bausteine'!$A$2:$A$33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I33" headerRowCount="1">
  <autoFilter ref="A1:AI33"/>
  <tableColumns count="35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</tableColumns>
  <tableStyleInfo name="TableStyleMedium2" showRowStripes="1"/>
</table>
</file>

<file path=xl/tables/table3.xml><?xml version="1.0" encoding="utf-8"?>
<table xmlns="http://schemas.openxmlformats.org/spreadsheetml/2006/main" id="3" name="Designs" displayName="Designs" ref="A1:AB27" headerRowCount="1">
  <autoFilter ref="A1:AB27"/>
  <tableColumns count="28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</tableColumns>
  <tableStyleInfo name="TableStyleMedium2" showRowStripes="1"/>
</table>
</file>

<file path=xl/tables/table4.xml><?xml version="1.0" encoding="utf-8"?>
<table xmlns="http://schemas.openxmlformats.org/spreadsheetml/2006/main" id="4" name="Comparison" displayName="Comparison" ref="A1:N22" headerRowCount="1">
  <autoFilter ref="A1:N22"/>
  <tableColumns count="14">
    <tableColumn id="1" name="Design"/>
    <tableColumn id="2" name="Preis alt"/>
    <tableColumn id="3" name="Hardware neu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5.xml><?xml version="1.0" encoding="utf-8"?>
<table xmlns="http://schemas.openxmlformats.org/spreadsheetml/2006/main" id="5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6.xml><?xml version="1.0" encoding="utf-8"?>
<table xmlns="http://schemas.openxmlformats.org/spreadsheetml/2006/main" id="6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Entwuerfe nutzen noch die günstigere Chassisvariante. Prozentfertigung wird nur im Preisfit untersucht.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 und Montage weiterhin im Python-Rechner prüfen.</t>
        </is>
      </c>
    </row>
    <row r="11">
      <c r="A11" t="inlineStr">
        <is>
          <t>Momentaufnahme</t>
        </is>
      </c>
      <c r="B11" t="inlineStr">
        <is>
          <t>Python-Werte und Preisfit sind statisch. Änderungen in Excel aktualisieren nur die Formelspalten.</t>
        </is>
      </c>
    </row>
    <row r="12">
      <c r="A12" t="inlineStr">
        <is>
          <t>Genauigkeit</t>
        </is>
      </c>
      <c r="B12" t="inlineStr">
        <is>
          <t>CP/Tier sind unabhängig; 1% Abweichung kann akzeptabel sein. Preisfit ist kein Beweis des CP-Wertes.</t>
        </is>
      </c>
    </row>
    <row r="13">
      <c r="A13" t="inlineStr">
        <is>
          <t>Branches</t>
        </is>
      </c>
      <c r="B13" t="inlineStr">
        <is>
          <t>Game modular: tournament-bot integriert in 9d8a9dec; master nicht zusätzlich gemergt.</t>
        </is>
      </c>
    </row>
    <row r="14">
      <c r="A14" t="inlineStr">
        <is>
          <t>Merge</t>
        </is>
      </c>
      <c r="B14" t="inlineStr">
        <is>
          <t>Engine modular-engine: 484afea27c kombiniert Isometric und Tournament.</t>
        </is>
      </c>
    </row>
    <row r="15">
      <c r="A15" t="inlineStr">
        <is>
          <t>Referenzbedingungen</t>
        </is>
      </c>
      <c r="B15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</row>
    <row r="2">
      <c r="A2" t="inlineStr">
        <is>
          <t>battlemaster</t>
        </is>
      </c>
      <c r="B2" t="inlineStr">
        <is>
          <t>chassis</t>
        </is>
      </c>
      <c r="C2" t="inlineStr">
        <is>
          <t>["china"]</t>
        </is>
      </c>
      <c r="D2" t="n">
        <v>1</v>
      </c>
      <c r="E2" t="n">
        <v>0</v>
      </c>
      <c r="F2" t="n">
        <v>1</v>
      </c>
      <c r="G2" t="n">
        <v>500</v>
      </c>
      <c r="H2" t="n">
        <v>8000</v>
      </c>
      <c r="I2" t="n">
        <v>10</v>
      </c>
      <c r="J2" t="n">
        <v>0</v>
      </c>
      <c r="K2" t="n">
        <v>0</v>
      </c>
      <c r="L2" t="n">
        <v>0</v>
      </c>
      <c r="M2" t="n">
        <v>40000</v>
      </c>
      <c r="N2" t="inlineStr"/>
      <c r="O2" t="n">
        <v>0</v>
      </c>
      <c r="P2" t="n">
        <v>0</v>
      </c>
      <c r="Q2" t="n">
        <v>0</v>
      </c>
      <c r="R2" t="n">
        <v>10000</v>
      </c>
      <c r="S2" t="n">
        <v>460</v>
      </c>
      <c r="T2" t="n">
        <v>100</v>
      </c>
      <c r="U2" t="n">
        <v>125</v>
      </c>
      <c r="V2" t="n">
        <v>18000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inlineStr">
        <is>
          <t>{"carrier": ["cannon-turret", "autoloader-turret"], "drive": ["diesel", "diesel-large", "nuclear"]}</t>
        </is>
      </c>
      <c r="AG2" t="inlineStr">
        <is>
          <t>["pdl"]</t>
        </is>
      </c>
      <c r="AH2" t="inlineStr"/>
      <c r="AI2" t="inlineStr"/>
    </row>
    <row r="3">
      <c r="A3" t="inlineStr">
        <is>
          <t>battlemaster-mass-produced</t>
        </is>
      </c>
      <c r="B3" t="inlineStr">
        <is>
          <t>chassis</t>
        </is>
      </c>
      <c r="C3" t="inlineStr">
        <is>
          <t>["china"]</t>
        </is>
      </c>
      <c r="D3" t="n">
        <v>1</v>
      </c>
      <c r="E3" t="n">
        <v>1</v>
      </c>
      <c r="F3" t="n">
        <v>1</v>
      </c>
      <c r="G3" t="n">
        <v>450</v>
      </c>
      <c r="H3" t="n">
        <v>8000</v>
      </c>
      <c r="I3" t="n">
        <v>10</v>
      </c>
      <c r="J3" t="n">
        <v>0</v>
      </c>
      <c r="K3" t="n">
        <v>0</v>
      </c>
      <c r="L3" t="n">
        <v>0</v>
      </c>
      <c r="M3" t="n">
        <v>40000</v>
      </c>
      <c r="N3" t="inlineStr"/>
      <c r="O3" t="n">
        <v>0</v>
      </c>
      <c r="P3" t="n">
        <v>0</v>
      </c>
      <c r="Q3" t="n">
        <v>0</v>
      </c>
      <c r="R3" t="n">
        <v>10000</v>
      </c>
      <c r="S3" t="n">
        <v>460</v>
      </c>
      <c r="T3" t="n">
        <v>100</v>
      </c>
      <c r="U3" t="n">
        <v>125</v>
      </c>
      <c r="V3" t="n">
        <v>18000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Experimental manufacturing variant of same chassis. 50-credit hardware saving plus global 300/CP fits base 600. No discount to other components. Reuses Battlemaster artwork; not a new physical chassis.</t>
        </is>
      </c>
      <c r="AE3" t="inlineStr"/>
      <c r="AF3" t="inlineStr">
        <is>
          <t>{"carrier": ["cannon-turret", "autoloader-turret"], "drive": ["diesel", "diesel-large", "nuclear"]}</t>
        </is>
      </c>
      <c r="AG3" t="inlineStr">
        <is>
          <t>["pdl"]</t>
        </is>
      </c>
      <c r="AH3" t="inlineStr"/>
      <c r="AI3" t="inlineStr"/>
    </row>
    <row r="4">
      <c r="A4" t="inlineStr">
        <is>
          <t>dragon-chassis</t>
        </is>
      </c>
      <c r="B4" t="inlineStr">
        <is>
          <t>chassis</t>
        </is>
      </c>
      <c r="C4" t="inlineStr">
        <is>
          <t>["china"]</t>
        </is>
      </c>
      <c r="D4" t="n">
        <v>1</v>
      </c>
      <c r="E4" t="n">
        <v>0</v>
      </c>
      <c r="F4" t="n">
        <v>1</v>
      </c>
      <c r="G4" t="n">
        <v>250</v>
      </c>
      <c r="H4" t="n">
        <v>6500</v>
      </c>
      <c r="I4" t="n">
        <v>10</v>
      </c>
      <c r="J4" t="n">
        <v>0</v>
      </c>
      <c r="K4" t="n">
        <v>0</v>
      </c>
      <c r="L4" t="n">
        <v>0</v>
      </c>
      <c r="M4" t="n">
        <v>28000</v>
      </c>
      <c r="N4" t="inlineStr"/>
      <c r="O4" t="n">
        <v>0</v>
      </c>
      <c r="P4" t="n">
        <v>0</v>
      </c>
      <c r="Q4" t="n">
        <v>0</v>
      </c>
      <c r="R4" t="n">
        <v>8000</v>
      </c>
      <c r="S4" t="n">
        <v>460</v>
      </c>
      <c r="T4" t="n">
        <v>103</v>
      </c>
      <c r="U4" t="n">
        <v>125</v>
      </c>
      <c r="V4" t="n">
        <v>14000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Base price/HP/speed fitted. Firewall deploy behavior and Black Napalm remain source references, not implemented.</t>
        </is>
      </c>
      <c r="AE4" t="inlineStr">
        <is>
          <t>chdragon</t>
        </is>
      </c>
      <c r="AF4" t="inlineStr">
        <is>
          <t>{"carrier": ["flame-turret"], "drive": ["diesel", "diesel-large"]}</t>
        </is>
      </c>
      <c r="AG4" t="inlineStr">
        <is>
          <t>["pdl"]</t>
        </is>
      </c>
      <c r="AH4" t="inlineStr"/>
      <c r="AI4" t="inlineStr"/>
    </row>
    <row r="5">
      <c r="A5" t="inlineStr">
        <is>
          <t>gatling-chassis</t>
        </is>
      </c>
      <c r="B5" t="inlineStr">
        <is>
          <t>chassis</t>
        </is>
      </c>
      <c r="C5" t="inlineStr">
        <is>
          <t>["china"]</t>
        </is>
      </c>
      <c r="D5" t="n">
        <v>1</v>
      </c>
      <c r="E5" t="n">
        <v>0</v>
      </c>
      <c r="F5" t="n">
        <v>1</v>
      </c>
      <c r="G5" t="n">
        <v>350</v>
      </c>
      <c r="H5" t="n">
        <v>7000</v>
      </c>
      <c r="I5" t="n">
        <v>10</v>
      </c>
      <c r="J5" t="n">
        <v>0</v>
      </c>
      <c r="K5" t="n">
        <v>0</v>
      </c>
      <c r="L5" t="n">
        <v>0</v>
      </c>
      <c r="M5" t="n">
        <v>30000</v>
      </c>
      <c r="N5" t="inlineStr"/>
      <c r="O5" t="n">
        <v>0</v>
      </c>
      <c r="P5" t="n">
        <v>0</v>
      </c>
      <c r="Q5" t="n">
        <v>0</v>
      </c>
      <c r="R5" t="n">
        <v>9000</v>
      </c>
      <c r="S5" t="n">
        <v>460</v>
      </c>
      <c r="T5" t="n">
        <v>108</v>
      </c>
      <c r="U5" t="n">
        <v>130</v>
      </c>
      <c r="V5" t="n">
        <v>16000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Legacy sight override 6c0; preserve as audit metadata, not a claim of standard sight equivalence. AA/ground spool-up not simulated.</t>
        </is>
      </c>
      <c r="AE5" t="inlineStr">
        <is>
          <t>chgtnk</t>
        </is>
      </c>
      <c r="AF5" t="inlineStr">
        <is>
          <t>{"carrier": ["gatling-turret"], "drive": ["diesel", "diesel-large"]}</t>
        </is>
      </c>
      <c r="AG5" t="inlineStr">
        <is>
          <t>["pdl"]</t>
        </is>
      </c>
      <c r="AH5" t="inlineStr"/>
      <c r="AI5" t="inlineStr"/>
    </row>
    <row r="6">
      <c r="A6" t="inlineStr">
        <is>
          <t>flame-turret</t>
        </is>
      </c>
      <c r="B6" t="inlineStr">
        <is>
          <t>carrier</t>
        </is>
      </c>
      <c r="C6" t="inlineStr">
        <is>
          <t>["china"]</t>
        </is>
      </c>
      <c r="D6" t="n">
        <v>0</v>
      </c>
      <c r="E6" t="n">
        <v>0</v>
      </c>
      <c r="F6" t="n">
        <v>1</v>
      </c>
      <c r="G6" t="n">
        <v>75</v>
      </c>
      <c r="H6" t="n">
        <v>400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</v>
      </c>
      <c r="Z6" t="n">
        <v>4</v>
      </c>
      <c r="AA6" t="n">
        <v>45</v>
      </c>
      <c r="AB6" t="n">
        <v>0</v>
      </c>
      <c r="AC6" t="n">
        <v>0</v>
      </c>
      <c r="AD6" t="inlineStr">
        <is>
          <t>Normal attack only; deployed Firewall has additional armaments and state changes.</t>
        </is>
      </c>
      <c r="AE6" t="inlineStr">
        <is>
          <t>CHDragonFlamer</t>
        </is>
      </c>
      <c r="AF6" t="inlineStr"/>
      <c r="AG6" t="inlineStr"/>
      <c r="AH6" t="inlineStr">
        <is>
          <t>["dragon-flamer"]</t>
        </is>
      </c>
      <c r="AI6" t="inlineStr"/>
    </row>
    <row r="7">
      <c r="A7" t="inlineStr">
        <is>
          <t>dragon-flamer</t>
        </is>
      </c>
      <c r="B7" t="inlineStr">
        <is>
          <t>weapon</t>
        </is>
      </c>
      <c r="C7" t="inlineStr">
        <is>
          <t>["china"]</t>
        </is>
      </c>
      <c r="D7" t="n">
        <v>0</v>
      </c>
      <c r="E7" t="n">
        <v>0</v>
      </c>
      <c r="F7" t="n">
        <v>1</v>
      </c>
      <c r="G7" t="n">
        <v>125</v>
      </c>
      <c r="H7" t="n">
        <v>400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</v>
      </c>
      <c r="AC7" t="n">
        <v>0</v>
      </c>
      <c r="AD7" t="inlineStr"/>
      <c r="AE7" t="inlineStr">
        <is>
          <t>CHDragonFlamer</t>
        </is>
      </c>
      <c r="AF7" t="inlineStr"/>
      <c r="AG7" t="inlineStr"/>
      <c r="AH7" t="inlineStr"/>
      <c r="AI7" t="inlineStr">
        <is>
          <t>["flame-fuel"]</t>
        </is>
      </c>
    </row>
    <row r="8">
      <c r="A8" t="inlineStr">
        <is>
          <t>flame-fuel</t>
        </is>
      </c>
      <c r="B8" t="inlineStr">
        <is>
          <t>ammunition</t>
        </is>
      </c>
      <c r="C8" t="inlineStr">
        <is>
          <t>["china"]</t>
        </is>
      </c>
      <c r="D8" t="n">
        <v>0</v>
      </c>
      <c r="E8" t="n">
        <v>0</v>
      </c>
      <c r="F8" t="n">
        <v>1</v>
      </c>
      <c r="G8" t="n">
        <v>50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2500</v>
      </c>
      <c r="AD8" t="inlineStr">
        <is>
          <t>Raw primary warhead only; fire clusters, heat and garrison damage omitted from calculator.</t>
        </is>
      </c>
      <c r="AE8" t="inlineStr"/>
      <c r="AF8" t="inlineStr"/>
      <c r="AG8" t="inlineStr"/>
      <c r="AH8" t="inlineStr"/>
      <c r="AI8" t="inlineStr"/>
    </row>
    <row r="9">
      <c r="A9" t="inlineStr">
        <is>
          <t>gatling-turret</t>
        </is>
      </c>
      <c r="B9" t="inlineStr">
        <is>
          <t>carrier</t>
        </is>
      </c>
      <c r="C9" t="inlineStr">
        <is>
          <t>["china"]</t>
        </is>
      </c>
      <c r="D9" t="n">
        <v>0</v>
      </c>
      <c r="E9" t="n">
        <v>0</v>
      </c>
      <c r="F9" t="n">
        <v>1</v>
      </c>
      <c r="G9" t="n">
        <v>100</v>
      </c>
      <c r="H9" t="n">
        <v>500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12</v>
      </c>
      <c r="AB9" t="n">
        <v>0</v>
      </c>
      <c r="AC9" t="n">
        <v>0</v>
      </c>
      <c r="AD9" t="inlineStr">
        <is>
          <t>Ground cold-state representative only. Reload stages 12/8/4/2 ticks, separate air/ground charge, thresholds 1/3/5, reset delay 40. Full attack-state behavior not modeled.</t>
        </is>
      </c>
      <c r="AE9" t="inlineStr">
        <is>
          <t>^ChinaGatling</t>
        </is>
      </c>
      <c r="AF9" t="inlineStr"/>
      <c r="AG9" t="inlineStr"/>
      <c r="AH9" t="inlineStr">
        <is>
          <t>["gatling-gun"]</t>
        </is>
      </c>
      <c r="AI9" t="inlineStr"/>
    </row>
    <row r="10">
      <c r="A10" t="inlineStr">
        <is>
          <t>gatling-gun</t>
        </is>
      </c>
      <c r="B10" t="inlineStr">
        <is>
          <t>weapon</t>
        </is>
      </c>
      <c r="C10" t="inlineStr">
        <is>
          <t>["china"]</t>
        </is>
      </c>
      <c r="D10" t="n">
        <v>0</v>
      </c>
      <c r="E10" t="n">
        <v>0</v>
      </c>
      <c r="F10" t="n">
        <v>1</v>
      </c>
      <c r="G10" t="n">
        <v>150</v>
      </c>
      <c r="H10" t="n">
        <v>500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</v>
      </c>
      <c r="AC10" t="n">
        <v>0</v>
      </c>
      <c r="AD10" t="inlineStr">
        <is>
          <t>Ground range 6 cells; AA uses ChinaMGatt.0 with range 9.5. Not a single fixed weapon.</t>
        </is>
      </c>
      <c r="AE10" t="inlineStr">
        <is>
          <t>ChinaMGatt.0G</t>
        </is>
      </c>
      <c r="AF10" t="inlineStr"/>
      <c r="AG10" t="inlineStr"/>
      <c r="AH10" t="inlineStr"/>
      <c r="AI10" t="inlineStr">
        <is>
          <t>["gatling-rounds"]</t>
        </is>
      </c>
    </row>
    <row r="11">
      <c r="A11" t="inlineStr">
        <is>
          <t>gatling-rounds</t>
        </is>
      </c>
      <c r="B11" t="inlineStr">
        <is>
          <t>ammunition</t>
        </is>
      </c>
      <c r="C11" t="inlineStr">
        <is>
          <t>["china"]</t>
        </is>
      </c>
      <c r="D11" t="n">
        <v>0</v>
      </c>
      <c r="E11" t="n">
        <v>0</v>
      </c>
      <c r="F11" t="n">
        <v>1</v>
      </c>
      <c r="G11" t="n">
        <v>100</v>
      </c>
      <c r="H11" t="n">
        <v>400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350</v>
      </c>
      <c r="AD11" t="inlineStr">
        <is>
          <t>Raw ground damage 350; AA raw damage 660. Values are not DPS.</t>
        </is>
      </c>
      <c r="AE11" t="inlineStr"/>
      <c r="AF11" t="inlineStr"/>
      <c r="AG11" t="inlineStr"/>
      <c r="AH11" t="inlineStr"/>
      <c r="AI11" t="inlineStr"/>
    </row>
    <row r="12">
      <c r="A12" t="inlineStr">
        <is>
          <t>juggernaut</t>
        </is>
      </c>
      <c r="B12" t="inlineStr">
        <is>
          <t>chassis</t>
        </is>
      </c>
      <c r="C12" t="inlineStr">
        <is>
          <t>["gdi"]</t>
        </is>
      </c>
      <c r="D12" t="n">
        <v>3</v>
      </c>
      <c r="E12" t="n">
        <v>0</v>
      </c>
      <c r="F12" t="n">
        <v>3</v>
      </c>
      <c r="G12" t="n">
        <v>1100</v>
      </c>
      <c r="H12" t="n">
        <v>16000</v>
      </c>
      <c r="I12" t="n">
        <v>10</v>
      </c>
      <c r="J12" t="n">
        <v>0</v>
      </c>
      <c r="K12" t="n">
        <v>0</v>
      </c>
      <c r="L12" t="n">
        <v>0</v>
      </c>
      <c r="M12" t="n">
        <v>60000</v>
      </c>
      <c r="N12" t="inlineStr"/>
      <c r="O12" t="n">
        <v>0</v>
      </c>
      <c r="P12" t="n">
        <v>0</v>
      </c>
      <c r="Q12" t="n">
        <v>0</v>
      </c>
      <c r="R12" t="n">
        <v>20000</v>
      </c>
      <c r="S12" t="n">
        <v>460</v>
      </c>
      <c r="T12" t="n">
        <v>50</v>
      </c>
      <c r="U12" t="n">
        <v>50</v>
      </c>
      <c r="V12" t="n">
        <v>30000</v>
      </c>
      <c r="W12" t="n">
        <v>1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inlineStr">
        <is>
          <t>{"carrier": ["fixed-triple"], "drive": ["diesel"]}</t>
        </is>
      </c>
      <c r="AG12" t="inlineStr">
        <is>
          <t>[]</t>
        </is>
      </c>
      <c r="AH12" t="inlineStr"/>
      <c r="AI12" t="inlineStr"/>
    </row>
    <row r="13">
      <c r="A13" t="inlineStr">
        <is>
          <t>heavy-tesla</t>
        </is>
      </c>
      <c r="B13" t="inlineStr">
        <is>
          <t>chassis</t>
        </is>
      </c>
      <c r="C13" t="inlineStr">
        <is>
          <t>["soviet"]</t>
        </is>
      </c>
      <c r="D13" t="n">
        <v>2</v>
      </c>
      <c r="E13" t="n">
        <v>0</v>
      </c>
      <c r="F13" t="n">
        <v>2</v>
      </c>
      <c r="G13" t="n">
        <v>600</v>
      </c>
      <c r="H13" t="n">
        <v>8000</v>
      </c>
      <c r="I13" t="n">
        <v>10</v>
      </c>
      <c r="J13" t="n">
        <v>0</v>
      </c>
      <c r="K13" t="n">
        <v>0</v>
      </c>
      <c r="L13" t="n">
        <v>0</v>
      </c>
      <c r="M13" t="n">
        <v>48000</v>
      </c>
      <c r="N13" t="inlineStr"/>
      <c r="O13" t="n">
        <v>0</v>
      </c>
      <c r="P13" t="n">
        <v>0</v>
      </c>
      <c r="Q13" t="n">
        <v>0</v>
      </c>
      <c r="R13" t="n">
        <v>10000</v>
      </c>
      <c r="S13" t="n">
        <v>260</v>
      </c>
      <c r="T13" t="n">
        <v>100</v>
      </c>
      <c r="U13" t="n">
        <v>110</v>
      </c>
      <c r="V13" t="n">
        <v>18000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/>
      <c r="AE13" t="inlineStr"/>
      <c r="AF13" t="inlineStr">
        <is>
          <t>{"carrier": ["twin-coil"], "drive": ["diesel", "nuclear"]}</t>
        </is>
      </c>
      <c r="AG13" t="inlineStr">
        <is>
          <t>[]</t>
        </is>
      </c>
      <c r="AH13" t="inlineStr"/>
      <c r="AI13" t="inlineStr"/>
    </row>
    <row r="14">
      <c r="A14" t="inlineStr">
        <is>
          <t>diesel</t>
        </is>
      </c>
      <c r="B14" t="inlineStr">
        <is>
          <t>drive</t>
        </is>
      </c>
      <c r="C14" t="inlineStr">
        <is>
          <t>["china", "gdi", "soviet"]</t>
        </is>
      </c>
      <c r="D14" t="n">
        <v>0</v>
      </c>
      <c r="E14" t="n">
        <v>0</v>
      </c>
      <c r="F14" t="n">
        <v>1</v>
      </c>
      <c r="G14" t="n">
        <v>100</v>
      </c>
      <c r="H14" t="n">
        <v>600</v>
      </c>
      <c r="I14" t="n">
        <v>0</v>
      </c>
      <c r="J14" t="n">
        <v>500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diesel-large</t>
        </is>
      </c>
      <c r="B15" t="inlineStr">
        <is>
          <t>drive</t>
        </is>
      </c>
      <c r="C15" t="inlineStr">
        <is>
          <t>["china", "gdi", "soviet"]</t>
        </is>
      </c>
      <c r="D15" t="n">
        <v>1</v>
      </c>
      <c r="E15" t="n">
        <v>0</v>
      </c>
      <c r="F15" t="n">
        <v>2</v>
      </c>
      <c r="G15" t="n">
        <v>200</v>
      </c>
      <c r="H15" t="n">
        <v>600</v>
      </c>
      <c r="I15" t="n">
        <v>0</v>
      </c>
      <c r="J15" t="n">
        <v>550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nuclear</t>
        </is>
      </c>
      <c r="B16" t="inlineStr">
        <is>
          <t>drive</t>
        </is>
      </c>
      <c r="C16" t="inlineStr">
        <is>
          <t>["china", "soviet"]</t>
        </is>
      </c>
      <c r="D16" t="n">
        <v>1</v>
      </c>
      <c r="E16" t="n">
        <v>1</v>
      </c>
      <c r="F16" t="n">
        <v>2</v>
      </c>
      <c r="G16" t="n">
        <v>400</v>
      </c>
      <c r="H16" t="n">
        <v>600</v>
      </c>
      <c r="I16" t="n">
        <v>0</v>
      </c>
      <c r="J16" t="n">
        <v>758.75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baseline-generator</t>
        </is>
      </c>
      <c r="B17" t="inlineStr">
        <is>
          <t>generator</t>
        </is>
      </c>
      <c r="C17" t="inlineStr">
        <is>
          <t>["china", "gdi", "soviet"]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0.25</v>
      </c>
      <c r="L17" t="n">
        <v>100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efficient-generator</t>
        </is>
      </c>
      <c r="B18" t="inlineStr">
        <is>
          <t>generator</t>
        </is>
      </c>
      <c r="C18" t="inlineStr">
        <is>
          <t>["china", "gdi", "soviet"]</t>
        </is>
      </c>
      <c r="D18" t="n">
        <v>1</v>
      </c>
      <c r="E18" t="n">
        <v>0</v>
      </c>
      <c r="F18" t="n">
        <v>2</v>
      </c>
      <c r="G18" t="n">
        <v>200</v>
      </c>
      <c r="H18" t="n">
        <v>0</v>
      </c>
      <c r="I18" t="n">
        <v>0</v>
      </c>
      <c r="J18" t="n">
        <v>0</v>
      </c>
      <c r="K18" t="n">
        <v>0.75</v>
      </c>
      <c r="L18" t="n">
        <v>120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heavy</t>
        </is>
      </c>
      <c r="B19" t="inlineStr">
        <is>
          <t>armor</t>
        </is>
      </c>
      <c r="C19" t="inlineStr">
        <is>
          <t>["china", "gdi", "soviet"]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Heavy</t>
        </is>
      </c>
      <c r="O19" t="n">
        <v>100</v>
      </c>
      <c r="P19" t="n">
        <v>100</v>
      </c>
      <c r="Q19" t="n">
        <v>100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reflector</t>
        </is>
      </c>
      <c r="B20" t="inlineStr">
        <is>
          <t>armor</t>
        </is>
      </c>
      <c r="C20" t="inlineStr">
        <is>
          <t>["china", "gdi", "soviet"]</t>
        </is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57.5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Reflector</t>
        </is>
      </c>
      <c r="O20" t="n">
        <v>100</v>
      </c>
      <c r="P20" t="n">
        <v>100</v>
      </c>
      <c r="Q20" t="n">
        <v>100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cannon-turret</t>
        </is>
      </c>
      <c r="B21" t="inlineStr">
        <is>
          <t>carrier</t>
        </is>
      </c>
      <c r="C21" t="inlineStr">
        <is>
          <t>["china"]</t>
        </is>
      </c>
      <c r="D21" t="n">
        <v>0</v>
      </c>
      <c r="E21" t="n">
        <v>0</v>
      </c>
      <c r="F21" t="n">
        <v>1</v>
      </c>
      <c r="G21" t="n">
        <v>100</v>
      </c>
      <c r="H21" t="n">
        <v>500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50</v>
      </c>
      <c r="AB21" t="n">
        <v>0</v>
      </c>
      <c r="AC21" t="n">
        <v>0</v>
      </c>
      <c r="AD21" t="inlineStr"/>
      <c r="AE21" t="inlineStr"/>
      <c r="AF21" t="inlineStr"/>
      <c r="AG21" t="inlineStr"/>
      <c r="AH21" t="inlineStr">
        <is>
          <t>["cannon"]</t>
        </is>
      </c>
      <c r="AI21" t="inlineStr"/>
    </row>
    <row r="22">
      <c r="A22" t="inlineStr">
        <is>
          <t>autoloader-turret</t>
        </is>
      </c>
      <c r="B22" t="inlineStr">
        <is>
          <t>carrier</t>
        </is>
      </c>
      <c r="C22" t="inlineStr">
        <is>
          <t>["china"]</t>
        </is>
      </c>
      <c r="D22" t="n">
        <v>1</v>
      </c>
      <c r="E22" t="n">
        <v>1</v>
      </c>
      <c r="F22" t="n">
        <v>1</v>
      </c>
      <c r="G22" t="n">
        <v>400</v>
      </c>
      <c r="H22" t="n">
        <v>500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5</v>
      </c>
      <c r="AA22" t="n">
        <v>50</v>
      </c>
      <c r="AB22" t="n">
        <v>0</v>
      </c>
      <c r="AC22" t="n">
        <v>0</v>
      </c>
      <c r="AD22" t="inlineStr">
        <is>
          <t>Same visible single barrel. Autoloading mechanism changes firing cycle, not barrel count. Baseline mount mass retained; hardware price includes autoloader. Global CP credit value applies.</t>
        </is>
      </c>
      <c r="AE22" t="inlineStr">
        <is>
          <t>CHBattlemasterCannon.Autoloader</t>
        </is>
      </c>
      <c r="AF22" t="inlineStr"/>
      <c r="AG22" t="inlineStr"/>
      <c r="AH22" t="inlineStr">
        <is>
          <t>["cannon"]</t>
        </is>
      </c>
      <c r="AI22" t="inlineStr"/>
    </row>
    <row r="23">
      <c r="A23" t="inlineStr">
        <is>
          <t>fixed-triple</t>
        </is>
      </c>
      <c r="B23" t="inlineStr">
        <is>
          <t>carrier</t>
        </is>
      </c>
      <c r="C23" t="inlineStr">
        <is>
          <t>["gdi"]</t>
        </is>
      </c>
      <c r="D23" t="n">
        <v>0</v>
      </c>
      <c r="E23" t="n">
        <v>0</v>
      </c>
      <c r="F23" t="n">
        <v>3</v>
      </c>
      <c r="G23" t="n">
        <v>300</v>
      </c>
      <c r="H23" t="n">
        <v>1500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1</v>
      </c>
      <c r="AA23" t="n">
        <v>100</v>
      </c>
      <c r="AB23" t="n">
        <v>0</v>
      </c>
      <c r="AC23" t="n">
        <v>0</v>
      </c>
      <c r="AD23" t="inlineStr"/>
      <c r="AE23" t="inlineStr"/>
      <c r="AF23" t="inlineStr"/>
      <c r="AG23" t="inlineStr"/>
      <c r="AH23" t="inlineStr">
        <is>
          <t>["artillery"]</t>
        </is>
      </c>
      <c r="AI23" t="inlineStr"/>
    </row>
    <row r="24">
      <c r="A24" t="inlineStr">
        <is>
          <t>twin-coil</t>
        </is>
      </c>
      <c r="B24" t="inlineStr">
        <is>
          <t>carrier</t>
        </is>
      </c>
      <c r="C24" t="inlineStr">
        <is>
          <t>["soviet"]</t>
        </is>
      </c>
      <c r="D24" t="n">
        <v>0</v>
      </c>
      <c r="E24" t="n">
        <v>0</v>
      </c>
      <c r="F24" t="n">
        <v>2</v>
      </c>
      <c r="G24" t="n">
        <v>200</v>
      </c>
      <c r="H24" t="n">
        <v>500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1</v>
      </c>
      <c r="AA24" t="n">
        <v>100</v>
      </c>
      <c r="AB24" t="n">
        <v>0</v>
      </c>
      <c r="AC24" t="n">
        <v>0</v>
      </c>
      <c r="AD24" t="inlineStr"/>
      <c r="AE24" t="inlineStr"/>
      <c r="AF24" t="inlineStr"/>
      <c r="AG24" t="inlineStr"/>
      <c r="AH24" t="inlineStr">
        <is>
          <t>["tesla"]</t>
        </is>
      </c>
      <c r="AI24" t="inlineStr"/>
    </row>
    <row r="25">
      <c r="A25" t="inlineStr">
        <is>
          <t>cannon</t>
        </is>
      </c>
      <c r="B25" t="inlineStr">
        <is>
          <t>weapon</t>
        </is>
      </c>
      <c r="C25" t="inlineStr">
        <is>
          <t>["china"]</t>
        </is>
      </c>
      <c r="D25" t="n">
        <v>0</v>
      </c>
      <c r="E25" t="n">
        <v>0</v>
      </c>
      <c r="F25" t="n">
        <v>1</v>
      </c>
      <c r="G25" t="n">
        <v>200</v>
      </c>
      <c r="H25" t="n">
        <v>500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</v>
      </c>
      <c r="AC25" t="n">
        <v>0</v>
      </c>
      <c r="AD25" t="inlineStr"/>
      <c r="AE25" t="inlineStr">
        <is>
          <t>CHBattlemasterCannon</t>
        </is>
      </c>
      <c r="AF25" t="inlineStr"/>
      <c r="AG25" t="inlineStr"/>
      <c r="AH25" t="inlineStr"/>
      <c r="AI25" t="inlineStr">
        <is>
          <t>["shell", "nuclear-shell"]</t>
        </is>
      </c>
    </row>
    <row r="26">
      <c r="A26" t="inlineStr">
        <is>
          <t>artillery</t>
        </is>
      </c>
      <c r="B26" t="inlineStr">
        <is>
          <t>weapon</t>
        </is>
      </c>
      <c r="C26" t="inlineStr">
        <is>
          <t>["gdi"]</t>
        </is>
      </c>
      <c r="D26" t="n">
        <v>0</v>
      </c>
      <c r="E26" t="n">
        <v>0</v>
      </c>
      <c r="F26" t="n">
        <v>3</v>
      </c>
      <c r="G26" t="n">
        <v>300</v>
      </c>
      <c r="H26" t="n">
        <v>900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/>
      <c r="AE26" t="inlineStr">
        <is>
          <t>JuggernautGun</t>
        </is>
      </c>
      <c r="AF26" t="inlineStr"/>
      <c r="AG26" t="inlineStr"/>
      <c r="AH26" t="inlineStr"/>
      <c r="AI26" t="inlineStr">
        <is>
          <t>["artillery-shell", "emp-shell"]</t>
        </is>
      </c>
    </row>
    <row r="27">
      <c r="A27" t="inlineStr">
        <is>
          <t>tesla</t>
        </is>
      </c>
      <c r="B27" t="inlineStr">
        <is>
          <t>weapon</t>
        </is>
      </c>
      <c r="C27" t="inlineStr">
        <is>
          <t>["soviet"]</t>
        </is>
      </c>
      <c r="D27" t="n">
        <v>1</v>
      </c>
      <c r="E27" t="n">
        <v>0</v>
      </c>
      <c r="F27" t="n">
        <v>2</v>
      </c>
      <c r="G27" t="n">
        <v>350</v>
      </c>
      <c r="H27" t="n">
        <v>700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>
        <is>
          <t>TTankZapMK2</t>
        </is>
      </c>
      <c r="AF27" t="inlineStr"/>
      <c r="AG27" t="inlineStr"/>
      <c r="AH27" t="inlineStr"/>
      <c r="AI27" t="inlineStr">
        <is>
          <t>["discharge"]</t>
        </is>
      </c>
    </row>
    <row r="28">
      <c r="A28" t="inlineStr">
        <is>
          <t>shell</t>
        </is>
      </c>
      <c r="B28" t="inlineStr">
        <is>
          <t>ammunition</t>
        </is>
      </c>
      <c r="C28" t="inlineStr">
        <is>
          <t>["china"]</t>
        </is>
      </c>
      <c r="D28" t="n">
        <v>0</v>
      </c>
      <c r="E28" t="n">
        <v>0</v>
      </c>
      <c r="F28" t="n">
        <v>1</v>
      </c>
      <c r="G28" t="n">
        <v>50</v>
      </c>
      <c r="H28" t="n">
        <v>400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5000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nuclear-shell</t>
        </is>
      </c>
      <c r="B29" t="inlineStr">
        <is>
          <t>ammunition</t>
        </is>
      </c>
      <c r="C29" t="inlineStr">
        <is>
          <t>["china"]</t>
        </is>
      </c>
      <c r="D29" t="n">
        <v>1</v>
      </c>
      <c r="E29" t="n">
        <v>1</v>
      </c>
      <c r="F29" t="n">
        <v>1</v>
      </c>
      <c r="G29" t="n">
        <v>350</v>
      </c>
      <c r="H29" t="n">
        <v>400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10000</v>
      </c>
      <c r="AD29" t="inlineStr">
        <is>
          <t>First fit: same mass, no additional electric load; +300 hardware offsets 1 CP. Radiation, falloff and recoil need engine composition, not just damage copying.</t>
        </is>
      </c>
      <c r="AE29" t="inlineStr">
        <is>
          <t>CHBattlemasterCannon.Nuclear_Shells</t>
        </is>
      </c>
      <c r="AF29" t="inlineStr"/>
      <c r="AG29" t="inlineStr"/>
      <c r="AH29" t="inlineStr"/>
      <c r="AI29" t="inlineStr"/>
    </row>
    <row r="30">
      <c r="A30" t="inlineStr">
        <is>
          <t>artillery-shell</t>
        </is>
      </c>
      <c r="B30" t="inlineStr">
        <is>
          <t>ammunition</t>
        </is>
      </c>
      <c r="C30" t="inlineStr">
        <is>
          <t>["gdi"]</t>
        </is>
      </c>
      <c r="D30" t="n">
        <v>0</v>
      </c>
      <c r="E30" t="n">
        <v>0</v>
      </c>
      <c r="F30" t="n">
        <v>3</v>
      </c>
      <c r="G30" t="n">
        <v>200</v>
      </c>
      <c r="H30" t="n">
        <v>1000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emp-shell</t>
        </is>
      </c>
      <c r="B31" t="inlineStr">
        <is>
          <t>ammunition</t>
        </is>
      </c>
      <c r="C31" t="inlineStr">
        <is>
          <t>["gdi"]</t>
        </is>
      </c>
      <c r="D31" t="n">
        <v>1</v>
      </c>
      <c r="E31" t="n">
        <v>1</v>
      </c>
      <c r="F31" t="n">
        <v>3</v>
      </c>
      <c r="G31" t="n">
        <v>300</v>
      </c>
      <c r="H31" t="n">
        <v>1000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/>
      <c r="AE31" t="inlineStr">
        <is>
          <t>JuggernautGun.Emp</t>
        </is>
      </c>
      <c r="AF31" t="inlineStr"/>
      <c r="AG31" t="inlineStr"/>
      <c r="AH31" t="inlineStr"/>
      <c r="AI31" t="inlineStr"/>
    </row>
    <row r="32">
      <c r="A32" t="inlineStr">
        <is>
          <t>discharge</t>
        </is>
      </c>
      <c r="B32" t="inlineStr">
        <is>
          <t>ammunition</t>
        </is>
      </c>
      <c r="C32" t="inlineStr">
        <is>
          <t>["soviet"]</t>
        </is>
      </c>
      <c r="D32" t="n">
        <v>0</v>
      </c>
      <c r="E32" t="n">
        <v>0</v>
      </c>
      <c r="F32" t="n">
        <v>2</v>
      </c>
      <c r="G32" t="n">
        <v>100</v>
      </c>
      <c r="H32" t="n">
        <v>200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Fixed payload-package mass, not physical shells; no duplicate Tesla electrical charge.</t>
        </is>
      </c>
      <c r="AE32" t="inlineStr"/>
      <c r="AF32" t="inlineStr"/>
      <c r="AG32" t="inlineStr"/>
      <c r="AH32" t="inlineStr"/>
      <c r="AI32" t="inlineStr"/>
    </row>
    <row r="33">
      <c r="A33" t="inlineStr">
        <is>
          <t>pdl</t>
        </is>
      </c>
      <c r="B33" t="inlineStr">
        <is>
          <t>equipment</t>
        </is>
      </c>
      <c r="C33" t="inlineStr">
        <is>
          <t>["china"]</t>
        </is>
      </c>
      <c r="D33" t="n">
        <v>1</v>
      </c>
      <c r="E33" t="n">
        <v>1</v>
      </c>
      <c r="F33" t="n">
        <v>3</v>
      </c>
      <c r="G33" t="n">
        <v>650</v>
      </c>
      <c r="H33" t="n">
        <v>300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/>
      <c r="AE33" t="inlineStr">
        <is>
          <t>^PointLaserDefenseSystem</t>
        </is>
      </c>
      <c r="AF33" t="inlineStr"/>
      <c r="AG33" t="inlineStr"/>
      <c r="AH33" t="inlineStr"/>
      <c r="AI3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</row>
    <row r="2">
      <c r="A2" t="inlineStr">
        <is>
          <t>Dragon Tank</t>
        </is>
      </c>
      <c r="B2" t="inlineStr">
        <is>
          <t>china</t>
        </is>
      </c>
      <c r="C2" t="inlineStr">
        <is>
          <t>dragon-chassis</t>
        </is>
      </c>
      <c r="D2" t="inlineStr">
        <is>
          <t>diesel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flame-turret</t>
        </is>
      </c>
      <c r="H2" t="inlineStr">
        <is>
          <t>dragon-flamer</t>
        </is>
      </c>
      <c r="I2" t="inlineStr">
        <is>
          <t>flame-fuel</t>
        </is>
      </c>
      <c r="J2" t="inlineStr"/>
      <c r="K2" t="inlineStr"/>
      <c r="L2" t="inlineStr"/>
      <c r="M2">
        <f>IF(C2="",0,VLOOKUP(C2,Bausteine!$A$2:$AI$33,4,FALSE))+IF(D2="",0,VLOOKUP(D2,Bausteine!$A$2:$AI$33,4,FALSE))+IF(E2="",0,VLOOKUP(E2,Bausteine!$A$2:$AI$33,4,FALSE))+IF(F2="",0,VLOOKUP(F2,Bausteine!$A$2:$AI$33,4,FALSE))+IF(G2="",0,VLOOKUP(G2,Bausteine!$A$2:$AI$33,4,FALSE))+IF(H2="",0,VLOOKUP(H2,Bausteine!$A$2:$AI$33,4,FALSE))+IF(I2="",0,VLOOKUP(I2,Bausteine!$A$2:$AI$33,4,FALSE))+IF(J2="",0,VLOOKUP(J2,Bausteine!$A$2:$AI$33,4,FALSE))+IF(K2="",0,VLOOKUP(K2,Bausteine!$A$2:$AI$33,4,FALSE))+IF(L2="",0,VLOOKUP(L2,Bausteine!$A$2:$AI$33,4,FALSE))</f>
        <v/>
      </c>
      <c r="N2">
        <f>IF(C2="",0,VLOOKUP(C2,Bausteine!$A$2:$AI$33,5,FALSE))+IF(D2="",0,VLOOKUP(D2,Bausteine!$A$2:$AI$33,5,FALSE))+IF(E2="",0,VLOOKUP(E2,Bausteine!$A$2:$AI$33,5,FALSE))+IF(F2="",0,VLOOKUP(F2,Bausteine!$A$2:$AI$33,5,FALSE))+IF(G2="",0,VLOOKUP(G2,Bausteine!$A$2:$AI$33,5,FALSE))+IF(H2="",0,VLOOKUP(H2,Bausteine!$A$2:$AI$33,5,FALSE))+IF(I2="",0,VLOOKUP(I2,Bausteine!$A$2:$AI$33,5,FALSE))+IF(J2="",0,VLOOKUP(J2,Bausteine!$A$2:$AI$33,5,FALSE))+IF(K2="",0,VLOOKUP(K2,Bausteine!$A$2:$AI$33,5,FALSE))+IF(L2="",0,VLOOKUP(L2,Bausteine!$A$2:$AI$33,5,FALSE))</f>
        <v/>
      </c>
      <c r="O2">
        <f>MAX(IF(C2="",0,VLOOKUP(C2,Bausteine!$A$2:$AI$33,6,FALSE)),IF(D2="",0,VLOOKUP(D2,Bausteine!$A$2:$AI$33,6,FALSE)),IF(E2="",0,VLOOKUP(E2,Bausteine!$A$2:$AI$33,6,FALSE)),IF(F2="",0,VLOOKUP(F2,Bausteine!$A$2:$AI$33,6,FALSE)),IF(G2="",0,VLOOKUP(G2,Bausteine!$A$2:$AI$33,6,FALSE)),IF(H2="",0,VLOOKUP(H2,Bausteine!$A$2:$AI$33,6,FALSE)),IF(I2="",0,VLOOKUP(I2,Bausteine!$A$2:$AI$33,6,FALSE)),IF(J2="",0,VLOOKUP(J2,Bausteine!$A$2:$AI$33,6,FALSE)),IF(K2="",0,VLOOKUP(K2,Bausteine!$A$2:$AI$33,6,FALSE)),IF(L2="",0,VLOOKUP(L2,Bausteine!$A$2:$AI$33,6,FALSE)))</f>
        <v/>
      </c>
      <c r="P2">
        <f>IF(C2="",0,VLOOKUP(C2,Bausteine!$A$2:$AI$33,7,FALSE))*IF(F2="",0,VLOOKUP(F2,Bausteine!$A$2:$AI$33,17,FALSE))/100+IF(D2="",0,VLOOKUP(D2,Bausteine!$A$2:$AI$33,7,FALSE))+IF(E2="",0,VLOOKUP(E2,Bausteine!$A$2:$AI$33,7,FALSE))+IF(G2="",0,VLOOKUP(G2,Bausteine!$A$2:$AI$33,7,FALSE))+IF(H2="",0,VLOOKUP(H2,Bausteine!$A$2:$AI$33,7,FALSE))+IF(I2="",0,VLOOKUP(I2,Bausteine!$A$2:$AI$33,7,FALSE))+IF(J2="",0,VLOOKUP(J2,Bausteine!$A$2:$AI$33,7,FALSE))+IF(K2="",0,VLOOKUP(K2,Bausteine!$A$2:$AI$33,7,FALSE))+IF(L2="",0,VLOOKUP(L2,Bausteine!$A$2:$AI$33,7,FALSE))</f>
        <v/>
      </c>
      <c r="Q2">
        <f>N2*Parameter!$B$2</f>
        <v/>
      </c>
      <c r="R2">
        <f>P2-Q2</f>
        <v/>
      </c>
      <c r="S2">
        <f>IF(C2="",0,VLOOKUP(C2,Bausteine!$A$2:$AI$33,13,FALSE))*IF(F2="",0,VLOOKUP(F2,Bausteine!$A$2:$AI$33,16,FALSE))/100</f>
        <v/>
      </c>
      <c r="T2">
        <f>IF(C2="",0,VLOOKUP(C2,Bausteine!$A$2:$AI$33,8,FALSE))*IF(F2="",0,VLOOKUP(F2,Bausteine!$A$2:$AI$33,15,FALSE))/100+IF(D2="",0,VLOOKUP(D2,Bausteine!$A$2:$AI$33,8,FALSE))+IF(E2="",0,VLOOKUP(E2,Bausteine!$A$2:$AI$33,8,FALSE))+IF(G2="",0,VLOOKUP(G2,Bausteine!$A$2:$AI$33,8,FALSE))+IF(H2="",0,VLOOKUP(H2,Bausteine!$A$2:$AI$33,8,FALSE))+IF(I2="",0,VLOOKUP(I2,Bausteine!$A$2:$AI$33,8,FALSE))+IF(J2="",0,VLOOKUP(J2,Bausteine!$A$2:$AI$33,8,FALSE))+IF(K2="",0,VLOOKUP(K2,Bausteine!$A$2:$AI$33,8,FALSE))+IF(L2="",0,VLOOKUP(L2,Bausteine!$A$2:$AI$33,8,FALSE))</f>
        <v/>
      </c>
      <c r="U2">
        <f>IF(C2="",0,VLOOKUP(C2,Bausteine!$A$2:$AI$33,9,FALSE))+IF(D2="",0,VLOOKUP(D2,Bausteine!$A$2:$AI$33,9,FALSE))+IF(E2="",0,VLOOKUP(E2,Bausteine!$A$2:$AI$33,9,FALSE))+IF(F2="",0,VLOOKUP(F2,Bausteine!$A$2:$AI$33,9,FALSE))+IF(G2="",0,VLOOKUP(G2,Bausteine!$A$2:$AI$33,9,FALSE))+IF(H2="",0,VLOOKUP(H2,Bausteine!$A$2:$AI$33,9,FALSE))+IF(I2="",0,VLOOKUP(I2,Bausteine!$A$2:$AI$33,9,FALSE))+IF(J2="",0,VLOOKUP(J2,Bausteine!$A$2:$AI$33,9,FALSE))+IF(K2="",0,VLOOKUP(K2,Bausteine!$A$2:$AI$33,9,FALSE))+IF(L2="",0,VLOOKUP(L2,Bausteine!$A$2:$AI$33,9,FALSE))</f>
        <v/>
      </c>
      <c r="V2">
        <f>IF(D2="",0,VLOOKUP(D2,Bausteine!$A$2:$AI$33,10,FALSE))-U2/IF(E2="",0,VLOOKUP(E2,Bausteine!$A$2:$AI$33,11,FALSE))</f>
        <v/>
      </c>
      <c r="W2">
        <f>IF(Y2&lt;&gt;"OK","",ROUND(MIN(IF(C2="",0,VLOOKUP(C2,Bausteine!$A$2:$AI$33,21,FALSE)),IF(C2="",0,VLOOKUP(C2,Bausteine!$A$2:$AI$33,20,FALSE))*(V2/T2/(IF(C2="",0,VLOOKUP(C2,Bausteine!$A$2:$AI$33,19,FALSE))/IF(C2="",0,VLOOKUP(C2,Bausteine!$A$2:$AI$33,18,FALSE))))^Parameter!$B$3),0))</f>
        <v/>
      </c>
      <c r="X2">
        <f>IF(F2="",0,VLOOKUP(F2,Bausteine!$A$2:$AI$33,14,FALSE))</f>
        <v/>
      </c>
      <c r="Y2">
        <f>IFERROR(IF(OR(R2&lt;=0,T2&lt;=0,V2&lt;=0,U2&gt;IF(E2="",0,VLOOKUP(E2,Bausteine!$A$2:$AI$33,12,FALSE)),T2&gt;IF(C2="",0,VLOOKUP(C2,Bausteine!$A$2:$AI$33,22,FALSE)),IF(E2="",0,VLOOKUP(E2,Bausteine!$A$2:$AI$33,11,FALSE))&lt;=0,IF(E2="",0,VLOOKUP(E2,Bausteine!$A$2:$AI$33,11,FALSE))&gt;1),"UNGUELTIG","OK"),"FEHLER")</f>
        <v/>
      </c>
      <c r="Z2" t="n">
        <v>600</v>
      </c>
      <c r="AA2" t="n">
        <v>103</v>
      </c>
      <c r="AB2" t="inlineStr">
        <is>
          <t>Normal non-deployed, no Black Napalm. Full Firewall behavior not modeled.</t>
        </is>
      </c>
    </row>
    <row r="3">
      <c r="A3" t="inlineStr">
        <is>
          <t>Dragon Tank PDL</t>
        </is>
      </c>
      <c r="B3" t="inlineStr">
        <is>
          <t>china</t>
        </is>
      </c>
      <c r="C3" t="inlineStr">
        <is>
          <t>dragon-chassis</t>
        </is>
      </c>
      <c r="D3" t="inlineStr">
        <is>
          <t>diesel-large</t>
        </is>
      </c>
      <c r="E3" t="inlineStr">
        <is>
          <t>efficient-generator</t>
        </is>
      </c>
      <c r="F3" t="inlineStr">
        <is>
          <t>heavy</t>
        </is>
      </c>
      <c r="G3" t="inlineStr">
        <is>
          <t>flame-turret</t>
        </is>
      </c>
      <c r="H3" t="inlineStr">
        <is>
          <t>dragon-flamer</t>
        </is>
      </c>
      <c r="I3" t="inlineStr">
        <is>
          <t>flame-fuel</t>
        </is>
      </c>
      <c r="J3" t="inlineStr">
        <is>
          <t>pdl</t>
        </is>
      </c>
      <c r="K3" t="inlineStr"/>
      <c r="L3" t="inlineStr"/>
      <c r="M3">
        <f>IF(C3="",0,VLOOKUP(C3,Bausteine!$A$2:$AI$33,4,FALSE))+IF(D3="",0,VLOOKUP(D3,Bausteine!$A$2:$AI$33,4,FALSE))+IF(E3="",0,VLOOKUP(E3,Bausteine!$A$2:$AI$33,4,FALSE))+IF(F3="",0,VLOOKUP(F3,Bausteine!$A$2:$AI$33,4,FALSE))+IF(G3="",0,VLOOKUP(G3,Bausteine!$A$2:$AI$33,4,FALSE))+IF(H3="",0,VLOOKUP(H3,Bausteine!$A$2:$AI$33,4,FALSE))+IF(I3="",0,VLOOKUP(I3,Bausteine!$A$2:$AI$33,4,FALSE))+IF(J3="",0,VLOOKUP(J3,Bausteine!$A$2:$AI$33,4,FALSE))+IF(K3="",0,VLOOKUP(K3,Bausteine!$A$2:$AI$33,4,FALSE))+IF(L3="",0,VLOOKUP(L3,Bausteine!$A$2:$AI$33,4,FALSE))</f>
        <v/>
      </c>
      <c r="N3">
        <f>IF(C3="",0,VLOOKUP(C3,Bausteine!$A$2:$AI$33,5,FALSE))+IF(D3="",0,VLOOKUP(D3,Bausteine!$A$2:$AI$33,5,FALSE))+IF(E3="",0,VLOOKUP(E3,Bausteine!$A$2:$AI$33,5,FALSE))+IF(F3="",0,VLOOKUP(F3,Bausteine!$A$2:$AI$33,5,FALSE))+IF(G3="",0,VLOOKUP(G3,Bausteine!$A$2:$AI$33,5,FALSE))+IF(H3="",0,VLOOKUP(H3,Bausteine!$A$2:$AI$33,5,FALSE))+IF(I3="",0,VLOOKUP(I3,Bausteine!$A$2:$AI$33,5,FALSE))+IF(J3="",0,VLOOKUP(J3,Bausteine!$A$2:$AI$33,5,FALSE))+IF(K3="",0,VLOOKUP(K3,Bausteine!$A$2:$AI$33,5,FALSE))+IF(L3="",0,VLOOKUP(L3,Bausteine!$A$2:$AI$33,5,FALSE))</f>
        <v/>
      </c>
      <c r="O3">
        <f>MAX(IF(C3="",0,VLOOKUP(C3,Bausteine!$A$2:$AI$33,6,FALSE)),IF(D3="",0,VLOOKUP(D3,Bausteine!$A$2:$AI$33,6,FALSE)),IF(E3="",0,VLOOKUP(E3,Bausteine!$A$2:$AI$33,6,FALSE)),IF(F3="",0,VLOOKUP(F3,Bausteine!$A$2:$AI$33,6,FALSE)),IF(G3="",0,VLOOKUP(G3,Bausteine!$A$2:$AI$33,6,FALSE)),IF(H3="",0,VLOOKUP(H3,Bausteine!$A$2:$AI$33,6,FALSE)),IF(I3="",0,VLOOKUP(I3,Bausteine!$A$2:$AI$33,6,FALSE)),IF(J3="",0,VLOOKUP(J3,Bausteine!$A$2:$AI$33,6,FALSE)),IF(K3="",0,VLOOKUP(K3,Bausteine!$A$2:$AI$33,6,FALSE)),IF(L3="",0,VLOOKUP(L3,Bausteine!$A$2:$AI$33,6,FALSE)))</f>
        <v/>
      </c>
      <c r="P3">
        <f>IF(C3="",0,VLOOKUP(C3,Bausteine!$A$2:$AI$33,7,FALSE))*IF(F3="",0,VLOOKUP(F3,Bausteine!$A$2:$AI$33,17,FALSE))/100+IF(D3="",0,VLOOKUP(D3,Bausteine!$A$2:$AI$33,7,FALSE))+IF(E3="",0,VLOOKUP(E3,Bausteine!$A$2:$AI$33,7,FALSE))+IF(G3="",0,VLOOKUP(G3,Bausteine!$A$2:$AI$33,7,FALSE))+IF(H3="",0,VLOOKUP(H3,Bausteine!$A$2:$AI$33,7,FALSE))+IF(I3="",0,VLOOKUP(I3,Bausteine!$A$2:$AI$33,7,FALSE))+IF(J3="",0,VLOOKUP(J3,Bausteine!$A$2:$AI$33,7,FALSE))+IF(K3="",0,VLOOKUP(K3,Bausteine!$A$2:$AI$33,7,FALSE))+IF(L3="",0,VLOOKUP(L3,Bausteine!$A$2:$AI$33,7,FALSE))</f>
        <v/>
      </c>
      <c r="Q3">
        <f>N3*Parameter!$B$2</f>
        <v/>
      </c>
      <c r="R3">
        <f>P3-Q3</f>
        <v/>
      </c>
      <c r="S3">
        <f>IF(C3="",0,VLOOKUP(C3,Bausteine!$A$2:$AI$33,13,FALSE))*IF(F3="",0,VLOOKUP(F3,Bausteine!$A$2:$AI$33,16,FALSE))/100</f>
        <v/>
      </c>
      <c r="T3">
        <f>IF(C3="",0,VLOOKUP(C3,Bausteine!$A$2:$AI$33,8,FALSE))*IF(F3="",0,VLOOKUP(F3,Bausteine!$A$2:$AI$33,15,FALSE))/100+IF(D3="",0,VLOOKUP(D3,Bausteine!$A$2:$AI$33,8,FALSE))+IF(E3="",0,VLOOKUP(E3,Bausteine!$A$2:$AI$33,8,FALSE))+IF(G3="",0,VLOOKUP(G3,Bausteine!$A$2:$AI$33,8,FALSE))+IF(H3="",0,VLOOKUP(H3,Bausteine!$A$2:$AI$33,8,FALSE))+IF(I3="",0,VLOOKUP(I3,Bausteine!$A$2:$AI$33,8,FALSE))+IF(J3="",0,VLOOKUP(J3,Bausteine!$A$2:$AI$33,8,FALSE))+IF(K3="",0,VLOOKUP(K3,Bausteine!$A$2:$AI$33,8,FALSE))+IF(L3="",0,VLOOKUP(L3,Bausteine!$A$2:$AI$33,8,FALSE))</f>
        <v/>
      </c>
      <c r="U3">
        <f>IF(C3="",0,VLOOKUP(C3,Bausteine!$A$2:$AI$33,9,FALSE))+IF(D3="",0,VLOOKUP(D3,Bausteine!$A$2:$AI$33,9,FALSE))+IF(E3="",0,VLOOKUP(E3,Bausteine!$A$2:$AI$33,9,FALSE))+IF(F3="",0,VLOOKUP(F3,Bausteine!$A$2:$AI$33,9,FALSE))+IF(G3="",0,VLOOKUP(G3,Bausteine!$A$2:$AI$33,9,FALSE))+IF(H3="",0,VLOOKUP(H3,Bausteine!$A$2:$AI$33,9,FALSE))+IF(I3="",0,VLOOKUP(I3,Bausteine!$A$2:$AI$33,9,FALSE))+IF(J3="",0,VLOOKUP(J3,Bausteine!$A$2:$AI$33,9,FALSE))+IF(K3="",0,VLOOKUP(K3,Bausteine!$A$2:$AI$33,9,FALSE))+IF(L3="",0,VLOOKUP(L3,Bausteine!$A$2:$AI$33,9,FALSE))</f>
        <v/>
      </c>
      <c r="V3">
        <f>IF(D3="",0,VLOOKUP(D3,Bausteine!$A$2:$AI$33,10,FALSE))-U3/IF(E3="",0,VLOOKUP(E3,Bausteine!$A$2:$AI$33,11,FALSE))</f>
        <v/>
      </c>
      <c r="W3">
        <f>IF(Y3&lt;&gt;"OK","",ROUND(MIN(IF(C3="",0,VLOOKUP(C3,Bausteine!$A$2:$AI$33,21,FALSE)),IF(C3="",0,VLOOKUP(C3,Bausteine!$A$2:$AI$33,20,FALSE))*(V3/T3/(IF(C3="",0,VLOOKUP(C3,Bausteine!$A$2:$AI$33,19,FALSE))/IF(C3="",0,VLOOKUP(C3,Bausteine!$A$2:$AI$33,18,FALSE))))^Parameter!$B$3),0))</f>
        <v/>
      </c>
      <c r="X3">
        <f>IF(F3="",0,VLOOKUP(F3,Bausteine!$A$2:$AI$33,14,FALSE))</f>
        <v/>
      </c>
      <c r="Y3">
        <f>IFERROR(IF(OR(R3&lt;=0,T3&lt;=0,V3&lt;=0,U3&gt;IF(E3="",0,VLOOKUP(E3,Bausteine!$A$2:$AI$33,12,FALSE)),T3&gt;IF(C3="",0,VLOOKUP(C3,Bausteine!$A$2:$AI$33,22,FALSE)),IF(E3="",0,VLOOKUP(E3,Bausteine!$A$2:$AI$33,11,FALSE))&lt;=0,IF(E3="",0,VLOOKUP(E3,Bausteine!$A$2:$AI$33,11,FALSE))&gt;1),"UNGUELTIG","OK"),"FEHLER")</f>
        <v/>
      </c>
      <c r="Z3" t="n">
        <v>1250</v>
      </c>
      <c r="AA3" t="n">
        <v>103</v>
      </c>
      <c r="AB3" t="inlineStr">
        <is>
          <t>Existing shared PDL package; no family-specific discount.</t>
        </is>
      </c>
    </row>
    <row r="4">
      <c r="A4" t="inlineStr">
        <is>
          <t>Dragon Tank Reflector</t>
        </is>
      </c>
      <c r="B4" t="inlineStr">
        <is>
          <t>china</t>
        </is>
      </c>
      <c r="C4" t="inlineStr">
        <is>
          <t>dragon-chassis</t>
        </is>
      </c>
      <c r="D4" t="inlineStr">
        <is>
          <t>diesel-large</t>
        </is>
      </c>
      <c r="E4" t="inlineStr">
        <is>
          <t>efficient-generator</t>
        </is>
      </c>
      <c r="F4" t="inlineStr">
        <is>
          <t>reflector</t>
        </is>
      </c>
      <c r="G4" t="inlineStr">
        <is>
          <t>flame-turret</t>
        </is>
      </c>
      <c r="H4" t="inlineStr">
        <is>
          <t>dragon-flamer</t>
        </is>
      </c>
      <c r="I4" t="inlineStr">
        <is>
          <t>flame-fuel</t>
        </is>
      </c>
      <c r="J4" t="inlineStr"/>
      <c r="K4" t="inlineStr"/>
      <c r="L4" t="inlineStr"/>
      <c r="M4">
        <f>IF(C4="",0,VLOOKUP(C4,Bausteine!$A$2:$AI$33,4,FALSE))+IF(D4="",0,VLOOKUP(D4,Bausteine!$A$2:$AI$33,4,FALSE))+IF(E4="",0,VLOOKUP(E4,Bausteine!$A$2:$AI$33,4,FALSE))+IF(F4="",0,VLOOKUP(F4,Bausteine!$A$2:$AI$33,4,FALSE))+IF(G4="",0,VLOOKUP(G4,Bausteine!$A$2:$AI$33,4,FALSE))+IF(H4="",0,VLOOKUP(H4,Bausteine!$A$2:$AI$33,4,FALSE))+IF(I4="",0,VLOOKUP(I4,Bausteine!$A$2:$AI$33,4,FALSE))+IF(J4="",0,VLOOKUP(J4,Bausteine!$A$2:$AI$33,4,FALSE))+IF(K4="",0,VLOOKUP(K4,Bausteine!$A$2:$AI$33,4,FALSE))+IF(L4="",0,VLOOKUP(L4,Bausteine!$A$2:$AI$33,4,FALSE))</f>
        <v/>
      </c>
      <c r="N4">
        <f>IF(C4="",0,VLOOKUP(C4,Bausteine!$A$2:$AI$33,5,FALSE))+IF(D4="",0,VLOOKUP(D4,Bausteine!$A$2:$AI$33,5,FALSE))+IF(E4="",0,VLOOKUP(E4,Bausteine!$A$2:$AI$33,5,FALSE))+IF(F4="",0,VLOOKUP(F4,Bausteine!$A$2:$AI$33,5,FALSE))+IF(G4="",0,VLOOKUP(G4,Bausteine!$A$2:$AI$33,5,FALSE))+IF(H4="",0,VLOOKUP(H4,Bausteine!$A$2:$AI$33,5,FALSE))+IF(I4="",0,VLOOKUP(I4,Bausteine!$A$2:$AI$33,5,FALSE))+IF(J4="",0,VLOOKUP(J4,Bausteine!$A$2:$AI$33,5,FALSE))+IF(K4="",0,VLOOKUP(K4,Bausteine!$A$2:$AI$33,5,FALSE))+IF(L4="",0,VLOOKUP(L4,Bausteine!$A$2:$AI$33,5,FALSE))</f>
        <v/>
      </c>
      <c r="O4">
        <f>MAX(IF(C4="",0,VLOOKUP(C4,Bausteine!$A$2:$AI$33,6,FALSE)),IF(D4="",0,VLOOKUP(D4,Bausteine!$A$2:$AI$33,6,FALSE)),IF(E4="",0,VLOOKUP(E4,Bausteine!$A$2:$AI$33,6,FALSE)),IF(F4="",0,VLOOKUP(F4,Bausteine!$A$2:$AI$33,6,FALSE)),IF(G4="",0,VLOOKUP(G4,Bausteine!$A$2:$AI$33,6,FALSE)),IF(H4="",0,VLOOKUP(H4,Bausteine!$A$2:$AI$33,6,FALSE)),IF(I4="",0,VLOOKUP(I4,Bausteine!$A$2:$AI$33,6,FALSE)),IF(J4="",0,VLOOKUP(J4,Bausteine!$A$2:$AI$33,6,FALSE)),IF(K4="",0,VLOOKUP(K4,Bausteine!$A$2:$AI$33,6,FALSE)),IF(L4="",0,VLOOKUP(L4,Bausteine!$A$2:$AI$33,6,FALSE)))</f>
        <v/>
      </c>
      <c r="P4">
        <f>IF(C4="",0,VLOOKUP(C4,Bausteine!$A$2:$AI$33,7,FALSE))*IF(F4="",0,VLOOKUP(F4,Bausteine!$A$2:$AI$33,17,FALSE))/100+IF(D4="",0,VLOOKUP(D4,Bausteine!$A$2:$AI$33,7,FALSE))+IF(E4="",0,VLOOKUP(E4,Bausteine!$A$2:$AI$33,7,FALSE))+IF(G4="",0,VLOOKUP(G4,Bausteine!$A$2:$AI$33,7,FALSE))+IF(H4="",0,VLOOKUP(H4,Bausteine!$A$2:$AI$33,7,FALSE))+IF(I4="",0,VLOOKUP(I4,Bausteine!$A$2:$AI$33,7,FALSE))+IF(J4="",0,VLOOKUP(J4,Bausteine!$A$2:$AI$33,7,FALSE))+IF(K4="",0,VLOOKUP(K4,Bausteine!$A$2:$AI$33,7,FALSE))+IF(L4="",0,VLOOKUP(L4,Bausteine!$A$2:$AI$33,7,FALSE))</f>
        <v/>
      </c>
      <c r="Q4">
        <f>N4*Parameter!$B$2</f>
        <v/>
      </c>
      <c r="R4">
        <f>P4-Q4</f>
        <v/>
      </c>
      <c r="S4">
        <f>IF(C4="",0,VLOOKUP(C4,Bausteine!$A$2:$AI$33,13,FALSE))*IF(F4="",0,VLOOKUP(F4,Bausteine!$A$2:$AI$33,16,FALSE))/100</f>
        <v/>
      </c>
      <c r="T4">
        <f>IF(C4="",0,VLOOKUP(C4,Bausteine!$A$2:$AI$33,8,FALSE))*IF(F4="",0,VLOOKUP(F4,Bausteine!$A$2:$AI$33,15,FALSE))/100+IF(D4="",0,VLOOKUP(D4,Bausteine!$A$2:$AI$33,8,FALSE))+IF(E4="",0,VLOOKUP(E4,Bausteine!$A$2:$AI$33,8,FALSE))+IF(G4="",0,VLOOKUP(G4,Bausteine!$A$2:$AI$33,8,FALSE))+IF(H4="",0,VLOOKUP(H4,Bausteine!$A$2:$AI$33,8,FALSE))+IF(I4="",0,VLOOKUP(I4,Bausteine!$A$2:$AI$33,8,FALSE))+IF(J4="",0,VLOOKUP(J4,Bausteine!$A$2:$AI$33,8,FALSE))+IF(K4="",0,VLOOKUP(K4,Bausteine!$A$2:$AI$33,8,FALSE))+IF(L4="",0,VLOOKUP(L4,Bausteine!$A$2:$AI$33,8,FALSE))</f>
        <v/>
      </c>
      <c r="U4">
        <f>IF(C4="",0,VLOOKUP(C4,Bausteine!$A$2:$AI$33,9,FALSE))+IF(D4="",0,VLOOKUP(D4,Bausteine!$A$2:$AI$33,9,FALSE))+IF(E4="",0,VLOOKUP(E4,Bausteine!$A$2:$AI$33,9,FALSE))+IF(F4="",0,VLOOKUP(F4,Bausteine!$A$2:$AI$33,9,FALSE))+IF(G4="",0,VLOOKUP(G4,Bausteine!$A$2:$AI$33,9,FALSE))+IF(H4="",0,VLOOKUP(H4,Bausteine!$A$2:$AI$33,9,FALSE))+IF(I4="",0,VLOOKUP(I4,Bausteine!$A$2:$AI$33,9,FALSE))+IF(J4="",0,VLOOKUP(J4,Bausteine!$A$2:$AI$33,9,FALSE))+IF(K4="",0,VLOOKUP(K4,Bausteine!$A$2:$AI$33,9,FALSE))+IF(L4="",0,VLOOKUP(L4,Bausteine!$A$2:$AI$33,9,FALSE))</f>
        <v/>
      </c>
      <c r="V4">
        <f>IF(D4="",0,VLOOKUP(D4,Bausteine!$A$2:$AI$33,10,FALSE))-U4/IF(E4="",0,VLOOKUP(E4,Bausteine!$A$2:$AI$33,11,FALSE))</f>
        <v/>
      </c>
      <c r="W4">
        <f>IF(Y4&lt;&gt;"OK","",ROUND(MIN(IF(C4="",0,VLOOKUP(C4,Bausteine!$A$2:$AI$33,21,FALSE)),IF(C4="",0,VLOOKUP(C4,Bausteine!$A$2:$AI$33,20,FALSE))*(V4/T4/(IF(C4="",0,VLOOKUP(C4,Bausteine!$A$2:$AI$33,19,FALSE))/IF(C4="",0,VLOOKUP(C4,Bausteine!$A$2:$AI$33,18,FALSE))))^Parameter!$B$3),0))</f>
        <v/>
      </c>
      <c r="X4">
        <f>IF(F4="",0,VLOOKUP(F4,Bausteine!$A$2:$AI$33,14,FALSE))</f>
        <v/>
      </c>
      <c r="Y4">
        <f>IFERROR(IF(OR(R4&lt;=0,T4&lt;=0,V4&lt;=0,U4&gt;IF(E4="",0,VLOOKUP(E4,Bausteine!$A$2:$AI$33,12,FALSE)),T4&gt;IF(C4="",0,VLOOKUP(C4,Bausteine!$A$2:$AI$33,22,FALSE)),IF(E4="",0,VLOOKUP(E4,Bausteine!$A$2:$AI$33,11,FALSE))&lt;=0,IF(E4="",0,VLOOKUP(E4,Bausteine!$A$2:$AI$33,11,FALSE))&gt;1),"UNGUELTIG","OK"),"FEHLER")</f>
        <v/>
      </c>
      <c r="Z4" t="n">
        <v>600</v>
      </c>
      <c r="AA4" t="n">
        <v>103</v>
      </c>
      <c r="AB4" t="inlineStr"/>
    </row>
    <row r="5">
      <c r="A5" t="inlineStr">
        <is>
          <t>Gatling Tank</t>
        </is>
      </c>
      <c r="B5" t="inlineStr">
        <is>
          <t>china</t>
        </is>
      </c>
      <c r="C5" t="inlineStr">
        <is>
          <t>gatling-chassis</t>
        </is>
      </c>
      <c r="D5" t="inlineStr">
        <is>
          <t>diesel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gatling-turret</t>
        </is>
      </c>
      <c r="H5" t="inlineStr">
        <is>
          <t>gatling-gun</t>
        </is>
      </c>
      <c r="I5" t="inlineStr">
        <is>
          <t>gatling-rounds</t>
        </is>
      </c>
      <c r="J5" t="inlineStr"/>
      <c r="K5" t="inlineStr"/>
      <c r="L5" t="inlineStr"/>
      <c r="M5">
        <f>IF(C5="",0,VLOOKUP(C5,Bausteine!$A$2:$AI$33,4,FALSE))+IF(D5="",0,VLOOKUP(D5,Bausteine!$A$2:$AI$33,4,FALSE))+IF(E5="",0,VLOOKUP(E5,Bausteine!$A$2:$AI$33,4,FALSE))+IF(F5="",0,VLOOKUP(F5,Bausteine!$A$2:$AI$33,4,FALSE))+IF(G5="",0,VLOOKUP(G5,Bausteine!$A$2:$AI$33,4,FALSE))+IF(H5="",0,VLOOKUP(H5,Bausteine!$A$2:$AI$33,4,FALSE))+IF(I5="",0,VLOOKUP(I5,Bausteine!$A$2:$AI$33,4,FALSE))+IF(J5="",0,VLOOKUP(J5,Bausteine!$A$2:$AI$33,4,FALSE))+IF(K5="",0,VLOOKUP(K5,Bausteine!$A$2:$AI$33,4,FALSE))+IF(L5="",0,VLOOKUP(L5,Bausteine!$A$2:$AI$33,4,FALSE))</f>
        <v/>
      </c>
      <c r="N5">
        <f>IF(C5="",0,VLOOKUP(C5,Bausteine!$A$2:$AI$33,5,FALSE))+IF(D5="",0,VLOOKUP(D5,Bausteine!$A$2:$AI$33,5,FALSE))+IF(E5="",0,VLOOKUP(E5,Bausteine!$A$2:$AI$33,5,FALSE))+IF(F5="",0,VLOOKUP(F5,Bausteine!$A$2:$AI$33,5,FALSE))+IF(G5="",0,VLOOKUP(G5,Bausteine!$A$2:$AI$33,5,FALSE))+IF(H5="",0,VLOOKUP(H5,Bausteine!$A$2:$AI$33,5,FALSE))+IF(I5="",0,VLOOKUP(I5,Bausteine!$A$2:$AI$33,5,FALSE))+IF(J5="",0,VLOOKUP(J5,Bausteine!$A$2:$AI$33,5,FALSE))+IF(K5="",0,VLOOKUP(K5,Bausteine!$A$2:$AI$33,5,FALSE))+IF(L5="",0,VLOOKUP(L5,Bausteine!$A$2:$AI$33,5,FALSE))</f>
        <v/>
      </c>
      <c r="O5">
        <f>MAX(IF(C5="",0,VLOOKUP(C5,Bausteine!$A$2:$AI$33,6,FALSE)),IF(D5="",0,VLOOKUP(D5,Bausteine!$A$2:$AI$33,6,FALSE)),IF(E5="",0,VLOOKUP(E5,Bausteine!$A$2:$AI$33,6,FALSE)),IF(F5="",0,VLOOKUP(F5,Bausteine!$A$2:$AI$33,6,FALSE)),IF(G5="",0,VLOOKUP(G5,Bausteine!$A$2:$AI$33,6,FALSE)),IF(H5="",0,VLOOKUP(H5,Bausteine!$A$2:$AI$33,6,FALSE)),IF(I5="",0,VLOOKUP(I5,Bausteine!$A$2:$AI$33,6,FALSE)),IF(J5="",0,VLOOKUP(J5,Bausteine!$A$2:$AI$33,6,FALSE)),IF(K5="",0,VLOOKUP(K5,Bausteine!$A$2:$AI$33,6,FALSE)),IF(L5="",0,VLOOKUP(L5,Bausteine!$A$2:$AI$33,6,FALSE)))</f>
        <v/>
      </c>
      <c r="P5">
        <f>IF(C5="",0,VLOOKUP(C5,Bausteine!$A$2:$AI$33,7,FALSE))*IF(F5="",0,VLOOKUP(F5,Bausteine!$A$2:$AI$33,17,FALSE))/100+IF(D5="",0,VLOOKUP(D5,Bausteine!$A$2:$AI$33,7,FALSE))+IF(E5="",0,VLOOKUP(E5,Bausteine!$A$2:$AI$33,7,FALSE))+IF(G5="",0,VLOOKUP(G5,Bausteine!$A$2:$AI$33,7,FALSE))+IF(H5="",0,VLOOKUP(H5,Bausteine!$A$2:$AI$33,7,FALSE))+IF(I5="",0,VLOOKUP(I5,Bausteine!$A$2:$AI$33,7,FALSE))+IF(J5="",0,VLOOKUP(J5,Bausteine!$A$2:$AI$33,7,FALSE))+IF(K5="",0,VLOOKUP(K5,Bausteine!$A$2:$AI$33,7,FALSE))+IF(L5="",0,VLOOKUP(L5,Bausteine!$A$2:$AI$33,7,FALSE))</f>
        <v/>
      </c>
      <c r="Q5">
        <f>N5*Parameter!$B$2</f>
        <v/>
      </c>
      <c r="R5">
        <f>P5-Q5</f>
        <v/>
      </c>
      <c r="S5">
        <f>IF(C5="",0,VLOOKUP(C5,Bausteine!$A$2:$AI$33,13,FALSE))*IF(F5="",0,VLOOKUP(F5,Bausteine!$A$2:$AI$33,16,FALSE))/100</f>
        <v/>
      </c>
      <c r="T5">
        <f>IF(C5="",0,VLOOKUP(C5,Bausteine!$A$2:$AI$33,8,FALSE))*IF(F5="",0,VLOOKUP(F5,Bausteine!$A$2:$AI$33,15,FALSE))/100+IF(D5="",0,VLOOKUP(D5,Bausteine!$A$2:$AI$33,8,FALSE))+IF(E5="",0,VLOOKUP(E5,Bausteine!$A$2:$AI$33,8,FALSE))+IF(G5="",0,VLOOKUP(G5,Bausteine!$A$2:$AI$33,8,FALSE))+IF(H5="",0,VLOOKUP(H5,Bausteine!$A$2:$AI$33,8,FALSE))+IF(I5="",0,VLOOKUP(I5,Bausteine!$A$2:$AI$33,8,FALSE))+IF(J5="",0,VLOOKUP(J5,Bausteine!$A$2:$AI$33,8,FALSE))+IF(K5="",0,VLOOKUP(K5,Bausteine!$A$2:$AI$33,8,FALSE))+IF(L5="",0,VLOOKUP(L5,Bausteine!$A$2:$AI$33,8,FALSE))</f>
        <v/>
      </c>
      <c r="U5">
        <f>IF(C5="",0,VLOOKUP(C5,Bausteine!$A$2:$AI$33,9,FALSE))+IF(D5="",0,VLOOKUP(D5,Bausteine!$A$2:$AI$33,9,FALSE))+IF(E5="",0,VLOOKUP(E5,Bausteine!$A$2:$AI$33,9,FALSE))+IF(F5="",0,VLOOKUP(F5,Bausteine!$A$2:$AI$33,9,FALSE))+IF(G5="",0,VLOOKUP(G5,Bausteine!$A$2:$AI$33,9,FALSE))+IF(H5="",0,VLOOKUP(H5,Bausteine!$A$2:$AI$33,9,FALSE))+IF(I5="",0,VLOOKUP(I5,Bausteine!$A$2:$AI$33,9,FALSE))+IF(J5="",0,VLOOKUP(J5,Bausteine!$A$2:$AI$33,9,FALSE))+IF(K5="",0,VLOOKUP(K5,Bausteine!$A$2:$AI$33,9,FALSE))+IF(L5="",0,VLOOKUP(L5,Bausteine!$A$2:$AI$33,9,FALSE))</f>
        <v/>
      </c>
      <c r="V5">
        <f>IF(D5="",0,VLOOKUP(D5,Bausteine!$A$2:$AI$33,10,FALSE))-U5/IF(E5="",0,VLOOKUP(E5,Bausteine!$A$2:$AI$33,11,FALSE))</f>
        <v/>
      </c>
      <c r="W5">
        <f>IF(Y5&lt;&gt;"OK","",ROUND(MIN(IF(C5="",0,VLOOKUP(C5,Bausteine!$A$2:$AI$33,21,FALSE)),IF(C5="",0,VLOOKUP(C5,Bausteine!$A$2:$AI$33,20,FALSE))*(V5/T5/(IF(C5="",0,VLOOKUP(C5,Bausteine!$A$2:$AI$33,19,FALSE))/IF(C5="",0,VLOOKUP(C5,Bausteine!$A$2:$AI$33,18,FALSE))))^Parameter!$B$3),0))</f>
        <v/>
      </c>
      <c r="X5">
        <f>IF(F5="",0,VLOOKUP(F5,Bausteine!$A$2:$AI$33,14,FALSE))</f>
        <v/>
      </c>
      <c r="Y5">
        <f>IFERROR(IF(OR(R5&lt;=0,T5&lt;=0,V5&lt;=0,U5&gt;IF(E5="",0,VLOOKUP(E5,Bausteine!$A$2:$AI$33,12,FALSE)),T5&gt;IF(C5="",0,VLOOKUP(C5,Bausteine!$A$2:$AI$33,22,FALSE)),IF(E5="",0,VLOOKUP(E5,Bausteine!$A$2:$AI$33,11,FALSE))&lt;=0,IF(E5="",0,VLOOKUP(E5,Bausteine!$A$2:$AI$33,11,FALSE))&gt;1),"UNGUELTIG","OK"),"FEHLER")</f>
        <v/>
      </c>
      <c r="Z5" t="n">
        <v>800</v>
      </c>
      <c r="AA5" t="n">
        <v>108</v>
      </c>
      <c r="AB5" t="inlineStr">
        <is>
          <t>AA/ground spin-up and 6-cell sight override recorded, not implemented in calculator.</t>
        </is>
      </c>
    </row>
    <row r="6">
      <c r="A6" t="inlineStr">
        <is>
          <t>Gatling Tank PDL</t>
        </is>
      </c>
      <c r="B6" t="inlineStr">
        <is>
          <t>china</t>
        </is>
      </c>
      <c r="C6" t="inlineStr">
        <is>
          <t>gatling-chassis</t>
        </is>
      </c>
      <c r="D6" t="inlineStr">
        <is>
          <t>diesel-large</t>
        </is>
      </c>
      <c r="E6" t="inlineStr">
        <is>
          <t>efficient-generator</t>
        </is>
      </c>
      <c r="F6" t="inlineStr">
        <is>
          <t>heavy</t>
        </is>
      </c>
      <c r="G6" t="inlineStr">
        <is>
          <t>gatling-turret</t>
        </is>
      </c>
      <c r="H6" t="inlineStr">
        <is>
          <t>gatling-gun</t>
        </is>
      </c>
      <c r="I6" t="inlineStr">
        <is>
          <t>gatling-rounds</t>
        </is>
      </c>
      <c r="J6" t="inlineStr">
        <is>
          <t>pdl</t>
        </is>
      </c>
      <c r="K6" t="inlineStr"/>
      <c r="L6" t="inlineStr"/>
      <c r="M6">
        <f>IF(C6="",0,VLOOKUP(C6,Bausteine!$A$2:$AI$33,4,FALSE))+IF(D6="",0,VLOOKUP(D6,Bausteine!$A$2:$AI$33,4,FALSE))+IF(E6="",0,VLOOKUP(E6,Bausteine!$A$2:$AI$33,4,FALSE))+IF(F6="",0,VLOOKUP(F6,Bausteine!$A$2:$AI$33,4,FALSE))+IF(G6="",0,VLOOKUP(G6,Bausteine!$A$2:$AI$33,4,FALSE))+IF(H6="",0,VLOOKUP(H6,Bausteine!$A$2:$AI$33,4,FALSE))+IF(I6="",0,VLOOKUP(I6,Bausteine!$A$2:$AI$33,4,FALSE))+IF(J6="",0,VLOOKUP(J6,Bausteine!$A$2:$AI$33,4,FALSE))+IF(K6="",0,VLOOKUP(K6,Bausteine!$A$2:$AI$33,4,FALSE))+IF(L6="",0,VLOOKUP(L6,Bausteine!$A$2:$AI$33,4,FALSE))</f>
        <v/>
      </c>
      <c r="N6">
        <f>IF(C6="",0,VLOOKUP(C6,Bausteine!$A$2:$AI$33,5,FALSE))+IF(D6="",0,VLOOKUP(D6,Bausteine!$A$2:$AI$33,5,FALSE))+IF(E6="",0,VLOOKUP(E6,Bausteine!$A$2:$AI$33,5,FALSE))+IF(F6="",0,VLOOKUP(F6,Bausteine!$A$2:$AI$33,5,FALSE))+IF(G6="",0,VLOOKUP(G6,Bausteine!$A$2:$AI$33,5,FALSE))+IF(H6="",0,VLOOKUP(H6,Bausteine!$A$2:$AI$33,5,FALSE))+IF(I6="",0,VLOOKUP(I6,Bausteine!$A$2:$AI$33,5,FALSE))+IF(J6="",0,VLOOKUP(J6,Bausteine!$A$2:$AI$33,5,FALSE))+IF(K6="",0,VLOOKUP(K6,Bausteine!$A$2:$AI$33,5,FALSE))+IF(L6="",0,VLOOKUP(L6,Bausteine!$A$2:$AI$33,5,FALSE))</f>
        <v/>
      </c>
      <c r="O6">
        <f>MAX(IF(C6="",0,VLOOKUP(C6,Bausteine!$A$2:$AI$33,6,FALSE)),IF(D6="",0,VLOOKUP(D6,Bausteine!$A$2:$AI$33,6,FALSE)),IF(E6="",0,VLOOKUP(E6,Bausteine!$A$2:$AI$33,6,FALSE)),IF(F6="",0,VLOOKUP(F6,Bausteine!$A$2:$AI$33,6,FALSE)),IF(G6="",0,VLOOKUP(G6,Bausteine!$A$2:$AI$33,6,FALSE)),IF(H6="",0,VLOOKUP(H6,Bausteine!$A$2:$AI$33,6,FALSE)),IF(I6="",0,VLOOKUP(I6,Bausteine!$A$2:$AI$33,6,FALSE)),IF(J6="",0,VLOOKUP(J6,Bausteine!$A$2:$AI$33,6,FALSE)),IF(K6="",0,VLOOKUP(K6,Bausteine!$A$2:$AI$33,6,FALSE)),IF(L6="",0,VLOOKUP(L6,Bausteine!$A$2:$AI$33,6,FALSE)))</f>
        <v/>
      </c>
      <c r="P6">
        <f>IF(C6="",0,VLOOKUP(C6,Bausteine!$A$2:$AI$33,7,FALSE))*IF(F6="",0,VLOOKUP(F6,Bausteine!$A$2:$AI$33,17,FALSE))/100+IF(D6="",0,VLOOKUP(D6,Bausteine!$A$2:$AI$33,7,FALSE))+IF(E6="",0,VLOOKUP(E6,Bausteine!$A$2:$AI$33,7,FALSE))+IF(G6="",0,VLOOKUP(G6,Bausteine!$A$2:$AI$33,7,FALSE))+IF(H6="",0,VLOOKUP(H6,Bausteine!$A$2:$AI$33,7,FALSE))+IF(I6="",0,VLOOKUP(I6,Bausteine!$A$2:$AI$33,7,FALSE))+IF(J6="",0,VLOOKUP(J6,Bausteine!$A$2:$AI$33,7,FALSE))+IF(K6="",0,VLOOKUP(K6,Bausteine!$A$2:$AI$33,7,FALSE))+IF(L6="",0,VLOOKUP(L6,Bausteine!$A$2:$AI$33,7,FALSE))</f>
        <v/>
      </c>
      <c r="Q6">
        <f>N6*Parameter!$B$2</f>
        <v/>
      </c>
      <c r="R6">
        <f>P6-Q6</f>
        <v/>
      </c>
      <c r="S6">
        <f>IF(C6="",0,VLOOKUP(C6,Bausteine!$A$2:$AI$33,13,FALSE))*IF(F6="",0,VLOOKUP(F6,Bausteine!$A$2:$AI$33,16,FALSE))/100</f>
        <v/>
      </c>
      <c r="T6">
        <f>IF(C6="",0,VLOOKUP(C6,Bausteine!$A$2:$AI$33,8,FALSE))*IF(F6="",0,VLOOKUP(F6,Bausteine!$A$2:$AI$33,15,FALSE))/100+IF(D6="",0,VLOOKUP(D6,Bausteine!$A$2:$AI$33,8,FALSE))+IF(E6="",0,VLOOKUP(E6,Bausteine!$A$2:$AI$33,8,FALSE))+IF(G6="",0,VLOOKUP(G6,Bausteine!$A$2:$AI$33,8,FALSE))+IF(H6="",0,VLOOKUP(H6,Bausteine!$A$2:$AI$33,8,FALSE))+IF(I6="",0,VLOOKUP(I6,Bausteine!$A$2:$AI$33,8,FALSE))+IF(J6="",0,VLOOKUP(J6,Bausteine!$A$2:$AI$33,8,FALSE))+IF(K6="",0,VLOOKUP(K6,Bausteine!$A$2:$AI$33,8,FALSE))+IF(L6="",0,VLOOKUP(L6,Bausteine!$A$2:$AI$33,8,FALSE))</f>
        <v/>
      </c>
      <c r="U6">
        <f>IF(C6="",0,VLOOKUP(C6,Bausteine!$A$2:$AI$33,9,FALSE))+IF(D6="",0,VLOOKUP(D6,Bausteine!$A$2:$AI$33,9,FALSE))+IF(E6="",0,VLOOKUP(E6,Bausteine!$A$2:$AI$33,9,FALSE))+IF(F6="",0,VLOOKUP(F6,Bausteine!$A$2:$AI$33,9,FALSE))+IF(G6="",0,VLOOKUP(G6,Bausteine!$A$2:$AI$33,9,FALSE))+IF(H6="",0,VLOOKUP(H6,Bausteine!$A$2:$AI$33,9,FALSE))+IF(I6="",0,VLOOKUP(I6,Bausteine!$A$2:$AI$33,9,FALSE))+IF(J6="",0,VLOOKUP(J6,Bausteine!$A$2:$AI$33,9,FALSE))+IF(K6="",0,VLOOKUP(K6,Bausteine!$A$2:$AI$33,9,FALSE))+IF(L6="",0,VLOOKUP(L6,Bausteine!$A$2:$AI$33,9,FALSE))</f>
        <v/>
      </c>
      <c r="V6">
        <f>IF(D6="",0,VLOOKUP(D6,Bausteine!$A$2:$AI$33,10,FALSE))-U6/IF(E6="",0,VLOOKUP(E6,Bausteine!$A$2:$AI$33,11,FALSE))</f>
        <v/>
      </c>
      <c r="W6">
        <f>IF(Y6&lt;&gt;"OK","",ROUND(MIN(IF(C6="",0,VLOOKUP(C6,Bausteine!$A$2:$AI$33,21,FALSE)),IF(C6="",0,VLOOKUP(C6,Bausteine!$A$2:$AI$33,20,FALSE))*(V6/T6/(IF(C6="",0,VLOOKUP(C6,Bausteine!$A$2:$AI$33,19,FALSE))/IF(C6="",0,VLOOKUP(C6,Bausteine!$A$2:$AI$33,18,FALSE))))^Parameter!$B$3),0))</f>
        <v/>
      </c>
      <c r="X6">
        <f>IF(F6="",0,VLOOKUP(F6,Bausteine!$A$2:$AI$33,14,FALSE))</f>
        <v/>
      </c>
      <c r="Y6">
        <f>IFERROR(IF(OR(R6&lt;=0,T6&lt;=0,V6&lt;=0,U6&gt;IF(E6="",0,VLOOKUP(E6,Bausteine!$A$2:$AI$33,12,FALSE)),T6&gt;IF(C6="",0,VLOOKUP(C6,Bausteine!$A$2:$AI$33,22,FALSE)),IF(E6="",0,VLOOKUP(E6,Bausteine!$A$2:$AI$33,11,FALSE))&lt;=0,IF(E6="",0,VLOOKUP(E6,Bausteine!$A$2:$AI$33,11,FALSE))&gt;1),"UNGUELTIG","OK"),"FEHLER")</f>
        <v/>
      </c>
      <c r="Z6" t="n">
        <v>1450</v>
      </c>
      <c r="AA6" t="n">
        <v>108</v>
      </c>
      <c r="AB6" t="inlineStr">
        <is>
          <t>Legacy promotion restricted to Tank General; catalog uses China base faction as agreed.</t>
        </is>
      </c>
    </row>
    <row r="7">
      <c r="A7" t="inlineStr">
        <is>
          <t>Gatling Tank Reflector</t>
        </is>
      </c>
      <c r="B7" t="inlineStr">
        <is>
          <t>china</t>
        </is>
      </c>
      <c r="C7" t="inlineStr">
        <is>
          <t>gatling-chassis</t>
        </is>
      </c>
      <c r="D7" t="inlineStr">
        <is>
          <t>diesel-large</t>
        </is>
      </c>
      <c r="E7" t="inlineStr">
        <is>
          <t>efficient-generator</t>
        </is>
      </c>
      <c r="F7" t="inlineStr">
        <is>
          <t>reflector</t>
        </is>
      </c>
      <c r="G7" t="inlineStr">
        <is>
          <t>gatling-turret</t>
        </is>
      </c>
      <c r="H7" t="inlineStr">
        <is>
          <t>gatling-gun</t>
        </is>
      </c>
      <c r="I7" t="inlineStr">
        <is>
          <t>gatling-rounds</t>
        </is>
      </c>
      <c r="J7" t="inlineStr"/>
      <c r="K7" t="inlineStr"/>
      <c r="L7" t="inlineStr"/>
      <c r="M7">
        <f>IF(C7="",0,VLOOKUP(C7,Bausteine!$A$2:$AI$33,4,FALSE))+IF(D7="",0,VLOOKUP(D7,Bausteine!$A$2:$AI$33,4,FALSE))+IF(E7="",0,VLOOKUP(E7,Bausteine!$A$2:$AI$33,4,FALSE))+IF(F7="",0,VLOOKUP(F7,Bausteine!$A$2:$AI$33,4,FALSE))+IF(G7="",0,VLOOKUP(G7,Bausteine!$A$2:$AI$33,4,FALSE))+IF(H7="",0,VLOOKUP(H7,Bausteine!$A$2:$AI$33,4,FALSE))+IF(I7="",0,VLOOKUP(I7,Bausteine!$A$2:$AI$33,4,FALSE))+IF(J7="",0,VLOOKUP(J7,Bausteine!$A$2:$AI$33,4,FALSE))+IF(K7="",0,VLOOKUP(K7,Bausteine!$A$2:$AI$33,4,FALSE))+IF(L7="",0,VLOOKUP(L7,Bausteine!$A$2:$AI$33,4,FALSE))</f>
        <v/>
      </c>
      <c r="N7">
        <f>IF(C7="",0,VLOOKUP(C7,Bausteine!$A$2:$AI$33,5,FALSE))+IF(D7="",0,VLOOKUP(D7,Bausteine!$A$2:$AI$33,5,FALSE))+IF(E7="",0,VLOOKUP(E7,Bausteine!$A$2:$AI$33,5,FALSE))+IF(F7="",0,VLOOKUP(F7,Bausteine!$A$2:$AI$33,5,FALSE))+IF(G7="",0,VLOOKUP(G7,Bausteine!$A$2:$AI$33,5,FALSE))+IF(H7="",0,VLOOKUP(H7,Bausteine!$A$2:$AI$33,5,FALSE))+IF(I7="",0,VLOOKUP(I7,Bausteine!$A$2:$AI$33,5,FALSE))+IF(J7="",0,VLOOKUP(J7,Bausteine!$A$2:$AI$33,5,FALSE))+IF(K7="",0,VLOOKUP(K7,Bausteine!$A$2:$AI$33,5,FALSE))+IF(L7="",0,VLOOKUP(L7,Bausteine!$A$2:$AI$33,5,FALSE))</f>
        <v/>
      </c>
      <c r="O7">
        <f>MAX(IF(C7="",0,VLOOKUP(C7,Bausteine!$A$2:$AI$33,6,FALSE)),IF(D7="",0,VLOOKUP(D7,Bausteine!$A$2:$AI$33,6,FALSE)),IF(E7="",0,VLOOKUP(E7,Bausteine!$A$2:$AI$33,6,FALSE)),IF(F7="",0,VLOOKUP(F7,Bausteine!$A$2:$AI$33,6,FALSE)),IF(G7="",0,VLOOKUP(G7,Bausteine!$A$2:$AI$33,6,FALSE)),IF(H7="",0,VLOOKUP(H7,Bausteine!$A$2:$AI$33,6,FALSE)),IF(I7="",0,VLOOKUP(I7,Bausteine!$A$2:$AI$33,6,FALSE)),IF(J7="",0,VLOOKUP(J7,Bausteine!$A$2:$AI$33,6,FALSE)),IF(K7="",0,VLOOKUP(K7,Bausteine!$A$2:$AI$33,6,FALSE)),IF(L7="",0,VLOOKUP(L7,Bausteine!$A$2:$AI$33,6,FALSE)))</f>
        <v/>
      </c>
      <c r="P7">
        <f>IF(C7="",0,VLOOKUP(C7,Bausteine!$A$2:$AI$33,7,FALSE))*IF(F7="",0,VLOOKUP(F7,Bausteine!$A$2:$AI$33,17,FALSE))/100+IF(D7="",0,VLOOKUP(D7,Bausteine!$A$2:$AI$33,7,FALSE))+IF(E7="",0,VLOOKUP(E7,Bausteine!$A$2:$AI$33,7,FALSE))+IF(G7="",0,VLOOKUP(G7,Bausteine!$A$2:$AI$33,7,FALSE))+IF(H7="",0,VLOOKUP(H7,Bausteine!$A$2:$AI$33,7,FALSE))+IF(I7="",0,VLOOKUP(I7,Bausteine!$A$2:$AI$33,7,FALSE))+IF(J7="",0,VLOOKUP(J7,Bausteine!$A$2:$AI$33,7,FALSE))+IF(K7="",0,VLOOKUP(K7,Bausteine!$A$2:$AI$33,7,FALSE))+IF(L7="",0,VLOOKUP(L7,Bausteine!$A$2:$AI$33,7,FALSE))</f>
        <v/>
      </c>
      <c r="Q7">
        <f>N7*Parameter!$B$2</f>
        <v/>
      </c>
      <c r="R7">
        <f>P7-Q7</f>
        <v/>
      </c>
      <c r="S7">
        <f>IF(C7="",0,VLOOKUP(C7,Bausteine!$A$2:$AI$33,13,FALSE))*IF(F7="",0,VLOOKUP(F7,Bausteine!$A$2:$AI$33,16,FALSE))/100</f>
        <v/>
      </c>
      <c r="T7">
        <f>IF(C7="",0,VLOOKUP(C7,Bausteine!$A$2:$AI$33,8,FALSE))*IF(F7="",0,VLOOKUP(F7,Bausteine!$A$2:$AI$33,15,FALSE))/100+IF(D7="",0,VLOOKUP(D7,Bausteine!$A$2:$AI$33,8,FALSE))+IF(E7="",0,VLOOKUP(E7,Bausteine!$A$2:$AI$33,8,FALSE))+IF(G7="",0,VLOOKUP(G7,Bausteine!$A$2:$AI$33,8,FALSE))+IF(H7="",0,VLOOKUP(H7,Bausteine!$A$2:$AI$33,8,FALSE))+IF(I7="",0,VLOOKUP(I7,Bausteine!$A$2:$AI$33,8,FALSE))+IF(J7="",0,VLOOKUP(J7,Bausteine!$A$2:$AI$33,8,FALSE))+IF(K7="",0,VLOOKUP(K7,Bausteine!$A$2:$AI$33,8,FALSE))+IF(L7="",0,VLOOKUP(L7,Bausteine!$A$2:$AI$33,8,FALSE))</f>
        <v/>
      </c>
      <c r="U7">
        <f>IF(C7="",0,VLOOKUP(C7,Bausteine!$A$2:$AI$33,9,FALSE))+IF(D7="",0,VLOOKUP(D7,Bausteine!$A$2:$AI$33,9,FALSE))+IF(E7="",0,VLOOKUP(E7,Bausteine!$A$2:$AI$33,9,FALSE))+IF(F7="",0,VLOOKUP(F7,Bausteine!$A$2:$AI$33,9,FALSE))+IF(G7="",0,VLOOKUP(G7,Bausteine!$A$2:$AI$33,9,FALSE))+IF(H7="",0,VLOOKUP(H7,Bausteine!$A$2:$AI$33,9,FALSE))+IF(I7="",0,VLOOKUP(I7,Bausteine!$A$2:$AI$33,9,FALSE))+IF(J7="",0,VLOOKUP(J7,Bausteine!$A$2:$AI$33,9,FALSE))+IF(K7="",0,VLOOKUP(K7,Bausteine!$A$2:$AI$33,9,FALSE))+IF(L7="",0,VLOOKUP(L7,Bausteine!$A$2:$AI$33,9,FALSE))</f>
        <v/>
      </c>
      <c r="V7">
        <f>IF(D7="",0,VLOOKUP(D7,Bausteine!$A$2:$AI$33,10,FALSE))-U7/IF(E7="",0,VLOOKUP(E7,Bausteine!$A$2:$AI$33,11,FALSE))</f>
        <v/>
      </c>
      <c r="W7">
        <f>IF(Y7&lt;&gt;"OK","",ROUND(MIN(IF(C7="",0,VLOOKUP(C7,Bausteine!$A$2:$AI$33,21,FALSE)),IF(C7="",0,VLOOKUP(C7,Bausteine!$A$2:$AI$33,20,FALSE))*(V7/T7/(IF(C7="",0,VLOOKUP(C7,Bausteine!$A$2:$AI$33,19,FALSE))/IF(C7="",0,VLOOKUP(C7,Bausteine!$A$2:$AI$33,18,FALSE))))^Parameter!$B$3),0))</f>
        <v/>
      </c>
      <c r="X7">
        <f>IF(F7="",0,VLOOKUP(F7,Bausteine!$A$2:$AI$33,14,FALSE))</f>
        <v/>
      </c>
      <c r="Y7">
        <f>IFERROR(IF(OR(R7&lt;=0,T7&lt;=0,V7&lt;=0,U7&gt;IF(E7="",0,VLOOKUP(E7,Bausteine!$A$2:$AI$33,12,FALSE)),T7&gt;IF(C7="",0,VLOOKUP(C7,Bausteine!$A$2:$AI$33,22,FALSE)),IF(E7="",0,VLOOKUP(E7,Bausteine!$A$2:$AI$33,11,FALSE))&lt;=0,IF(E7="",0,VLOOKUP(E7,Bausteine!$A$2:$AI$33,11,FALSE))&gt;1),"UNGUELTIG","OK"),"FEHLER")</f>
        <v/>
      </c>
      <c r="Z7" t="n">
        <v>800</v>
      </c>
      <c r="AA7" t="n">
        <v>108</v>
      </c>
      <c r="AB7" t="inlineStr">
        <is>
          <t>Legacy promotion restricted to Tank General; catalog uses China base faction as agreed.</t>
        </is>
      </c>
    </row>
    <row r="8">
      <c r="A8" t="inlineStr">
        <is>
          <t>Battlemaster Nuclear Shells</t>
        </is>
      </c>
      <c r="B8" t="inlineStr">
        <is>
          <t>china</t>
        </is>
      </c>
      <c r="C8" t="inlineStr">
        <is>
          <t>battlemaster</t>
        </is>
      </c>
      <c r="D8" t="inlineStr">
        <is>
          <t>diesel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cannon-turret</t>
        </is>
      </c>
      <c r="H8" t="inlineStr">
        <is>
          <t>cannon</t>
        </is>
      </c>
      <c r="I8" t="inlineStr">
        <is>
          <t>nuclear-shell</t>
        </is>
      </c>
      <c r="J8" t="inlineStr"/>
      <c r="K8" t="inlineStr"/>
      <c r="L8" t="inlineStr"/>
      <c r="M8">
        <f>IF(C8="",0,VLOOKUP(C8,Bausteine!$A$2:$AI$33,4,FALSE))+IF(D8="",0,VLOOKUP(D8,Bausteine!$A$2:$AI$33,4,FALSE))+IF(E8="",0,VLOOKUP(E8,Bausteine!$A$2:$AI$33,4,FALSE))+IF(F8="",0,VLOOKUP(F8,Bausteine!$A$2:$AI$33,4,FALSE))+IF(G8="",0,VLOOKUP(G8,Bausteine!$A$2:$AI$33,4,FALSE))+IF(H8="",0,VLOOKUP(H8,Bausteine!$A$2:$AI$33,4,FALSE))+IF(I8="",0,VLOOKUP(I8,Bausteine!$A$2:$AI$33,4,FALSE))+IF(J8="",0,VLOOKUP(J8,Bausteine!$A$2:$AI$33,4,FALSE))+IF(K8="",0,VLOOKUP(K8,Bausteine!$A$2:$AI$33,4,FALSE))+IF(L8="",0,VLOOKUP(L8,Bausteine!$A$2:$AI$33,4,FALSE))</f>
        <v/>
      </c>
      <c r="N8">
        <f>IF(C8="",0,VLOOKUP(C8,Bausteine!$A$2:$AI$33,5,FALSE))+IF(D8="",0,VLOOKUP(D8,Bausteine!$A$2:$AI$33,5,FALSE))+IF(E8="",0,VLOOKUP(E8,Bausteine!$A$2:$AI$33,5,FALSE))+IF(F8="",0,VLOOKUP(F8,Bausteine!$A$2:$AI$33,5,FALSE))+IF(G8="",0,VLOOKUP(G8,Bausteine!$A$2:$AI$33,5,FALSE))+IF(H8="",0,VLOOKUP(H8,Bausteine!$A$2:$AI$33,5,FALSE))+IF(I8="",0,VLOOKUP(I8,Bausteine!$A$2:$AI$33,5,FALSE))+IF(J8="",0,VLOOKUP(J8,Bausteine!$A$2:$AI$33,5,FALSE))+IF(K8="",0,VLOOKUP(K8,Bausteine!$A$2:$AI$33,5,FALSE))+IF(L8="",0,VLOOKUP(L8,Bausteine!$A$2:$AI$33,5,FALSE))</f>
        <v/>
      </c>
      <c r="O8">
        <f>MAX(IF(C8="",0,VLOOKUP(C8,Bausteine!$A$2:$AI$33,6,FALSE)),IF(D8="",0,VLOOKUP(D8,Bausteine!$A$2:$AI$33,6,FALSE)),IF(E8="",0,VLOOKUP(E8,Bausteine!$A$2:$AI$33,6,FALSE)),IF(F8="",0,VLOOKUP(F8,Bausteine!$A$2:$AI$33,6,FALSE)),IF(G8="",0,VLOOKUP(G8,Bausteine!$A$2:$AI$33,6,FALSE)),IF(H8="",0,VLOOKUP(H8,Bausteine!$A$2:$AI$33,6,FALSE)),IF(I8="",0,VLOOKUP(I8,Bausteine!$A$2:$AI$33,6,FALSE)),IF(J8="",0,VLOOKUP(J8,Bausteine!$A$2:$AI$33,6,FALSE)),IF(K8="",0,VLOOKUP(K8,Bausteine!$A$2:$AI$33,6,FALSE)),IF(L8="",0,VLOOKUP(L8,Bausteine!$A$2:$AI$33,6,FALSE)))</f>
        <v/>
      </c>
      <c r="P8">
        <f>IF(C8="",0,VLOOKUP(C8,Bausteine!$A$2:$AI$33,7,FALSE))*IF(F8="",0,VLOOKUP(F8,Bausteine!$A$2:$AI$33,17,FALSE))/100+IF(D8="",0,VLOOKUP(D8,Bausteine!$A$2:$AI$33,7,FALSE))+IF(E8="",0,VLOOKUP(E8,Bausteine!$A$2:$AI$33,7,FALSE))+IF(G8="",0,VLOOKUP(G8,Bausteine!$A$2:$AI$33,7,FALSE))+IF(H8="",0,VLOOKUP(H8,Bausteine!$A$2:$AI$33,7,FALSE))+IF(I8="",0,VLOOKUP(I8,Bausteine!$A$2:$AI$33,7,FALSE))+IF(J8="",0,VLOOKUP(J8,Bausteine!$A$2:$AI$33,7,FALSE))+IF(K8="",0,VLOOKUP(K8,Bausteine!$A$2:$AI$33,7,FALSE))+IF(L8="",0,VLOOKUP(L8,Bausteine!$A$2:$AI$33,7,FALSE))</f>
        <v/>
      </c>
      <c r="Q8">
        <f>N8*Parameter!$B$2</f>
        <v/>
      </c>
      <c r="R8">
        <f>P8-Q8</f>
        <v/>
      </c>
      <c r="S8">
        <f>IF(C8="",0,VLOOKUP(C8,Bausteine!$A$2:$AI$33,13,FALSE))*IF(F8="",0,VLOOKUP(F8,Bausteine!$A$2:$AI$33,16,FALSE))/100</f>
        <v/>
      </c>
      <c r="T8">
        <f>IF(C8="",0,VLOOKUP(C8,Bausteine!$A$2:$AI$33,8,FALSE))*IF(F8="",0,VLOOKUP(F8,Bausteine!$A$2:$AI$33,15,FALSE))/100+IF(D8="",0,VLOOKUP(D8,Bausteine!$A$2:$AI$33,8,FALSE))+IF(E8="",0,VLOOKUP(E8,Bausteine!$A$2:$AI$33,8,FALSE))+IF(G8="",0,VLOOKUP(G8,Bausteine!$A$2:$AI$33,8,FALSE))+IF(H8="",0,VLOOKUP(H8,Bausteine!$A$2:$AI$33,8,FALSE))+IF(I8="",0,VLOOKUP(I8,Bausteine!$A$2:$AI$33,8,FALSE))+IF(J8="",0,VLOOKUP(J8,Bausteine!$A$2:$AI$33,8,FALSE))+IF(K8="",0,VLOOKUP(K8,Bausteine!$A$2:$AI$33,8,FALSE))+IF(L8="",0,VLOOKUP(L8,Bausteine!$A$2:$AI$33,8,FALSE))</f>
        <v/>
      </c>
      <c r="U8">
        <f>IF(C8="",0,VLOOKUP(C8,Bausteine!$A$2:$AI$33,9,FALSE))+IF(D8="",0,VLOOKUP(D8,Bausteine!$A$2:$AI$33,9,FALSE))+IF(E8="",0,VLOOKUP(E8,Bausteine!$A$2:$AI$33,9,FALSE))+IF(F8="",0,VLOOKUP(F8,Bausteine!$A$2:$AI$33,9,FALSE))+IF(G8="",0,VLOOKUP(G8,Bausteine!$A$2:$AI$33,9,FALSE))+IF(H8="",0,VLOOKUP(H8,Bausteine!$A$2:$AI$33,9,FALSE))+IF(I8="",0,VLOOKUP(I8,Bausteine!$A$2:$AI$33,9,FALSE))+IF(J8="",0,VLOOKUP(J8,Bausteine!$A$2:$AI$33,9,FALSE))+IF(K8="",0,VLOOKUP(K8,Bausteine!$A$2:$AI$33,9,FALSE))+IF(L8="",0,VLOOKUP(L8,Bausteine!$A$2:$AI$33,9,FALSE))</f>
        <v/>
      </c>
      <c r="V8">
        <f>IF(D8="",0,VLOOKUP(D8,Bausteine!$A$2:$AI$33,10,FALSE))-U8/IF(E8="",0,VLOOKUP(E8,Bausteine!$A$2:$AI$33,11,FALSE))</f>
        <v/>
      </c>
      <c r="W8">
        <f>IF(Y8&lt;&gt;"OK","",ROUND(MIN(IF(C8="",0,VLOOKUP(C8,Bausteine!$A$2:$AI$33,21,FALSE)),IF(C8="",0,VLOOKUP(C8,Bausteine!$A$2:$AI$33,20,FALSE))*(V8/T8/(IF(C8="",0,VLOOKUP(C8,Bausteine!$A$2:$AI$33,19,FALSE))/IF(C8="",0,VLOOKUP(C8,Bausteine!$A$2:$AI$33,18,FALSE))))^Parameter!$B$3),0))</f>
        <v/>
      </c>
      <c r="X8">
        <f>IF(F8="",0,VLOOKUP(F8,Bausteine!$A$2:$AI$33,14,FALSE))</f>
        <v/>
      </c>
      <c r="Y8">
        <f>IFERROR(IF(OR(R8&lt;=0,T8&lt;=0,V8&lt;=0,U8&gt;IF(E8="",0,VLOOKUP(E8,Bausteine!$A$2:$AI$33,12,FALSE)),T8&gt;IF(C8="",0,VLOOKUP(C8,Bausteine!$A$2:$AI$33,22,FALSE)),IF(E8="",0,VLOOKUP(E8,Bausteine!$A$2:$AI$33,11,FALSE))&lt;=0,IF(E8="",0,VLOOKUP(E8,Bausteine!$A$2:$AI$33,11,FALSE))&gt;1),"UNGUELTIG","OK"),"FEHLER")</f>
        <v/>
      </c>
      <c r="Z8" t="n">
        <v>950</v>
      </c>
      <c r="AA8" t="n">
        <v>100</v>
      </c>
      <c r="AB8" t="inlineStr"/>
    </row>
    <row r="9">
      <c r="A9" t="inlineStr">
        <is>
          <t>Battlemaster Nuclear Shells PDL</t>
        </is>
      </c>
      <c r="B9" t="inlineStr">
        <is>
          <t>china</t>
        </is>
      </c>
      <c r="C9" t="inlineStr">
        <is>
          <t>battlemaster</t>
        </is>
      </c>
      <c r="D9" t="inlineStr">
        <is>
          <t>diesel-large</t>
        </is>
      </c>
      <c r="E9" t="inlineStr">
        <is>
          <t>efficient-generator</t>
        </is>
      </c>
      <c r="F9" t="inlineStr">
        <is>
          <t>heavy</t>
        </is>
      </c>
      <c r="G9" t="inlineStr">
        <is>
          <t>cannon-turret</t>
        </is>
      </c>
      <c r="H9" t="inlineStr">
        <is>
          <t>cannon</t>
        </is>
      </c>
      <c r="I9" t="inlineStr">
        <is>
          <t>nuclear-shell</t>
        </is>
      </c>
      <c r="J9" t="inlineStr">
        <is>
          <t>pdl</t>
        </is>
      </c>
      <c r="K9" t="inlineStr"/>
      <c r="L9" t="inlineStr"/>
      <c r="M9">
        <f>IF(C9="",0,VLOOKUP(C9,Bausteine!$A$2:$AI$33,4,FALSE))+IF(D9="",0,VLOOKUP(D9,Bausteine!$A$2:$AI$33,4,FALSE))+IF(E9="",0,VLOOKUP(E9,Bausteine!$A$2:$AI$33,4,FALSE))+IF(F9="",0,VLOOKUP(F9,Bausteine!$A$2:$AI$33,4,FALSE))+IF(G9="",0,VLOOKUP(G9,Bausteine!$A$2:$AI$33,4,FALSE))+IF(H9="",0,VLOOKUP(H9,Bausteine!$A$2:$AI$33,4,FALSE))+IF(I9="",0,VLOOKUP(I9,Bausteine!$A$2:$AI$33,4,FALSE))+IF(J9="",0,VLOOKUP(J9,Bausteine!$A$2:$AI$33,4,FALSE))+IF(K9="",0,VLOOKUP(K9,Bausteine!$A$2:$AI$33,4,FALSE))+IF(L9="",0,VLOOKUP(L9,Bausteine!$A$2:$AI$33,4,FALSE))</f>
        <v/>
      </c>
      <c r="N9">
        <f>IF(C9="",0,VLOOKUP(C9,Bausteine!$A$2:$AI$33,5,FALSE))+IF(D9="",0,VLOOKUP(D9,Bausteine!$A$2:$AI$33,5,FALSE))+IF(E9="",0,VLOOKUP(E9,Bausteine!$A$2:$AI$33,5,FALSE))+IF(F9="",0,VLOOKUP(F9,Bausteine!$A$2:$AI$33,5,FALSE))+IF(G9="",0,VLOOKUP(G9,Bausteine!$A$2:$AI$33,5,FALSE))+IF(H9="",0,VLOOKUP(H9,Bausteine!$A$2:$AI$33,5,FALSE))+IF(I9="",0,VLOOKUP(I9,Bausteine!$A$2:$AI$33,5,FALSE))+IF(J9="",0,VLOOKUP(J9,Bausteine!$A$2:$AI$33,5,FALSE))+IF(K9="",0,VLOOKUP(K9,Bausteine!$A$2:$AI$33,5,FALSE))+IF(L9="",0,VLOOKUP(L9,Bausteine!$A$2:$AI$33,5,FALSE))</f>
        <v/>
      </c>
      <c r="O9">
        <f>MAX(IF(C9="",0,VLOOKUP(C9,Bausteine!$A$2:$AI$33,6,FALSE)),IF(D9="",0,VLOOKUP(D9,Bausteine!$A$2:$AI$33,6,FALSE)),IF(E9="",0,VLOOKUP(E9,Bausteine!$A$2:$AI$33,6,FALSE)),IF(F9="",0,VLOOKUP(F9,Bausteine!$A$2:$AI$33,6,FALSE)),IF(G9="",0,VLOOKUP(G9,Bausteine!$A$2:$AI$33,6,FALSE)),IF(H9="",0,VLOOKUP(H9,Bausteine!$A$2:$AI$33,6,FALSE)),IF(I9="",0,VLOOKUP(I9,Bausteine!$A$2:$AI$33,6,FALSE)),IF(J9="",0,VLOOKUP(J9,Bausteine!$A$2:$AI$33,6,FALSE)),IF(K9="",0,VLOOKUP(K9,Bausteine!$A$2:$AI$33,6,FALSE)),IF(L9="",0,VLOOKUP(L9,Bausteine!$A$2:$AI$33,6,FALSE)))</f>
        <v/>
      </c>
      <c r="P9">
        <f>IF(C9="",0,VLOOKUP(C9,Bausteine!$A$2:$AI$33,7,FALSE))*IF(F9="",0,VLOOKUP(F9,Bausteine!$A$2:$AI$33,17,FALSE))/100+IF(D9="",0,VLOOKUP(D9,Bausteine!$A$2:$AI$33,7,FALSE))+IF(E9="",0,VLOOKUP(E9,Bausteine!$A$2:$AI$33,7,FALSE))+IF(G9="",0,VLOOKUP(G9,Bausteine!$A$2:$AI$33,7,FALSE))+IF(H9="",0,VLOOKUP(H9,Bausteine!$A$2:$AI$33,7,FALSE))+IF(I9="",0,VLOOKUP(I9,Bausteine!$A$2:$AI$33,7,FALSE))+IF(J9="",0,VLOOKUP(J9,Bausteine!$A$2:$AI$33,7,FALSE))+IF(K9="",0,VLOOKUP(K9,Bausteine!$A$2:$AI$33,7,FALSE))+IF(L9="",0,VLOOKUP(L9,Bausteine!$A$2:$AI$33,7,FALSE))</f>
        <v/>
      </c>
      <c r="Q9">
        <f>N9*Parameter!$B$2</f>
        <v/>
      </c>
      <c r="R9">
        <f>P9-Q9</f>
        <v/>
      </c>
      <c r="S9">
        <f>IF(C9="",0,VLOOKUP(C9,Bausteine!$A$2:$AI$33,13,FALSE))*IF(F9="",0,VLOOKUP(F9,Bausteine!$A$2:$AI$33,16,FALSE))/100</f>
        <v/>
      </c>
      <c r="T9">
        <f>IF(C9="",0,VLOOKUP(C9,Bausteine!$A$2:$AI$33,8,FALSE))*IF(F9="",0,VLOOKUP(F9,Bausteine!$A$2:$AI$33,15,FALSE))/100+IF(D9="",0,VLOOKUP(D9,Bausteine!$A$2:$AI$33,8,FALSE))+IF(E9="",0,VLOOKUP(E9,Bausteine!$A$2:$AI$33,8,FALSE))+IF(G9="",0,VLOOKUP(G9,Bausteine!$A$2:$AI$33,8,FALSE))+IF(H9="",0,VLOOKUP(H9,Bausteine!$A$2:$AI$33,8,FALSE))+IF(I9="",0,VLOOKUP(I9,Bausteine!$A$2:$AI$33,8,FALSE))+IF(J9="",0,VLOOKUP(J9,Bausteine!$A$2:$AI$33,8,FALSE))+IF(K9="",0,VLOOKUP(K9,Bausteine!$A$2:$AI$33,8,FALSE))+IF(L9="",0,VLOOKUP(L9,Bausteine!$A$2:$AI$33,8,FALSE))</f>
        <v/>
      </c>
      <c r="U9">
        <f>IF(C9="",0,VLOOKUP(C9,Bausteine!$A$2:$AI$33,9,FALSE))+IF(D9="",0,VLOOKUP(D9,Bausteine!$A$2:$AI$33,9,FALSE))+IF(E9="",0,VLOOKUP(E9,Bausteine!$A$2:$AI$33,9,FALSE))+IF(F9="",0,VLOOKUP(F9,Bausteine!$A$2:$AI$33,9,FALSE))+IF(G9="",0,VLOOKUP(G9,Bausteine!$A$2:$AI$33,9,FALSE))+IF(H9="",0,VLOOKUP(H9,Bausteine!$A$2:$AI$33,9,FALSE))+IF(I9="",0,VLOOKUP(I9,Bausteine!$A$2:$AI$33,9,FALSE))+IF(J9="",0,VLOOKUP(J9,Bausteine!$A$2:$AI$33,9,FALSE))+IF(K9="",0,VLOOKUP(K9,Bausteine!$A$2:$AI$33,9,FALSE))+IF(L9="",0,VLOOKUP(L9,Bausteine!$A$2:$AI$33,9,FALSE))</f>
        <v/>
      </c>
      <c r="V9">
        <f>IF(D9="",0,VLOOKUP(D9,Bausteine!$A$2:$AI$33,10,FALSE))-U9/IF(E9="",0,VLOOKUP(E9,Bausteine!$A$2:$AI$33,11,FALSE))</f>
        <v/>
      </c>
      <c r="W9">
        <f>IF(Y9&lt;&gt;"OK","",ROUND(MIN(IF(C9="",0,VLOOKUP(C9,Bausteine!$A$2:$AI$33,21,FALSE)),IF(C9="",0,VLOOKUP(C9,Bausteine!$A$2:$AI$33,20,FALSE))*(V9/T9/(IF(C9="",0,VLOOKUP(C9,Bausteine!$A$2:$AI$33,19,FALSE))/IF(C9="",0,VLOOKUP(C9,Bausteine!$A$2:$AI$33,18,FALSE))))^Parameter!$B$3),0))</f>
        <v/>
      </c>
      <c r="X9">
        <f>IF(F9="",0,VLOOKUP(F9,Bausteine!$A$2:$AI$33,14,FALSE))</f>
        <v/>
      </c>
      <c r="Y9">
        <f>IFERROR(IF(OR(R9&lt;=0,T9&lt;=0,V9&lt;=0,U9&gt;IF(E9="",0,VLOOKUP(E9,Bausteine!$A$2:$AI$33,12,FALSE)),T9&gt;IF(C9="",0,VLOOKUP(C9,Bausteine!$A$2:$AI$33,22,FALSE)),IF(E9="",0,VLOOKUP(E9,Bausteine!$A$2:$AI$33,11,FALSE))&lt;=0,IF(E9="",0,VLOOKUP(E9,Bausteine!$A$2:$AI$33,11,FALSE))&gt;1),"UNGUELTIG","OK"),"FEHLER")</f>
        <v/>
      </c>
      <c r="Z9" t="n">
        <v>1600</v>
      </c>
      <c r="AA9" t="n">
        <v>100</v>
      </c>
      <c r="AB9" t="inlineStr"/>
    </row>
    <row r="10">
      <c r="A10" t="inlineStr">
        <is>
          <t>Battlemaster Nuclear Shells Reflector</t>
        </is>
      </c>
      <c r="B10" t="inlineStr">
        <is>
          <t>china</t>
        </is>
      </c>
      <c r="C10" t="inlineStr">
        <is>
          <t>battlemaster</t>
        </is>
      </c>
      <c r="D10" t="inlineStr">
        <is>
          <t>diesel-large</t>
        </is>
      </c>
      <c r="E10" t="inlineStr">
        <is>
          <t>efficient-generator</t>
        </is>
      </c>
      <c r="F10" t="inlineStr">
        <is>
          <t>reflector</t>
        </is>
      </c>
      <c r="G10" t="inlineStr">
        <is>
          <t>cannon-turret</t>
        </is>
      </c>
      <c r="H10" t="inlineStr">
        <is>
          <t>cannon</t>
        </is>
      </c>
      <c r="I10" t="inlineStr">
        <is>
          <t>nuclear-shell</t>
        </is>
      </c>
      <c r="J10" t="inlineStr"/>
      <c r="K10" t="inlineStr"/>
      <c r="L10" t="inlineStr"/>
      <c r="M10">
        <f>IF(C10="",0,VLOOKUP(C10,Bausteine!$A$2:$AI$33,4,FALSE))+IF(D10="",0,VLOOKUP(D10,Bausteine!$A$2:$AI$33,4,FALSE))+IF(E10="",0,VLOOKUP(E10,Bausteine!$A$2:$AI$33,4,FALSE))+IF(F10="",0,VLOOKUP(F10,Bausteine!$A$2:$AI$33,4,FALSE))+IF(G10="",0,VLOOKUP(G10,Bausteine!$A$2:$AI$33,4,FALSE))+IF(H10="",0,VLOOKUP(H10,Bausteine!$A$2:$AI$33,4,FALSE))+IF(I10="",0,VLOOKUP(I10,Bausteine!$A$2:$AI$33,4,FALSE))+IF(J10="",0,VLOOKUP(J10,Bausteine!$A$2:$AI$33,4,FALSE))+IF(K10="",0,VLOOKUP(K10,Bausteine!$A$2:$AI$33,4,FALSE))+IF(L10="",0,VLOOKUP(L10,Bausteine!$A$2:$AI$33,4,FALSE))</f>
        <v/>
      </c>
      <c r="N10">
        <f>IF(C10="",0,VLOOKUP(C10,Bausteine!$A$2:$AI$33,5,FALSE))+IF(D10="",0,VLOOKUP(D10,Bausteine!$A$2:$AI$33,5,FALSE))+IF(E10="",0,VLOOKUP(E10,Bausteine!$A$2:$AI$33,5,FALSE))+IF(F10="",0,VLOOKUP(F10,Bausteine!$A$2:$AI$33,5,FALSE))+IF(G10="",0,VLOOKUP(G10,Bausteine!$A$2:$AI$33,5,FALSE))+IF(H10="",0,VLOOKUP(H10,Bausteine!$A$2:$AI$33,5,FALSE))+IF(I10="",0,VLOOKUP(I10,Bausteine!$A$2:$AI$33,5,FALSE))+IF(J10="",0,VLOOKUP(J10,Bausteine!$A$2:$AI$33,5,FALSE))+IF(K10="",0,VLOOKUP(K10,Bausteine!$A$2:$AI$33,5,FALSE))+IF(L10="",0,VLOOKUP(L10,Bausteine!$A$2:$AI$33,5,FALSE))</f>
        <v/>
      </c>
      <c r="O10">
        <f>MAX(IF(C10="",0,VLOOKUP(C10,Bausteine!$A$2:$AI$33,6,FALSE)),IF(D10="",0,VLOOKUP(D10,Bausteine!$A$2:$AI$33,6,FALSE)),IF(E10="",0,VLOOKUP(E10,Bausteine!$A$2:$AI$33,6,FALSE)),IF(F10="",0,VLOOKUP(F10,Bausteine!$A$2:$AI$33,6,FALSE)),IF(G10="",0,VLOOKUP(G10,Bausteine!$A$2:$AI$33,6,FALSE)),IF(H10="",0,VLOOKUP(H10,Bausteine!$A$2:$AI$33,6,FALSE)),IF(I10="",0,VLOOKUP(I10,Bausteine!$A$2:$AI$33,6,FALSE)),IF(J10="",0,VLOOKUP(J10,Bausteine!$A$2:$AI$33,6,FALSE)),IF(K10="",0,VLOOKUP(K10,Bausteine!$A$2:$AI$33,6,FALSE)),IF(L10="",0,VLOOKUP(L10,Bausteine!$A$2:$AI$33,6,FALSE)))</f>
        <v/>
      </c>
      <c r="P10">
        <f>IF(C10="",0,VLOOKUP(C10,Bausteine!$A$2:$AI$33,7,FALSE))*IF(F10="",0,VLOOKUP(F10,Bausteine!$A$2:$AI$33,17,FALSE))/100+IF(D10="",0,VLOOKUP(D10,Bausteine!$A$2:$AI$33,7,FALSE))+IF(E10="",0,VLOOKUP(E10,Bausteine!$A$2:$AI$33,7,FALSE))+IF(G10="",0,VLOOKUP(G10,Bausteine!$A$2:$AI$33,7,FALSE))+IF(H10="",0,VLOOKUP(H10,Bausteine!$A$2:$AI$33,7,FALSE))+IF(I10="",0,VLOOKUP(I10,Bausteine!$A$2:$AI$33,7,FALSE))+IF(J10="",0,VLOOKUP(J10,Bausteine!$A$2:$AI$33,7,FALSE))+IF(K10="",0,VLOOKUP(K10,Bausteine!$A$2:$AI$33,7,FALSE))+IF(L10="",0,VLOOKUP(L10,Bausteine!$A$2:$AI$33,7,FALSE))</f>
        <v/>
      </c>
      <c r="Q10">
        <f>N10*Parameter!$B$2</f>
        <v/>
      </c>
      <c r="R10">
        <f>P10-Q10</f>
        <v/>
      </c>
      <c r="S10">
        <f>IF(C10="",0,VLOOKUP(C10,Bausteine!$A$2:$AI$33,13,FALSE))*IF(F10="",0,VLOOKUP(F10,Bausteine!$A$2:$AI$33,16,FALSE))/100</f>
        <v/>
      </c>
      <c r="T10">
        <f>IF(C10="",0,VLOOKUP(C10,Bausteine!$A$2:$AI$33,8,FALSE))*IF(F10="",0,VLOOKUP(F10,Bausteine!$A$2:$AI$33,15,FALSE))/100+IF(D10="",0,VLOOKUP(D10,Bausteine!$A$2:$AI$33,8,FALSE))+IF(E10="",0,VLOOKUP(E10,Bausteine!$A$2:$AI$33,8,FALSE))+IF(G10="",0,VLOOKUP(G10,Bausteine!$A$2:$AI$33,8,FALSE))+IF(H10="",0,VLOOKUP(H10,Bausteine!$A$2:$AI$33,8,FALSE))+IF(I10="",0,VLOOKUP(I10,Bausteine!$A$2:$AI$33,8,FALSE))+IF(J10="",0,VLOOKUP(J10,Bausteine!$A$2:$AI$33,8,FALSE))+IF(K10="",0,VLOOKUP(K10,Bausteine!$A$2:$AI$33,8,FALSE))+IF(L10="",0,VLOOKUP(L10,Bausteine!$A$2:$AI$33,8,FALSE))</f>
        <v/>
      </c>
      <c r="U10">
        <f>IF(C10="",0,VLOOKUP(C10,Bausteine!$A$2:$AI$33,9,FALSE))+IF(D10="",0,VLOOKUP(D10,Bausteine!$A$2:$AI$33,9,FALSE))+IF(E10="",0,VLOOKUP(E10,Bausteine!$A$2:$AI$33,9,FALSE))+IF(F10="",0,VLOOKUP(F10,Bausteine!$A$2:$AI$33,9,FALSE))+IF(G10="",0,VLOOKUP(G10,Bausteine!$A$2:$AI$33,9,FALSE))+IF(H10="",0,VLOOKUP(H10,Bausteine!$A$2:$AI$33,9,FALSE))+IF(I10="",0,VLOOKUP(I10,Bausteine!$A$2:$AI$33,9,FALSE))+IF(J10="",0,VLOOKUP(J10,Bausteine!$A$2:$AI$33,9,FALSE))+IF(K10="",0,VLOOKUP(K10,Bausteine!$A$2:$AI$33,9,FALSE))+IF(L10="",0,VLOOKUP(L10,Bausteine!$A$2:$AI$33,9,FALSE))</f>
        <v/>
      </c>
      <c r="V10">
        <f>IF(D10="",0,VLOOKUP(D10,Bausteine!$A$2:$AI$33,10,FALSE))-U10/IF(E10="",0,VLOOKUP(E10,Bausteine!$A$2:$AI$33,11,FALSE))</f>
        <v/>
      </c>
      <c r="W10">
        <f>IF(Y10&lt;&gt;"OK","",ROUND(MIN(IF(C10="",0,VLOOKUP(C10,Bausteine!$A$2:$AI$33,21,FALSE)),IF(C10="",0,VLOOKUP(C10,Bausteine!$A$2:$AI$33,20,FALSE))*(V10/T10/(IF(C10="",0,VLOOKUP(C10,Bausteine!$A$2:$AI$33,19,FALSE))/IF(C10="",0,VLOOKUP(C10,Bausteine!$A$2:$AI$33,18,FALSE))))^Parameter!$B$3),0))</f>
        <v/>
      </c>
      <c r="X10">
        <f>IF(F10="",0,VLOOKUP(F10,Bausteine!$A$2:$AI$33,14,FALSE))</f>
        <v/>
      </c>
      <c r="Y10">
        <f>IFERROR(IF(OR(R10&lt;=0,T10&lt;=0,V10&lt;=0,U10&gt;IF(E10="",0,VLOOKUP(E10,Bausteine!$A$2:$AI$33,12,FALSE)),T10&gt;IF(C10="",0,VLOOKUP(C10,Bausteine!$A$2:$AI$33,22,FALSE)),IF(E10="",0,VLOOKUP(E10,Bausteine!$A$2:$AI$33,11,FALSE))&lt;=0,IF(E10="",0,VLOOKUP(E10,Bausteine!$A$2:$AI$33,11,FALSE))&gt;1),"UNGUELTIG","OK"),"FEHLER")</f>
        <v/>
      </c>
      <c r="Z10" t="n">
        <v>950</v>
      </c>
      <c r="AA10" t="n">
        <v>100</v>
      </c>
      <c r="AB10" t="inlineStr"/>
    </row>
    <row r="11">
      <c r="A11" t="inlineStr">
        <is>
          <t>Battlemaster Mass Production</t>
        </is>
      </c>
      <c r="B11" t="inlineStr">
        <is>
          <t>china</t>
        </is>
      </c>
      <c r="C11" t="inlineStr">
        <is>
          <t>battlemaster-mass-produced</t>
        </is>
      </c>
      <c r="D11" t="inlineStr">
        <is>
          <t>diesel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cannon-turret</t>
        </is>
      </c>
      <c r="H11" t="inlineStr">
        <is>
          <t>cannon</t>
        </is>
      </c>
      <c r="I11" t="inlineStr">
        <is>
          <t>shell</t>
        </is>
      </c>
      <c r="J11" t="inlineStr"/>
      <c r="K11" t="inlineStr"/>
      <c r="L11" t="inlineStr"/>
      <c r="M11">
        <f>IF(C11="",0,VLOOKUP(C11,Bausteine!$A$2:$AI$33,4,FALSE))+IF(D11="",0,VLOOKUP(D11,Bausteine!$A$2:$AI$33,4,FALSE))+IF(E11="",0,VLOOKUP(E11,Bausteine!$A$2:$AI$33,4,FALSE))+IF(F11="",0,VLOOKUP(F11,Bausteine!$A$2:$AI$33,4,FALSE))+IF(G11="",0,VLOOKUP(G11,Bausteine!$A$2:$AI$33,4,FALSE))+IF(H11="",0,VLOOKUP(H11,Bausteine!$A$2:$AI$33,4,FALSE))+IF(I11="",0,VLOOKUP(I11,Bausteine!$A$2:$AI$33,4,FALSE))+IF(J11="",0,VLOOKUP(J11,Bausteine!$A$2:$AI$33,4,FALSE))+IF(K11="",0,VLOOKUP(K11,Bausteine!$A$2:$AI$33,4,FALSE))+IF(L11="",0,VLOOKUP(L11,Bausteine!$A$2:$AI$33,4,FALSE))</f>
        <v/>
      </c>
      <c r="N11">
        <f>IF(C11="",0,VLOOKUP(C11,Bausteine!$A$2:$AI$33,5,FALSE))+IF(D11="",0,VLOOKUP(D11,Bausteine!$A$2:$AI$33,5,FALSE))+IF(E11="",0,VLOOKUP(E11,Bausteine!$A$2:$AI$33,5,FALSE))+IF(F11="",0,VLOOKUP(F11,Bausteine!$A$2:$AI$33,5,FALSE))+IF(G11="",0,VLOOKUP(G11,Bausteine!$A$2:$AI$33,5,FALSE))+IF(H11="",0,VLOOKUP(H11,Bausteine!$A$2:$AI$33,5,FALSE))+IF(I11="",0,VLOOKUP(I11,Bausteine!$A$2:$AI$33,5,FALSE))+IF(J11="",0,VLOOKUP(J11,Bausteine!$A$2:$AI$33,5,FALSE))+IF(K11="",0,VLOOKUP(K11,Bausteine!$A$2:$AI$33,5,FALSE))+IF(L11="",0,VLOOKUP(L11,Bausteine!$A$2:$AI$33,5,FALSE))</f>
        <v/>
      </c>
      <c r="O11">
        <f>MAX(IF(C11="",0,VLOOKUP(C11,Bausteine!$A$2:$AI$33,6,FALSE)),IF(D11="",0,VLOOKUP(D11,Bausteine!$A$2:$AI$33,6,FALSE)),IF(E11="",0,VLOOKUP(E11,Bausteine!$A$2:$AI$33,6,FALSE)),IF(F11="",0,VLOOKUP(F11,Bausteine!$A$2:$AI$33,6,FALSE)),IF(G11="",0,VLOOKUP(G11,Bausteine!$A$2:$AI$33,6,FALSE)),IF(H11="",0,VLOOKUP(H11,Bausteine!$A$2:$AI$33,6,FALSE)),IF(I11="",0,VLOOKUP(I11,Bausteine!$A$2:$AI$33,6,FALSE)),IF(J11="",0,VLOOKUP(J11,Bausteine!$A$2:$AI$33,6,FALSE)),IF(K11="",0,VLOOKUP(K11,Bausteine!$A$2:$AI$33,6,FALSE)),IF(L11="",0,VLOOKUP(L11,Bausteine!$A$2:$AI$33,6,FALSE)))</f>
        <v/>
      </c>
      <c r="P11">
        <f>IF(C11="",0,VLOOKUP(C11,Bausteine!$A$2:$AI$33,7,FALSE))*IF(F11="",0,VLOOKUP(F11,Bausteine!$A$2:$AI$33,17,FALSE))/100+IF(D11="",0,VLOOKUP(D11,Bausteine!$A$2:$AI$33,7,FALSE))+IF(E11="",0,VLOOKUP(E11,Bausteine!$A$2:$AI$33,7,FALSE))+IF(G11="",0,VLOOKUP(G11,Bausteine!$A$2:$AI$33,7,FALSE))+IF(H11="",0,VLOOKUP(H11,Bausteine!$A$2:$AI$33,7,FALSE))+IF(I11="",0,VLOOKUP(I11,Bausteine!$A$2:$AI$33,7,FALSE))+IF(J11="",0,VLOOKUP(J11,Bausteine!$A$2:$AI$33,7,FALSE))+IF(K11="",0,VLOOKUP(K11,Bausteine!$A$2:$AI$33,7,FALSE))+IF(L11="",0,VLOOKUP(L11,Bausteine!$A$2:$AI$33,7,FALSE))</f>
        <v/>
      </c>
      <c r="Q11">
        <f>N11*Parameter!$B$2</f>
        <v/>
      </c>
      <c r="R11">
        <f>P11-Q11</f>
        <v/>
      </c>
      <c r="S11">
        <f>IF(C11="",0,VLOOKUP(C11,Bausteine!$A$2:$AI$33,13,FALSE))*IF(F11="",0,VLOOKUP(F11,Bausteine!$A$2:$AI$33,16,FALSE))/100</f>
        <v/>
      </c>
      <c r="T11">
        <f>IF(C11="",0,VLOOKUP(C11,Bausteine!$A$2:$AI$33,8,FALSE))*IF(F11="",0,VLOOKUP(F11,Bausteine!$A$2:$AI$33,15,FALSE))/100+IF(D11="",0,VLOOKUP(D11,Bausteine!$A$2:$AI$33,8,FALSE))+IF(E11="",0,VLOOKUP(E11,Bausteine!$A$2:$AI$33,8,FALSE))+IF(G11="",0,VLOOKUP(G11,Bausteine!$A$2:$AI$33,8,FALSE))+IF(H11="",0,VLOOKUP(H11,Bausteine!$A$2:$AI$33,8,FALSE))+IF(I11="",0,VLOOKUP(I11,Bausteine!$A$2:$AI$33,8,FALSE))+IF(J11="",0,VLOOKUP(J11,Bausteine!$A$2:$AI$33,8,FALSE))+IF(K11="",0,VLOOKUP(K11,Bausteine!$A$2:$AI$33,8,FALSE))+IF(L11="",0,VLOOKUP(L11,Bausteine!$A$2:$AI$33,8,FALSE))</f>
        <v/>
      </c>
      <c r="U11">
        <f>IF(C11="",0,VLOOKUP(C11,Bausteine!$A$2:$AI$33,9,FALSE))+IF(D11="",0,VLOOKUP(D11,Bausteine!$A$2:$AI$33,9,FALSE))+IF(E11="",0,VLOOKUP(E11,Bausteine!$A$2:$AI$33,9,FALSE))+IF(F11="",0,VLOOKUP(F11,Bausteine!$A$2:$AI$33,9,FALSE))+IF(G11="",0,VLOOKUP(G11,Bausteine!$A$2:$AI$33,9,FALSE))+IF(H11="",0,VLOOKUP(H11,Bausteine!$A$2:$AI$33,9,FALSE))+IF(I11="",0,VLOOKUP(I11,Bausteine!$A$2:$AI$33,9,FALSE))+IF(J11="",0,VLOOKUP(J11,Bausteine!$A$2:$AI$33,9,FALSE))+IF(K11="",0,VLOOKUP(K11,Bausteine!$A$2:$AI$33,9,FALSE))+IF(L11="",0,VLOOKUP(L11,Bausteine!$A$2:$AI$33,9,FALSE))</f>
        <v/>
      </c>
      <c r="V11">
        <f>IF(D11="",0,VLOOKUP(D11,Bausteine!$A$2:$AI$33,10,FALSE))-U11/IF(E11="",0,VLOOKUP(E11,Bausteine!$A$2:$AI$33,11,FALSE))</f>
        <v/>
      </c>
      <c r="W11">
        <f>IF(Y11&lt;&gt;"OK","",ROUND(MIN(IF(C11="",0,VLOOKUP(C11,Bausteine!$A$2:$AI$33,21,FALSE)),IF(C11="",0,VLOOKUP(C11,Bausteine!$A$2:$AI$33,20,FALSE))*(V11/T11/(IF(C11="",0,VLOOKUP(C11,Bausteine!$A$2:$AI$33,19,FALSE))/IF(C11="",0,VLOOKUP(C11,Bausteine!$A$2:$AI$33,18,FALSE))))^Parameter!$B$3),0))</f>
        <v/>
      </c>
      <c r="X11">
        <f>IF(F11="",0,VLOOKUP(F11,Bausteine!$A$2:$AI$33,14,FALSE))</f>
        <v/>
      </c>
      <c r="Y11">
        <f>IFERROR(IF(OR(R11&lt;=0,T11&lt;=0,V11&lt;=0,U11&gt;IF(E11="",0,VLOOKUP(E11,Bausteine!$A$2:$AI$33,12,FALSE)),T11&gt;IF(C11="",0,VLOOKUP(C11,Bausteine!$A$2:$AI$33,22,FALSE)),IF(E11="",0,VLOOKUP(E11,Bausteine!$A$2:$AI$33,11,FALSE))&lt;=0,IF(E11="",0,VLOOKUP(E11,Bausteine!$A$2:$AI$33,11,FALSE))&gt;1),"UNGUELTIG","OK"),"FEHLER")</f>
        <v/>
      </c>
      <c r="Z11" t="n">
        <v>600</v>
      </c>
      <c r="AA11" t="n">
        <v>100</v>
      </c>
      <c r="AB11" t="inlineStr"/>
    </row>
    <row r="12">
      <c r="A12" t="inlineStr">
        <is>
          <t>Battlemaster Mass Production PDL</t>
        </is>
      </c>
      <c r="B12" t="inlineStr">
        <is>
          <t>china</t>
        </is>
      </c>
      <c r="C12" t="inlineStr">
        <is>
          <t>battlemaster-mass-produced</t>
        </is>
      </c>
      <c r="D12" t="inlineStr">
        <is>
          <t>diesel-large</t>
        </is>
      </c>
      <c r="E12" t="inlineStr">
        <is>
          <t>efficient-generator</t>
        </is>
      </c>
      <c r="F12" t="inlineStr">
        <is>
          <t>heavy</t>
        </is>
      </c>
      <c r="G12" t="inlineStr">
        <is>
          <t>cannon-turret</t>
        </is>
      </c>
      <c r="H12" t="inlineStr">
        <is>
          <t>cannon</t>
        </is>
      </c>
      <c r="I12" t="inlineStr">
        <is>
          <t>shell</t>
        </is>
      </c>
      <c r="J12" t="inlineStr">
        <is>
          <t>pdl</t>
        </is>
      </c>
      <c r="K12" t="inlineStr"/>
      <c r="L12" t="inlineStr"/>
      <c r="M12">
        <f>IF(C12="",0,VLOOKUP(C12,Bausteine!$A$2:$AI$33,4,FALSE))+IF(D12="",0,VLOOKUP(D12,Bausteine!$A$2:$AI$33,4,FALSE))+IF(E12="",0,VLOOKUP(E12,Bausteine!$A$2:$AI$33,4,FALSE))+IF(F12="",0,VLOOKUP(F12,Bausteine!$A$2:$AI$33,4,FALSE))+IF(G12="",0,VLOOKUP(G12,Bausteine!$A$2:$AI$33,4,FALSE))+IF(H12="",0,VLOOKUP(H12,Bausteine!$A$2:$AI$33,4,FALSE))+IF(I12="",0,VLOOKUP(I12,Bausteine!$A$2:$AI$33,4,FALSE))+IF(J12="",0,VLOOKUP(J12,Bausteine!$A$2:$AI$33,4,FALSE))+IF(K12="",0,VLOOKUP(K12,Bausteine!$A$2:$AI$33,4,FALSE))+IF(L12="",0,VLOOKUP(L12,Bausteine!$A$2:$AI$33,4,FALSE))</f>
        <v/>
      </c>
      <c r="N12">
        <f>IF(C12="",0,VLOOKUP(C12,Bausteine!$A$2:$AI$33,5,FALSE))+IF(D12="",0,VLOOKUP(D12,Bausteine!$A$2:$AI$33,5,FALSE))+IF(E12="",0,VLOOKUP(E12,Bausteine!$A$2:$AI$33,5,FALSE))+IF(F12="",0,VLOOKUP(F12,Bausteine!$A$2:$AI$33,5,FALSE))+IF(G12="",0,VLOOKUP(G12,Bausteine!$A$2:$AI$33,5,FALSE))+IF(H12="",0,VLOOKUP(H12,Bausteine!$A$2:$AI$33,5,FALSE))+IF(I12="",0,VLOOKUP(I12,Bausteine!$A$2:$AI$33,5,FALSE))+IF(J12="",0,VLOOKUP(J12,Bausteine!$A$2:$AI$33,5,FALSE))+IF(K12="",0,VLOOKUP(K12,Bausteine!$A$2:$AI$33,5,FALSE))+IF(L12="",0,VLOOKUP(L12,Bausteine!$A$2:$AI$33,5,FALSE))</f>
        <v/>
      </c>
      <c r="O12">
        <f>MAX(IF(C12="",0,VLOOKUP(C12,Bausteine!$A$2:$AI$33,6,FALSE)),IF(D12="",0,VLOOKUP(D12,Bausteine!$A$2:$AI$33,6,FALSE)),IF(E12="",0,VLOOKUP(E12,Bausteine!$A$2:$AI$33,6,FALSE)),IF(F12="",0,VLOOKUP(F12,Bausteine!$A$2:$AI$33,6,FALSE)),IF(G12="",0,VLOOKUP(G12,Bausteine!$A$2:$AI$33,6,FALSE)),IF(H12="",0,VLOOKUP(H12,Bausteine!$A$2:$AI$33,6,FALSE)),IF(I12="",0,VLOOKUP(I12,Bausteine!$A$2:$AI$33,6,FALSE)),IF(J12="",0,VLOOKUP(J12,Bausteine!$A$2:$AI$33,6,FALSE)),IF(K12="",0,VLOOKUP(K12,Bausteine!$A$2:$AI$33,6,FALSE)),IF(L12="",0,VLOOKUP(L12,Bausteine!$A$2:$AI$33,6,FALSE)))</f>
        <v/>
      </c>
      <c r="P12">
        <f>IF(C12="",0,VLOOKUP(C12,Bausteine!$A$2:$AI$33,7,FALSE))*IF(F12="",0,VLOOKUP(F12,Bausteine!$A$2:$AI$33,17,FALSE))/100+IF(D12="",0,VLOOKUP(D12,Bausteine!$A$2:$AI$33,7,FALSE))+IF(E12="",0,VLOOKUP(E12,Bausteine!$A$2:$AI$33,7,FALSE))+IF(G12="",0,VLOOKUP(G12,Bausteine!$A$2:$AI$33,7,FALSE))+IF(H12="",0,VLOOKUP(H12,Bausteine!$A$2:$AI$33,7,FALSE))+IF(I12="",0,VLOOKUP(I12,Bausteine!$A$2:$AI$33,7,FALSE))+IF(J12="",0,VLOOKUP(J12,Bausteine!$A$2:$AI$33,7,FALSE))+IF(K12="",0,VLOOKUP(K12,Bausteine!$A$2:$AI$33,7,FALSE))+IF(L12="",0,VLOOKUP(L12,Bausteine!$A$2:$AI$33,7,FALSE))</f>
        <v/>
      </c>
      <c r="Q12">
        <f>N12*Parameter!$B$2</f>
        <v/>
      </c>
      <c r="R12">
        <f>P12-Q12</f>
        <v/>
      </c>
      <c r="S12">
        <f>IF(C12="",0,VLOOKUP(C12,Bausteine!$A$2:$AI$33,13,FALSE))*IF(F12="",0,VLOOKUP(F12,Bausteine!$A$2:$AI$33,16,FALSE))/100</f>
        <v/>
      </c>
      <c r="T12">
        <f>IF(C12="",0,VLOOKUP(C12,Bausteine!$A$2:$AI$33,8,FALSE))*IF(F12="",0,VLOOKUP(F12,Bausteine!$A$2:$AI$33,15,FALSE))/100+IF(D12="",0,VLOOKUP(D12,Bausteine!$A$2:$AI$33,8,FALSE))+IF(E12="",0,VLOOKUP(E12,Bausteine!$A$2:$AI$33,8,FALSE))+IF(G12="",0,VLOOKUP(G12,Bausteine!$A$2:$AI$33,8,FALSE))+IF(H12="",0,VLOOKUP(H12,Bausteine!$A$2:$AI$33,8,FALSE))+IF(I12="",0,VLOOKUP(I12,Bausteine!$A$2:$AI$33,8,FALSE))+IF(J12="",0,VLOOKUP(J12,Bausteine!$A$2:$AI$33,8,FALSE))+IF(K12="",0,VLOOKUP(K12,Bausteine!$A$2:$AI$33,8,FALSE))+IF(L12="",0,VLOOKUP(L12,Bausteine!$A$2:$AI$33,8,FALSE))</f>
        <v/>
      </c>
      <c r="U12">
        <f>IF(C12="",0,VLOOKUP(C12,Bausteine!$A$2:$AI$33,9,FALSE))+IF(D12="",0,VLOOKUP(D12,Bausteine!$A$2:$AI$33,9,FALSE))+IF(E12="",0,VLOOKUP(E12,Bausteine!$A$2:$AI$33,9,FALSE))+IF(F12="",0,VLOOKUP(F12,Bausteine!$A$2:$AI$33,9,FALSE))+IF(G12="",0,VLOOKUP(G12,Bausteine!$A$2:$AI$33,9,FALSE))+IF(H12="",0,VLOOKUP(H12,Bausteine!$A$2:$AI$33,9,FALSE))+IF(I12="",0,VLOOKUP(I12,Bausteine!$A$2:$AI$33,9,FALSE))+IF(J12="",0,VLOOKUP(J12,Bausteine!$A$2:$AI$33,9,FALSE))+IF(K12="",0,VLOOKUP(K12,Bausteine!$A$2:$AI$33,9,FALSE))+IF(L12="",0,VLOOKUP(L12,Bausteine!$A$2:$AI$33,9,FALSE))</f>
        <v/>
      </c>
      <c r="V12">
        <f>IF(D12="",0,VLOOKUP(D12,Bausteine!$A$2:$AI$33,10,FALSE))-U12/IF(E12="",0,VLOOKUP(E12,Bausteine!$A$2:$AI$33,11,FALSE))</f>
        <v/>
      </c>
      <c r="W12">
        <f>IF(Y12&lt;&gt;"OK","",ROUND(MIN(IF(C12="",0,VLOOKUP(C12,Bausteine!$A$2:$AI$33,21,FALSE)),IF(C12="",0,VLOOKUP(C12,Bausteine!$A$2:$AI$33,20,FALSE))*(V12/T12/(IF(C12="",0,VLOOKUP(C12,Bausteine!$A$2:$AI$33,19,FALSE))/IF(C12="",0,VLOOKUP(C12,Bausteine!$A$2:$AI$33,18,FALSE))))^Parameter!$B$3),0))</f>
        <v/>
      </c>
      <c r="X12">
        <f>IF(F12="",0,VLOOKUP(F12,Bausteine!$A$2:$AI$33,14,FALSE))</f>
        <v/>
      </c>
      <c r="Y12">
        <f>IFERROR(IF(OR(R12&lt;=0,T12&lt;=0,V12&lt;=0,U12&gt;IF(E12="",0,VLOOKUP(E12,Bausteine!$A$2:$AI$33,12,FALSE)),T12&gt;IF(C12="",0,VLOOKUP(C12,Bausteine!$A$2:$AI$33,22,FALSE)),IF(E12="",0,VLOOKUP(E12,Bausteine!$A$2:$AI$33,11,FALSE))&lt;=0,IF(E12="",0,VLOOKUP(E12,Bausteine!$A$2:$AI$33,11,FALSE))&gt;1),"UNGUELTIG","OK"),"FEHLER")</f>
        <v/>
      </c>
      <c r="Z12" t="n">
        <v>1250</v>
      </c>
      <c r="AA12" t="n">
        <v>100</v>
      </c>
      <c r="AB12" t="inlineStr"/>
    </row>
    <row r="13">
      <c r="A13" t="inlineStr">
        <is>
          <t>Battlemaster Mass Production Reflector</t>
        </is>
      </c>
      <c r="B13" t="inlineStr">
        <is>
          <t>china</t>
        </is>
      </c>
      <c r="C13" t="inlineStr">
        <is>
          <t>battlemaster-mass-produced</t>
        </is>
      </c>
      <c r="D13" t="inlineStr">
        <is>
          <t>diesel-large</t>
        </is>
      </c>
      <c r="E13" t="inlineStr">
        <is>
          <t>efficient-generator</t>
        </is>
      </c>
      <c r="F13" t="inlineStr">
        <is>
          <t>reflector</t>
        </is>
      </c>
      <c r="G13" t="inlineStr">
        <is>
          <t>cannon-turret</t>
        </is>
      </c>
      <c r="H13" t="inlineStr">
        <is>
          <t>cannon</t>
        </is>
      </c>
      <c r="I13" t="inlineStr">
        <is>
          <t>shell</t>
        </is>
      </c>
      <c r="J13" t="inlineStr"/>
      <c r="K13" t="inlineStr"/>
      <c r="L13" t="inlineStr"/>
      <c r="M13">
        <f>IF(C13="",0,VLOOKUP(C13,Bausteine!$A$2:$AI$33,4,FALSE))+IF(D13="",0,VLOOKUP(D13,Bausteine!$A$2:$AI$33,4,FALSE))+IF(E13="",0,VLOOKUP(E13,Bausteine!$A$2:$AI$33,4,FALSE))+IF(F13="",0,VLOOKUP(F13,Bausteine!$A$2:$AI$33,4,FALSE))+IF(G13="",0,VLOOKUP(G13,Bausteine!$A$2:$AI$33,4,FALSE))+IF(H13="",0,VLOOKUP(H13,Bausteine!$A$2:$AI$33,4,FALSE))+IF(I13="",0,VLOOKUP(I13,Bausteine!$A$2:$AI$33,4,FALSE))+IF(J13="",0,VLOOKUP(J13,Bausteine!$A$2:$AI$33,4,FALSE))+IF(K13="",0,VLOOKUP(K13,Bausteine!$A$2:$AI$33,4,FALSE))+IF(L13="",0,VLOOKUP(L13,Bausteine!$A$2:$AI$33,4,FALSE))</f>
        <v/>
      </c>
      <c r="N13">
        <f>IF(C13="",0,VLOOKUP(C13,Bausteine!$A$2:$AI$33,5,FALSE))+IF(D13="",0,VLOOKUP(D13,Bausteine!$A$2:$AI$33,5,FALSE))+IF(E13="",0,VLOOKUP(E13,Bausteine!$A$2:$AI$33,5,FALSE))+IF(F13="",0,VLOOKUP(F13,Bausteine!$A$2:$AI$33,5,FALSE))+IF(G13="",0,VLOOKUP(G13,Bausteine!$A$2:$AI$33,5,FALSE))+IF(H13="",0,VLOOKUP(H13,Bausteine!$A$2:$AI$33,5,FALSE))+IF(I13="",0,VLOOKUP(I13,Bausteine!$A$2:$AI$33,5,FALSE))+IF(J13="",0,VLOOKUP(J13,Bausteine!$A$2:$AI$33,5,FALSE))+IF(K13="",0,VLOOKUP(K13,Bausteine!$A$2:$AI$33,5,FALSE))+IF(L13="",0,VLOOKUP(L13,Bausteine!$A$2:$AI$33,5,FALSE))</f>
        <v/>
      </c>
      <c r="O13">
        <f>MAX(IF(C13="",0,VLOOKUP(C13,Bausteine!$A$2:$AI$33,6,FALSE)),IF(D13="",0,VLOOKUP(D13,Bausteine!$A$2:$AI$33,6,FALSE)),IF(E13="",0,VLOOKUP(E13,Bausteine!$A$2:$AI$33,6,FALSE)),IF(F13="",0,VLOOKUP(F13,Bausteine!$A$2:$AI$33,6,FALSE)),IF(G13="",0,VLOOKUP(G13,Bausteine!$A$2:$AI$33,6,FALSE)),IF(H13="",0,VLOOKUP(H13,Bausteine!$A$2:$AI$33,6,FALSE)),IF(I13="",0,VLOOKUP(I13,Bausteine!$A$2:$AI$33,6,FALSE)),IF(J13="",0,VLOOKUP(J13,Bausteine!$A$2:$AI$33,6,FALSE)),IF(K13="",0,VLOOKUP(K13,Bausteine!$A$2:$AI$33,6,FALSE)),IF(L13="",0,VLOOKUP(L13,Bausteine!$A$2:$AI$33,6,FALSE)))</f>
        <v/>
      </c>
      <c r="P13">
        <f>IF(C13="",0,VLOOKUP(C13,Bausteine!$A$2:$AI$33,7,FALSE))*IF(F13="",0,VLOOKUP(F13,Bausteine!$A$2:$AI$33,17,FALSE))/100+IF(D13="",0,VLOOKUP(D13,Bausteine!$A$2:$AI$33,7,FALSE))+IF(E13="",0,VLOOKUP(E13,Bausteine!$A$2:$AI$33,7,FALSE))+IF(G13="",0,VLOOKUP(G13,Bausteine!$A$2:$AI$33,7,FALSE))+IF(H13="",0,VLOOKUP(H13,Bausteine!$A$2:$AI$33,7,FALSE))+IF(I13="",0,VLOOKUP(I13,Bausteine!$A$2:$AI$33,7,FALSE))+IF(J13="",0,VLOOKUP(J13,Bausteine!$A$2:$AI$33,7,FALSE))+IF(K13="",0,VLOOKUP(K13,Bausteine!$A$2:$AI$33,7,FALSE))+IF(L13="",0,VLOOKUP(L13,Bausteine!$A$2:$AI$33,7,FALSE))</f>
        <v/>
      </c>
      <c r="Q13">
        <f>N13*Parameter!$B$2</f>
        <v/>
      </c>
      <c r="R13">
        <f>P13-Q13</f>
        <v/>
      </c>
      <c r="S13">
        <f>IF(C13="",0,VLOOKUP(C13,Bausteine!$A$2:$AI$33,13,FALSE))*IF(F13="",0,VLOOKUP(F13,Bausteine!$A$2:$AI$33,16,FALSE))/100</f>
        <v/>
      </c>
      <c r="T13">
        <f>IF(C13="",0,VLOOKUP(C13,Bausteine!$A$2:$AI$33,8,FALSE))*IF(F13="",0,VLOOKUP(F13,Bausteine!$A$2:$AI$33,15,FALSE))/100+IF(D13="",0,VLOOKUP(D13,Bausteine!$A$2:$AI$33,8,FALSE))+IF(E13="",0,VLOOKUP(E13,Bausteine!$A$2:$AI$33,8,FALSE))+IF(G13="",0,VLOOKUP(G13,Bausteine!$A$2:$AI$33,8,FALSE))+IF(H13="",0,VLOOKUP(H13,Bausteine!$A$2:$AI$33,8,FALSE))+IF(I13="",0,VLOOKUP(I13,Bausteine!$A$2:$AI$33,8,FALSE))+IF(J13="",0,VLOOKUP(J13,Bausteine!$A$2:$AI$33,8,FALSE))+IF(K13="",0,VLOOKUP(K13,Bausteine!$A$2:$AI$33,8,FALSE))+IF(L13="",0,VLOOKUP(L13,Bausteine!$A$2:$AI$33,8,FALSE))</f>
        <v/>
      </c>
      <c r="U13">
        <f>IF(C13="",0,VLOOKUP(C13,Bausteine!$A$2:$AI$33,9,FALSE))+IF(D13="",0,VLOOKUP(D13,Bausteine!$A$2:$AI$33,9,FALSE))+IF(E13="",0,VLOOKUP(E13,Bausteine!$A$2:$AI$33,9,FALSE))+IF(F13="",0,VLOOKUP(F13,Bausteine!$A$2:$AI$33,9,FALSE))+IF(G13="",0,VLOOKUP(G13,Bausteine!$A$2:$AI$33,9,FALSE))+IF(H13="",0,VLOOKUP(H13,Bausteine!$A$2:$AI$33,9,FALSE))+IF(I13="",0,VLOOKUP(I13,Bausteine!$A$2:$AI$33,9,FALSE))+IF(J13="",0,VLOOKUP(J13,Bausteine!$A$2:$AI$33,9,FALSE))+IF(K13="",0,VLOOKUP(K13,Bausteine!$A$2:$AI$33,9,FALSE))+IF(L13="",0,VLOOKUP(L13,Bausteine!$A$2:$AI$33,9,FALSE))</f>
        <v/>
      </c>
      <c r="V13">
        <f>IF(D13="",0,VLOOKUP(D13,Bausteine!$A$2:$AI$33,10,FALSE))-U13/IF(E13="",0,VLOOKUP(E13,Bausteine!$A$2:$AI$33,11,FALSE))</f>
        <v/>
      </c>
      <c r="W13">
        <f>IF(Y13&lt;&gt;"OK","",ROUND(MIN(IF(C13="",0,VLOOKUP(C13,Bausteine!$A$2:$AI$33,21,FALSE)),IF(C13="",0,VLOOKUP(C13,Bausteine!$A$2:$AI$33,20,FALSE))*(V13/T13/(IF(C13="",0,VLOOKUP(C13,Bausteine!$A$2:$AI$33,19,FALSE))/IF(C13="",0,VLOOKUP(C13,Bausteine!$A$2:$AI$33,18,FALSE))))^Parameter!$B$3),0))</f>
        <v/>
      </c>
      <c r="X13">
        <f>IF(F13="",0,VLOOKUP(F13,Bausteine!$A$2:$AI$33,14,FALSE))</f>
        <v/>
      </c>
      <c r="Y13">
        <f>IFERROR(IF(OR(R13&lt;=0,T13&lt;=0,V13&lt;=0,U13&gt;IF(E13="",0,VLOOKUP(E13,Bausteine!$A$2:$AI$33,12,FALSE)),T13&gt;IF(C13="",0,VLOOKUP(C13,Bausteine!$A$2:$AI$33,22,FALSE)),IF(E13="",0,VLOOKUP(E13,Bausteine!$A$2:$AI$33,11,FALSE))&lt;=0,IF(E13="",0,VLOOKUP(E13,Bausteine!$A$2:$AI$33,11,FALSE))&gt;1),"UNGUELTIG","OK"),"FEHLER")</f>
        <v/>
      </c>
      <c r="Z13" t="n">
        <v>600</v>
      </c>
      <c r="AA13" t="n">
        <v>100</v>
      </c>
      <c r="AB13" t="inlineStr"/>
    </row>
    <row r="14">
      <c r="A14" t="inlineStr">
        <is>
          <t>Battlemaster Autoloader</t>
        </is>
      </c>
      <c r="B14" t="inlineStr">
        <is>
          <t>china</t>
        </is>
      </c>
      <c r="C14" t="inlineStr">
        <is>
          <t>battlemaster</t>
        </is>
      </c>
      <c r="D14" t="inlineStr">
        <is>
          <t>diesel</t>
        </is>
      </c>
      <c r="E14" t="inlineStr">
        <is>
          <t>baseline-generator</t>
        </is>
      </c>
      <c r="F14" t="inlineStr">
        <is>
          <t>heavy</t>
        </is>
      </c>
      <c r="G14" t="inlineStr">
        <is>
          <t>autoloader-turret</t>
        </is>
      </c>
      <c r="H14" t="inlineStr">
        <is>
          <t>cannon</t>
        </is>
      </c>
      <c r="I14" t="inlineStr">
        <is>
          <t>shell</t>
        </is>
      </c>
      <c r="J14" t="inlineStr"/>
      <c r="K14" t="inlineStr"/>
      <c r="L14" t="inlineStr"/>
      <c r="M14">
        <f>IF(C14="",0,VLOOKUP(C14,Bausteine!$A$2:$AI$33,4,FALSE))+IF(D14="",0,VLOOKUP(D14,Bausteine!$A$2:$AI$33,4,FALSE))+IF(E14="",0,VLOOKUP(E14,Bausteine!$A$2:$AI$33,4,FALSE))+IF(F14="",0,VLOOKUP(F14,Bausteine!$A$2:$AI$33,4,FALSE))+IF(G14="",0,VLOOKUP(G14,Bausteine!$A$2:$AI$33,4,FALSE))+IF(H14="",0,VLOOKUP(H14,Bausteine!$A$2:$AI$33,4,FALSE))+IF(I14="",0,VLOOKUP(I14,Bausteine!$A$2:$AI$33,4,FALSE))+IF(J14="",0,VLOOKUP(J14,Bausteine!$A$2:$AI$33,4,FALSE))+IF(K14="",0,VLOOKUP(K14,Bausteine!$A$2:$AI$33,4,FALSE))+IF(L14="",0,VLOOKUP(L14,Bausteine!$A$2:$AI$33,4,FALSE))</f>
        <v/>
      </c>
      <c r="N14">
        <f>IF(C14="",0,VLOOKUP(C14,Bausteine!$A$2:$AI$33,5,FALSE))+IF(D14="",0,VLOOKUP(D14,Bausteine!$A$2:$AI$33,5,FALSE))+IF(E14="",0,VLOOKUP(E14,Bausteine!$A$2:$AI$33,5,FALSE))+IF(F14="",0,VLOOKUP(F14,Bausteine!$A$2:$AI$33,5,FALSE))+IF(G14="",0,VLOOKUP(G14,Bausteine!$A$2:$AI$33,5,FALSE))+IF(H14="",0,VLOOKUP(H14,Bausteine!$A$2:$AI$33,5,FALSE))+IF(I14="",0,VLOOKUP(I14,Bausteine!$A$2:$AI$33,5,FALSE))+IF(J14="",0,VLOOKUP(J14,Bausteine!$A$2:$AI$33,5,FALSE))+IF(K14="",0,VLOOKUP(K14,Bausteine!$A$2:$AI$33,5,FALSE))+IF(L14="",0,VLOOKUP(L14,Bausteine!$A$2:$AI$33,5,FALSE))</f>
        <v/>
      </c>
      <c r="O14">
        <f>MAX(IF(C14="",0,VLOOKUP(C14,Bausteine!$A$2:$AI$33,6,FALSE)),IF(D14="",0,VLOOKUP(D14,Bausteine!$A$2:$AI$33,6,FALSE)),IF(E14="",0,VLOOKUP(E14,Bausteine!$A$2:$AI$33,6,FALSE)),IF(F14="",0,VLOOKUP(F14,Bausteine!$A$2:$AI$33,6,FALSE)),IF(G14="",0,VLOOKUP(G14,Bausteine!$A$2:$AI$33,6,FALSE)),IF(H14="",0,VLOOKUP(H14,Bausteine!$A$2:$AI$33,6,FALSE)),IF(I14="",0,VLOOKUP(I14,Bausteine!$A$2:$AI$33,6,FALSE)),IF(J14="",0,VLOOKUP(J14,Bausteine!$A$2:$AI$33,6,FALSE)),IF(K14="",0,VLOOKUP(K14,Bausteine!$A$2:$AI$33,6,FALSE)),IF(L14="",0,VLOOKUP(L14,Bausteine!$A$2:$AI$33,6,FALSE)))</f>
        <v/>
      </c>
      <c r="P14">
        <f>IF(C14="",0,VLOOKUP(C14,Bausteine!$A$2:$AI$33,7,FALSE))*IF(F14="",0,VLOOKUP(F14,Bausteine!$A$2:$AI$33,17,FALSE))/100+IF(D14="",0,VLOOKUP(D14,Bausteine!$A$2:$AI$33,7,FALSE))+IF(E14="",0,VLOOKUP(E14,Bausteine!$A$2:$AI$33,7,FALSE))+IF(G14="",0,VLOOKUP(G14,Bausteine!$A$2:$AI$33,7,FALSE))+IF(H14="",0,VLOOKUP(H14,Bausteine!$A$2:$AI$33,7,FALSE))+IF(I14="",0,VLOOKUP(I14,Bausteine!$A$2:$AI$33,7,FALSE))+IF(J14="",0,VLOOKUP(J14,Bausteine!$A$2:$AI$33,7,FALSE))+IF(K14="",0,VLOOKUP(K14,Bausteine!$A$2:$AI$33,7,FALSE))+IF(L14="",0,VLOOKUP(L14,Bausteine!$A$2:$AI$33,7,FALSE))</f>
        <v/>
      </c>
      <c r="Q14">
        <f>N14*Parameter!$B$2</f>
        <v/>
      </c>
      <c r="R14">
        <f>P14-Q14</f>
        <v/>
      </c>
      <c r="S14">
        <f>IF(C14="",0,VLOOKUP(C14,Bausteine!$A$2:$AI$33,13,FALSE))*IF(F14="",0,VLOOKUP(F14,Bausteine!$A$2:$AI$33,16,FALSE))/100</f>
        <v/>
      </c>
      <c r="T14">
        <f>IF(C14="",0,VLOOKUP(C14,Bausteine!$A$2:$AI$33,8,FALSE))*IF(F14="",0,VLOOKUP(F14,Bausteine!$A$2:$AI$33,15,FALSE))/100+IF(D14="",0,VLOOKUP(D14,Bausteine!$A$2:$AI$33,8,FALSE))+IF(E14="",0,VLOOKUP(E14,Bausteine!$A$2:$AI$33,8,FALSE))+IF(G14="",0,VLOOKUP(G14,Bausteine!$A$2:$AI$33,8,FALSE))+IF(H14="",0,VLOOKUP(H14,Bausteine!$A$2:$AI$33,8,FALSE))+IF(I14="",0,VLOOKUP(I14,Bausteine!$A$2:$AI$33,8,FALSE))+IF(J14="",0,VLOOKUP(J14,Bausteine!$A$2:$AI$33,8,FALSE))+IF(K14="",0,VLOOKUP(K14,Bausteine!$A$2:$AI$33,8,FALSE))+IF(L14="",0,VLOOKUP(L14,Bausteine!$A$2:$AI$33,8,FALSE))</f>
        <v/>
      </c>
      <c r="U14">
        <f>IF(C14="",0,VLOOKUP(C14,Bausteine!$A$2:$AI$33,9,FALSE))+IF(D14="",0,VLOOKUP(D14,Bausteine!$A$2:$AI$33,9,FALSE))+IF(E14="",0,VLOOKUP(E14,Bausteine!$A$2:$AI$33,9,FALSE))+IF(F14="",0,VLOOKUP(F14,Bausteine!$A$2:$AI$33,9,FALSE))+IF(G14="",0,VLOOKUP(G14,Bausteine!$A$2:$AI$33,9,FALSE))+IF(H14="",0,VLOOKUP(H14,Bausteine!$A$2:$AI$33,9,FALSE))+IF(I14="",0,VLOOKUP(I14,Bausteine!$A$2:$AI$33,9,FALSE))+IF(J14="",0,VLOOKUP(J14,Bausteine!$A$2:$AI$33,9,FALSE))+IF(K14="",0,VLOOKUP(K14,Bausteine!$A$2:$AI$33,9,FALSE))+IF(L14="",0,VLOOKUP(L14,Bausteine!$A$2:$AI$33,9,FALSE))</f>
        <v/>
      </c>
      <c r="V14">
        <f>IF(D14="",0,VLOOKUP(D14,Bausteine!$A$2:$AI$33,10,FALSE))-U14/IF(E14="",0,VLOOKUP(E14,Bausteine!$A$2:$AI$33,11,FALSE))</f>
        <v/>
      </c>
      <c r="W14">
        <f>IF(Y14&lt;&gt;"OK","",ROUND(MIN(IF(C14="",0,VLOOKUP(C14,Bausteine!$A$2:$AI$33,21,FALSE)),IF(C14="",0,VLOOKUP(C14,Bausteine!$A$2:$AI$33,20,FALSE))*(V14/T14/(IF(C14="",0,VLOOKUP(C14,Bausteine!$A$2:$AI$33,19,FALSE))/IF(C14="",0,VLOOKUP(C14,Bausteine!$A$2:$AI$33,18,FALSE))))^Parameter!$B$3),0))</f>
        <v/>
      </c>
      <c r="X14">
        <f>IF(F14="",0,VLOOKUP(F14,Bausteine!$A$2:$AI$33,14,FALSE))</f>
        <v/>
      </c>
      <c r="Y14">
        <f>IFERROR(IF(OR(R14&lt;=0,T14&lt;=0,V14&lt;=0,U14&gt;IF(E14="",0,VLOOKUP(E14,Bausteine!$A$2:$AI$33,12,FALSE)),T14&gt;IF(C14="",0,VLOOKUP(C14,Bausteine!$A$2:$AI$33,22,FALSE)),IF(E14="",0,VLOOKUP(E14,Bausteine!$A$2:$AI$33,11,FALSE))&lt;=0,IF(E14="",0,VLOOKUP(E14,Bausteine!$A$2:$AI$33,11,FALSE))&gt;1),"UNGUELTIG","OK"),"FEHLER")</f>
        <v/>
      </c>
      <c r="Z14" t="n">
        <v>950</v>
      </c>
      <c r="AA14" t="n">
        <v>100</v>
      </c>
      <c r="AB14" t="inlineStr"/>
    </row>
    <row r="15">
      <c r="A15" t="inlineStr">
        <is>
          <t>Battlemaster Autoloader PDL</t>
        </is>
      </c>
      <c r="B15" t="inlineStr">
        <is>
          <t>china</t>
        </is>
      </c>
      <c r="C15" t="inlineStr">
        <is>
          <t>battlemaster</t>
        </is>
      </c>
      <c r="D15" t="inlineStr">
        <is>
          <t>diesel-large</t>
        </is>
      </c>
      <c r="E15" t="inlineStr">
        <is>
          <t>efficient-generator</t>
        </is>
      </c>
      <c r="F15" t="inlineStr">
        <is>
          <t>heavy</t>
        </is>
      </c>
      <c r="G15" t="inlineStr">
        <is>
          <t>autoloader-turret</t>
        </is>
      </c>
      <c r="H15" t="inlineStr">
        <is>
          <t>cannon</t>
        </is>
      </c>
      <c r="I15" t="inlineStr">
        <is>
          <t>shell</t>
        </is>
      </c>
      <c r="J15" t="inlineStr">
        <is>
          <t>pdl</t>
        </is>
      </c>
      <c r="K15" t="inlineStr"/>
      <c r="L15" t="inlineStr"/>
      <c r="M15">
        <f>IF(C15="",0,VLOOKUP(C15,Bausteine!$A$2:$AI$33,4,FALSE))+IF(D15="",0,VLOOKUP(D15,Bausteine!$A$2:$AI$33,4,FALSE))+IF(E15="",0,VLOOKUP(E15,Bausteine!$A$2:$AI$33,4,FALSE))+IF(F15="",0,VLOOKUP(F15,Bausteine!$A$2:$AI$33,4,FALSE))+IF(G15="",0,VLOOKUP(G15,Bausteine!$A$2:$AI$33,4,FALSE))+IF(H15="",0,VLOOKUP(H15,Bausteine!$A$2:$AI$33,4,FALSE))+IF(I15="",0,VLOOKUP(I15,Bausteine!$A$2:$AI$33,4,FALSE))+IF(J15="",0,VLOOKUP(J15,Bausteine!$A$2:$AI$33,4,FALSE))+IF(K15="",0,VLOOKUP(K15,Bausteine!$A$2:$AI$33,4,FALSE))+IF(L15="",0,VLOOKUP(L15,Bausteine!$A$2:$AI$33,4,FALSE))</f>
        <v/>
      </c>
      <c r="N15">
        <f>IF(C15="",0,VLOOKUP(C15,Bausteine!$A$2:$AI$33,5,FALSE))+IF(D15="",0,VLOOKUP(D15,Bausteine!$A$2:$AI$33,5,FALSE))+IF(E15="",0,VLOOKUP(E15,Bausteine!$A$2:$AI$33,5,FALSE))+IF(F15="",0,VLOOKUP(F15,Bausteine!$A$2:$AI$33,5,FALSE))+IF(G15="",0,VLOOKUP(G15,Bausteine!$A$2:$AI$33,5,FALSE))+IF(H15="",0,VLOOKUP(H15,Bausteine!$A$2:$AI$33,5,FALSE))+IF(I15="",0,VLOOKUP(I15,Bausteine!$A$2:$AI$33,5,FALSE))+IF(J15="",0,VLOOKUP(J15,Bausteine!$A$2:$AI$33,5,FALSE))+IF(K15="",0,VLOOKUP(K15,Bausteine!$A$2:$AI$33,5,FALSE))+IF(L15="",0,VLOOKUP(L15,Bausteine!$A$2:$AI$33,5,FALSE))</f>
        <v/>
      </c>
      <c r="O15">
        <f>MAX(IF(C15="",0,VLOOKUP(C15,Bausteine!$A$2:$AI$33,6,FALSE)),IF(D15="",0,VLOOKUP(D15,Bausteine!$A$2:$AI$33,6,FALSE)),IF(E15="",0,VLOOKUP(E15,Bausteine!$A$2:$AI$33,6,FALSE)),IF(F15="",0,VLOOKUP(F15,Bausteine!$A$2:$AI$33,6,FALSE)),IF(G15="",0,VLOOKUP(G15,Bausteine!$A$2:$AI$33,6,FALSE)),IF(H15="",0,VLOOKUP(H15,Bausteine!$A$2:$AI$33,6,FALSE)),IF(I15="",0,VLOOKUP(I15,Bausteine!$A$2:$AI$33,6,FALSE)),IF(J15="",0,VLOOKUP(J15,Bausteine!$A$2:$AI$33,6,FALSE)),IF(K15="",0,VLOOKUP(K15,Bausteine!$A$2:$AI$33,6,FALSE)),IF(L15="",0,VLOOKUP(L15,Bausteine!$A$2:$AI$33,6,FALSE)))</f>
        <v/>
      </c>
      <c r="P15">
        <f>IF(C15="",0,VLOOKUP(C15,Bausteine!$A$2:$AI$33,7,FALSE))*IF(F15="",0,VLOOKUP(F15,Bausteine!$A$2:$AI$33,17,FALSE))/100+IF(D15="",0,VLOOKUP(D15,Bausteine!$A$2:$AI$33,7,FALSE))+IF(E15="",0,VLOOKUP(E15,Bausteine!$A$2:$AI$33,7,FALSE))+IF(G15="",0,VLOOKUP(G15,Bausteine!$A$2:$AI$33,7,FALSE))+IF(H15="",0,VLOOKUP(H15,Bausteine!$A$2:$AI$33,7,FALSE))+IF(I15="",0,VLOOKUP(I15,Bausteine!$A$2:$AI$33,7,FALSE))+IF(J15="",0,VLOOKUP(J15,Bausteine!$A$2:$AI$33,7,FALSE))+IF(K15="",0,VLOOKUP(K15,Bausteine!$A$2:$AI$33,7,FALSE))+IF(L15="",0,VLOOKUP(L15,Bausteine!$A$2:$AI$33,7,FALSE))</f>
        <v/>
      </c>
      <c r="Q15">
        <f>N15*Parameter!$B$2</f>
        <v/>
      </c>
      <c r="R15">
        <f>P15-Q15</f>
        <v/>
      </c>
      <c r="S15">
        <f>IF(C15="",0,VLOOKUP(C15,Bausteine!$A$2:$AI$33,13,FALSE))*IF(F15="",0,VLOOKUP(F15,Bausteine!$A$2:$AI$33,16,FALSE))/100</f>
        <v/>
      </c>
      <c r="T15">
        <f>IF(C15="",0,VLOOKUP(C15,Bausteine!$A$2:$AI$33,8,FALSE))*IF(F15="",0,VLOOKUP(F15,Bausteine!$A$2:$AI$33,15,FALSE))/100+IF(D15="",0,VLOOKUP(D15,Bausteine!$A$2:$AI$33,8,FALSE))+IF(E15="",0,VLOOKUP(E15,Bausteine!$A$2:$AI$33,8,FALSE))+IF(G15="",0,VLOOKUP(G15,Bausteine!$A$2:$AI$33,8,FALSE))+IF(H15="",0,VLOOKUP(H15,Bausteine!$A$2:$AI$33,8,FALSE))+IF(I15="",0,VLOOKUP(I15,Bausteine!$A$2:$AI$33,8,FALSE))+IF(J15="",0,VLOOKUP(J15,Bausteine!$A$2:$AI$33,8,FALSE))+IF(K15="",0,VLOOKUP(K15,Bausteine!$A$2:$AI$33,8,FALSE))+IF(L15="",0,VLOOKUP(L15,Bausteine!$A$2:$AI$33,8,FALSE))</f>
        <v/>
      </c>
      <c r="U15">
        <f>IF(C15="",0,VLOOKUP(C15,Bausteine!$A$2:$AI$33,9,FALSE))+IF(D15="",0,VLOOKUP(D15,Bausteine!$A$2:$AI$33,9,FALSE))+IF(E15="",0,VLOOKUP(E15,Bausteine!$A$2:$AI$33,9,FALSE))+IF(F15="",0,VLOOKUP(F15,Bausteine!$A$2:$AI$33,9,FALSE))+IF(G15="",0,VLOOKUP(G15,Bausteine!$A$2:$AI$33,9,FALSE))+IF(H15="",0,VLOOKUP(H15,Bausteine!$A$2:$AI$33,9,FALSE))+IF(I15="",0,VLOOKUP(I15,Bausteine!$A$2:$AI$33,9,FALSE))+IF(J15="",0,VLOOKUP(J15,Bausteine!$A$2:$AI$33,9,FALSE))+IF(K15="",0,VLOOKUP(K15,Bausteine!$A$2:$AI$33,9,FALSE))+IF(L15="",0,VLOOKUP(L15,Bausteine!$A$2:$AI$33,9,FALSE))</f>
        <v/>
      </c>
      <c r="V15">
        <f>IF(D15="",0,VLOOKUP(D15,Bausteine!$A$2:$AI$33,10,FALSE))-U15/IF(E15="",0,VLOOKUP(E15,Bausteine!$A$2:$AI$33,11,FALSE))</f>
        <v/>
      </c>
      <c r="W15">
        <f>IF(Y15&lt;&gt;"OK","",ROUND(MIN(IF(C15="",0,VLOOKUP(C15,Bausteine!$A$2:$AI$33,21,FALSE)),IF(C15="",0,VLOOKUP(C15,Bausteine!$A$2:$AI$33,20,FALSE))*(V15/T15/(IF(C15="",0,VLOOKUP(C15,Bausteine!$A$2:$AI$33,19,FALSE))/IF(C15="",0,VLOOKUP(C15,Bausteine!$A$2:$AI$33,18,FALSE))))^Parameter!$B$3),0))</f>
        <v/>
      </c>
      <c r="X15">
        <f>IF(F15="",0,VLOOKUP(F15,Bausteine!$A$2:$AI$33,14,FALSE))</f>
        <v/>
      </c>
      <c r="Y15">
        <f>IFERROR(IF(OR(R15&lt;=0,T15&lt;=0,V15&lt;=0,U15&gt;IF(E15="",0,VLOOKUP(E15,Bausteine!$A$2:$AI$33,12,FALSE)),T15&gt;IF(C15="",0,VLOOKUP(C15,Bausteine!$A$2:$AI$33,22,FALSE)),IF(E15="",0,VLOOKUP(E15,Bausteine!$A$2:$AI$33,11,FALSE))&lt;=0,IF(E15="",0,VLOOKUP(E15,Bausteine!$A$2:$AI$33,11,FALSE))&gt;1),"UNGUELTIG","OK"),"FEHLER")</f>
        <v/>
      </c>
      <c r="Z15" t="n">
        <v>1600</v>
      </c>
      <c r="AA15" t="n">
        <v>100</v>
      </c>
      <c r="AB15" t="inlineStr"/>
    </row>
    <row r="16">
      <c r="A16" t="inlineStr">
        <is>
          <t>Battlemaster Autoloader Reflector</t>
        </is>
      </c>
      <c r="B16" t="inlineStr">
        <is>
          <t>china</t>
        </is>
      </c>
      <c r="C16" t="inlineStr">
        <is>
          <t>battlemaster</t>
        </is>
      </c>
      <c r="D16" t="inlineStr">
        <is>
          <t>diesel-large</t>
        </is>
      </c>
      <c r="E16" t="inlineStr">
        <is>
          <t>efficient-generator</t>
        </is>
      </c>
      <c r="F16" t="inlineStr">
        <is>
          <t>reflector</t>
        </is>
      </c>
      <c r="G16" t="inlineStr">
        <is>
          <t>autoloader-turret</t>
        </is>
      </c>
      <c r="H16" t="inlineStr">
        <is>
          <t>cannon</t>
        </is>
      </c>
      <c r="I16" t="inlineStr">
        <is>
          <t>shell</t>
        </is>
      </c>
      <c r="J16" t="inlineStr"/>
      <c r="K16" t="inlineStr"/>
      <c r="L16" t="inlineStr"/>
      <c r="M16">
        <f>IF(C16="",0,VLOOKUP(C16,Bausteine!$A$2:$AI$33,4,FALSE))+IF(D16="",0,VLOOKUP(D16,Bausteine!$A$2:$AI$33,4,FALSE))+IF(E16="",0,VLOOKUP(E16,Bausteine!$A$2:$AI$33,4,FALSE))+IF(F16="",0,VLOOKUP(F16,Bausteine!$A$2:$AI$33,4,FALSE))+IF(G16="",0,VLOOKUP(G16,Bausteine!$A$2:$AI$33,4,FALSE))+IF(H16="",0,VLOOKUP(H16,Bausteine!$A$2:$AI$33,4,FALSE))+IF(I16="",0,VLOOKUP(I16,Bausteine!$A$2:$AI$33,4,FALSE))+IF(J16="",0,VLOOKUP(J16,Bausteine!$A$2:$AI$33,4,FALSE))+IF(K16="",0,VLOOKUP(K16,Bausteine!$A$2:$AI$33,4,FALSE))+IF(L16="",0,VLOOKUP(L16,Bausteine!$A$2:$AI$33,4,FALSE))</f>
        <v/>
      </c>
      <c r="N16">
        <f>IF(C16="",0,VLOOKUP(C16,Bausteine!$A$2:$AI$33,5,FALSE))+IF(D16="",0,VLOOKUP(D16,Bausteine!$A$2:$AI$33,5,FALSE))+IF(E16="",0,VLOOKUP(E16,Bausteine!$A$2:$AI$33,5,FALSE))+IF(F16="",0,VLOOKUP(F16,Bausteine!$A$2:$AI$33,5,FALSE))+IF(G16="",0,VLOOKUP(G16,Bausteine!$A$2:$AI$33,5,FALSE))+IF(H16="",0,VLOOKUP(H16,Bausteine!$A$2:$AI$33,5,FALSE))+IF(I16="",0,VLOOKUP(I16,Bausteine!$A$2:$AI$33,5,FALSE))+IF(J16="",0,VLOOKUP(J16,Bausteine!$A$2:$AI$33,5,FALSE))+IF(K16="",0,VLOOKUP(K16,Bausteine!$A$2:$AI$33,5,FALSE))+IF(L16="",0,VLOOKUP(L16,Bausteine!$A$2:$AI$33,5,FALSE))</f>
        <v/>
      </c>
      <c r="O16">
        <f>MAX(IF(C16="",0,VLOOKUP(C16,Bausteine!$A$2:$AI$33,6,FALSE)),IF(D16="",0,VLOOKUP(D16,Bausteine!$A$2:$AI$33,6,FALSE)),IF(E16="",0,VLOOKUP(E16,Bausteine!$A$2:$AI$33,6,FALSE)),IF(F16="",0,VLOOKUP(F16,Bausteine!$A$2:$AI$33,6,FALSE)),IF(G16="",0,VLOOKUP(G16,Bausteine!$A$2:$AI$33,6,FALSE)),IF(H16="",0,VLOOKUP(H16,Bausteine!$A$2:$AI$33,6,FALSE)),IF(I16="",0,VLOOKUP(I16,Bausteine!$A$2:$AI$33,6,FALSE)),IF(J16="",0,VLOOKUP(J16,Bausteine!$A$2:$AI$33,6,FALSE)),IF(K16="",0,VLOOKUP(K16,Bausteine!$A$2:$AI$33,6,FALSE)),IF(L16="",0,VLOOKUP(L16,Bausteine!$A$2:$AI$33,6,FALSE)))</f>
        <v/>
      </c>
      <c r="P16">
        <f>IF(C16="",0,VLOOKUP(C16,Bausteine!$A$2:$AI$33,7,FALSE))*IF(F16="",0,VLOOKUP(F16,Bausteine!$A$2:$AI$33,17,FALSE))/100+IF(D16="",0,VLOOKUP(D16,Bausteine!$A$2:$AI$33,7,FALSE))+IF(E16="",0,VLOOKUP(E16,Bausteine!$A$2:$AI$33,7,FALSE))+IF(G16="",0,VLOOKUP(G16,Bausteine!$A$2:$AI$33,7,FALSE))+IF(H16="",0,VLOOKUP(H16,Bausteine!$A$2:$AI$33,7,FALSE))+IF(I16="",0,VLOOKUP(I16,Bausteine!$A$2:$AI$33,7,FALSE))+IF(J16="",0,VLOOKUP(J16,Bausteine!$A$2:$AI$33,7,FALSE))+IF(K16="",0,VLOOKUP(K16,Bausteine!$A$2:$AI$33,7,FALSE))+IF(L16="",0,VLOOKUP(L16,Bausteine!$A$2:$AI$33,7,FALSE))</f>
        <v/>
      </c>
      <c r="Q16">
        <f>N16*Parameter!$B$2</f>
        <v/>
      </c>
      <c r="R16">
        <f>P16-Q16</f>
        <v/>
      </c>
      <c r="S16">
        <f>IF(C16="",0,VLOOKUP(C16,Bausteine!$A$2:$AI$33,13,FALSE))*IF(F16="",0,VLOOKUP(F16,Bausteine!$A$2:$AI$33,16,FALSE))/100</f>
        <v/>
      </c>
      <c r="T16">
        <f>IF(C16="",0,VLOOKUP(C16,Bausteine!$A$2:$AI$33,8,FALSE))*IF(F16="",0,VLOOKUP(F16,Bausteine!$A$2:$AI$33,15,FALSE))/100+IF(D16="",0,VLOOKUP(D16,Bausteine!$A$2:$AI$33,8,FALSE))+IF(E16="",0,VLOOKUP(E16,Bausteine!$A$2:$AI$33,8,FALSE))+IF(G16="",0,VLOOKUP(G16,Bausteine!$A$2:$AI$33,8,FALSE))+IF(H16="",0,VLOOKUP(H16,Bausteine!$A$2:$AI$33,8,FALSE))+IF(I16="",0,VLOOKUP(I16,Bausteine!$A$2:$AI$33,8,FALSE))+IF(J16="",0,VLOOKUP(J16,Bausteine!$A$2:$AI$33,8,FALSE))+IF(K16="",0,VLOOKUP(K16,Bausteine!$A$2:$AI$33,8,FALSE))+IF(L16="",0,VLOOKUP(L16,Bausteine!$A$2:$AI$33,8,FALSE))</f>
        <v/>
      </c>
      <c r="U16">
        <f>IF(C16="",0,VLOOKUP(C16,Bausteine!$A$2:$AI$33,9,FALSE))+IF(D16="",0,VLOOKUP(D16,Bausteine!$A$2:$AI$33,9,FALSE))+IF(E16="",0,VLOOKUP(E16,Bausteine!$A$2:$AI$33,9,FALSE))+IF(F16="",0,VLOOKUP(F16,Bausteine!$A$2:$AI$33,9,FALSE))+IF(G16="",0,VLOOKUP(G16,Bausteine!$A$2:$AI$33,9,FALSE))+IF(H16="",0,VLOOKUP(H16,Bausteine!$A$2:$AI$33,9,FALSE))+IF(I16="",0,VLOOKUP(I16,Bausteine!$A$2:$AI$33,9,FALSE))+IF(J16="",0,VLOOKUP(J16,Bausteine!$A$2:$AI$33,9,FALSE))+IF(K16="",0,VLOOKUP(K16,Bausteine!$A$2:$AI$33,9,FALSE))+IF(L16="",0,VLOOKUP(L16,Bausteine!$A$2:$AI$33,9,FALSE))</f>
        <v/>
      </c>
      <c r="V16">
        <f>IF(D16="",0,VLOOKUP(D16,Bausteine!$A$2:$AI$33,10,FALSE))-U16/IF(E16="",0,VLOOKUP(E16,Bausteine!$A$2:$AI$33,11,FALSE))</f>
        <v/>
      </c>
      <c r="W16">
        <f>IF(Y16&lt;&gt;"OK","",ROUND(MIN(IF(C16="",0,VLOOKUP(C16,Bausteine!$A$2:$AI$33,21,FALSE)),IF(C16="",0,VLOOKUP(C16,Bausteine!$A$2:$AI$33,20,FALSE))*(V16/T16/(IF(C16="",0,VLOOKUP(C16,Bausteine!$A$2:$AI$33,19,FALSE))/IF(C16="",0,VLOOKUP(C16,Bausteine!$A$2:$AI$33,18,FALSE))))^Parameter!$B$3),0))</f>
        <v/>
      </c>
      <c r="X16">
        <f>IF(F16="",0,VLOOKUP(F16,Bausteine!$A$2:$AI$33,14,FALSE))</f>
        <v/>
      </c>
      <c r="Y16">
        <f>IFERROR(IF(OR(R16&lt;=0,T16&lt;=0,V16&lt;=0,U16&gt;IF(E16="",0,VLOOKUP(E16,Bausteine!$A$2:$AI$33,12,FALSE)),T16&gt;IF(C16="",0,VLOOKUP(C16,Bausteine!$A$2:$AI$33,22,FALSE)),IF(E16="",0,VLOOKUP(E16,Bausteine!$A$2:$AI$33,11,FALSE))&lt;=0,IF(E16="",0,VLOOKUP(E16,Bausteine!$A$2:$AI$33,11,FALSE))&gt;1),"UNGUELTIG","OK"),"FEHLER")</f>
        <v/>
      </c>
      <c r="Z16" t="n">
        <v>950</v>
      </c>
      <c r="AA16" t="n">
        <v>100</v>
      </c>
      <c r="AB16" t="inlineStr"/>
    </row>
    <row r="17">
      <c r="A17" t="inlineStr">
        <is>
          <t>Battlemaster baseline</t>
        </is>
      </c>
      <c r="B17" t="inlineStr">
        <is>
          <t>china</t>
        </is>
      </c>
      <c r="C17" t="inlineStr">
        <is>
          <t>battlemaster</t>
        </is>
      </c>
      <c r="D17" t="inlineStr">
        <is>
          <t>diesel</t>
        </is>
      </c>
      <c r="E17" t="inlineStr">
        <is>
          <t>baseline-generator</t>
        </is>
      </c>
      <c r="F17" t="inlineStr">
        <is>
          <t>heavy</t>
        </is>
      </c>
      <c r="G17" t="inlineStr">
        <is>
          <t>cannon-turret</t>
        </is>
      </c>
      <c r="H17" t="inlineStr">
        <is>
          <t>cannon</t>
        </is>
      </c>
      <c r="I17" t="inlineStr">
        <is>
          <t>shell</t>
        </is>
      </c>
      <c r="J17" t="inlineStr"/>
      <c r="K17" t="inlineStr"/>
      <c r="L17" t="inlineStr"/>
      <c r="M17">
        <f>IF(C17="",0,VLOOKUP(C17,Bausteine!$A$2:$AI$33,4,FALSE))+IF(D17="",0,VLOOKUP(D17,Bausteine!$A$2:$AI$33,4,FALSE))+IF(E17="",0,VLOOKUP(E17,Bausteine!$A$2:$AI$33,4,FALSE))+IF(F17="",0,VLOOKUP(F17,Bausteine!$A$2:$AI$33,4,FALSE))+IF(G17="",0,VLOOKUP(G17,Bausteine!$A$2:$AI$33,4,FALSE))+IF(H17="",0,VLOOKUP(H17,Bausteine!$A$2:$AI$33,4,FALSE))+IF(I17="",0,VLOOKUP(I17,Bausteine!$A$2:$AI$33,4,FALSE))+IF(J17="",0,VLOOKUP(J17,Bausteine!$A$2:$AI$33,4,FALSE))+IF(K17="",0,VLOOKUP(K17,Bausteine!$A$2:$AI$33,4,FALSE))+IF(L17="",0,VLOOKUP(L17,Bausteine!$A$2:$AI$33,4,FALSE))</f>
        <v/>
      </c>
      <c r="N17">
        <f>IF(C17="",0,VLOOKUP(C17,Bausteine!$A$2:$AI$33,5,FALSE))+IF(D17="",0,VLOOKUP(D17,Bausteine!$A$2:$AI$33,5,FALSE))+IF(E17="",0,VLOOKUP(E17,Bausteine!$A$2:$AI$33,5,FALSE))+IF(F17="",0,VLOOKUP(F17,Bausteine!$A$2:$AI$33,5,FALSE))+IF(G17="",0,VLOOKUP(G17,Bausteine!$A$2:$AI$33,5,FALSE))+IF(H17="",0,VLOOKUP(H17,Bausteine!$A$2:$AI$33,5,FALSE))+IF(I17="",0,VLOOKUP(I17,Bausteine!$A$2:$AI$33,5,FALSE))+IF(J17="",0,VLOOKUP(J17,Bausteine!$A$2:$AI$33,5,FALSE))+IF(K17="",0,VLOOKUP(K17,Bausteine!$A$2:$AI$33,5,FALSE))+IF(L17="",0,VLOOKUP(L17,Bausteine!$A$2:$AI$33,5,FALSE))</f>
        <v/>
      </c>
      <c r="O17">
        <f>MAX(IF(C17="",0,VLOOKUP(C17,Bausteine!$A$2:$AI$33,6,FALSE)),IF(D17="",0,VLOOKUP(D17,Bausteine!$A$2:$AI$33,6,FALSE)),IF(E17="",0,VLOOKUP(E17,Bausteine!$A$2:$AI$33,6,FALSE)),IF(F17="",0,VLOOKUP(F17,Bausteine!$A$2:$AI$33,6,FALSE)),IF(G17="",0,VLOOKUP(G17,Bausteine!$A$2:$AI$33,6,FALSE)),IF(H17="",0,VLOOKUP(H17,Bausteine!$A$2:$AI$33,6,FALSE)),IF(I17="",0,VLOOKUP(I17,Bausteine!$A$2:$AI$33,6,FALSE)),IF(J17="",0,VLOOKUP(J17,Bausteine!$A$2:$AI$33,6,FALSE)),IF(K17="",0,VLOOKUP(K17,Bausteine!$A$2:$AI$33,6,FALSE)),IF(L17="",0,VLOOKUP(L17,Bausteine!$A$2:$AI$33,6,FALSE)))</f>
        <v/>
      </c>
      <c r="P17">
        <f>IF(C17="",0,VLOOKUP(C17,Bausteine!$A$2:$AI$33,7,FALSE))*IF(F17="",0,VLOOKUP(F17,Bausteine!$A$2:$AI$33,17,FALSE))/100+IF(D17="",0,VLOOKUP(D17,Bausteine!$A$2:$AI$33,7,FALSE))+IF(E17="",0,VLOOKUP(E17,Bausteine!$A$2:$AI$33,7,FALSE))+IF(G17="",0,VLOOKUP(G17,Bausteine!$A$2:$AI$33,7,FALSE))+IF(H17="",0,VLOOKUP(H17,Bausteine!$A$2:$AI$33,7,FALSE))+IF(I17="",0,VLOOKUP(I17,Bausteine!$A$2:$AI$33,7,FALSE))+IF(J17="",0,VLOOKUP(J17,Bausteine!$A$2:$AI$33,7,FALSE))+IF(K17="",0,VLOOKUP(K17,Bausteine!$A$2:$AI$33,7,FALSE))+IF(L17="",0,VLOOKUP(L17,Bausteine!$A$2:$AI$33,7,FALSE))</f>
        <v/>
      </c>
      <c r="Q17">
        <f>N17*Parameter!$B$2</f>
        <v/>
      </c>
      <c r="R17">
        <f>P17-Q17</f>
        <v/>
      </c>
      <c r="S17">
        <f>IF(C17="",0,VLOOKUP(C17,Bausteine!$A$2:$AI$33,13,FALSE))*IF(F17="",0,VLOOKUP(F17,Bausteine!$A$2:$AI$33,16,FALSE))/100</f>
        <v/>
      </c>
      <c r="T17">
        <f>IF(C17="",0,VLOOKUP(C17,Bausteine!$A$2:$AI$33,8,FALSE))*IF(F17="",0,VLOOKUP(F17,Bausteine!$A$2:$AI$33,15,FALSE))/100+IF(D17="",0,VLOOKUP(D17,Bausteine!$A$2:$AI$33,8,FALSE))+IF(E17="",0,VLOOKUP(E17,Bausteine!$A$2:$AI$33,8,FALSE))+IF(G17="",0,VLOOKUP(G17,Bausteine!$A$2:$AI$33,8,FALSE))+IF(H17="",0,VLOOKUP(H17,Bausteine!$A$2:$AI$33,8,FALSE))+IF(I17="",0,VLOOKUP(I17,Bausteine!$A$2:$AI$33,8,FALSE))+IF(J17="",0,VLOOKUP(J17,Bausteine!$A$2:$AI$33,8,FALSE))+IF(K17="",0,VLOOKUP(K17,Bausteine!$A$2:$AI$33,8,FALSE))+IF(L17="",0,VLOOKUP(L17,Bausteine!$A$2:$AI$33,8,FALSE))</f>
        <v/>
      </c>
      <c r="U17">
        <f>IF(C17="",0,VLOOKUP(C17,Bausteine!$A$2:$AI$33,9,FALSE))+IF(D17="",0,VLOOKUP(D17,Bausteine!$A$2:$AI$33,9,FALSE))+IF(E17="",0,VLOOKUP(E17,Bausteine!$A$2:$AI$33,9,FALSE))+IF(F17="",0,VLOOKUP(F17,Bausteine!$A$2:$AI$33,9,FALSE))+IF(G17="",0,VLOOKUP(G17,Bausteine!$A$2:$AI$33,9,FALSE))+IF(H17="",0,VLOOKUP(H17,Bausteine!$A$2:$AI$33,9,FALSE))+IF(I17="",0,VLOOKUP(I17,Bausteine!$A$2:$AI$33,9,FALSE))+IF(J17="",0,VLOOKUP(J17,Bausteine!$A$2:$AI$33,9,FALSE))+IF(K17="",0,VLOOKUP(K17,Bausteine!$A$2:$AI$33,9,FALSE))+IF(L17="",0,VLOOKUP(L17,Bausteine!$A$2:$AI$33,9,FALSE))</f>
        <v/>
      </c>
      <c r="V17">
        <f>IF(D17="",0,VLOOKUP(D17,Bausteine!$A$2:$AI$33,10,FALSE))-U17/IF(E17="",0,VLOOKUP(E17,Bausteine!$A$2:$AI$33,11,FALSE))</f>
        <v/>
      </c>
      <c r="W17">
        <f>IF(Y17&lt;&gt;"OK","",ROUND(MIN(IF(C17="",0,VLOOKUP(C17,Bausteine!$A$2:$AI$33,21,FALSE)),IF(C17="",0,VLOOKUP(C17,Bausteine!$A$2:$AI$33,20,FALSE))*(V17/T17/(IF(C17="",0,VLOOKUP(C17,Bausteine!$A$2:$AI$33,19,FALSE))/IF(C17="",0,VLOOKUP(C17,Bausteine!$A$2:$AI$33,18,FALSE))))^Parameter!$B$3),0))</f>
        <v/>
      </c>
      <c r="X17">
        <f>IF(F17="",0,VLOOKUP(F17,Bausteine!$A$2:$AI$33,14,FALSE))</f>
        <v/>
      </c>
      <c r="Y17">
        <f>IFERROR(IF(OR(R17&lt;=0,T17&lt;=0,V17&lt;=0,U17&gt;IF(E17="",0,VLOOKUP(E17,Bausteine!$A$2:$AI$33,12,FALSE)),T17&gt;IF(C17="",0,VLOOKUP(C17,Bausteine!$A$2:$AI$33,22,FALSE)),IF(E17="",0,VLOOKUP(E17,Bausteine!$A$2:$AI$33,11,FALSE))&lt;=0,IF(E17="",0,VLOOKUP(E17,Bausteine!$A$2:$AI$33,11,FALSE))&gt;1),"UNGUELTIG","OK"),"FEHLER")</f>
        <v/>
      </c>
      <c r="Z17" t="n">
        <v>950</v>
      </c>
      <c r="AA17" t="n">
        <v>100</v>
      </c>
      <c r="AB17" t="inlineStr"/>
    </row>
    <row r="18">
      <c r="A18" t="inlineStr">
        <is>
          <t>Battlemaster nuclear drive</t>
        </is>
      </c>
      <c r="B18" t="inlineStr">
        <is>
          <t>china</t>
        </is>
      </c>
      <c r="C18" t="inlineStr">
        <is>
          <t>battlemaster</t>
        </is>
      </c>
      <c r="D18" t="inlineStr">
        <is>
          <t>nuclear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cannon-turret</t>
        </is>
      </c>
      <c r="H18" t="inlineStr">
        <is>
          <t>cannon</t>
        </is>
      </c>
      <c r="I18" t="inlineStr">
        <is>
          <t>shell</t>
        </is>
      </c>
      <c r="J18" t="inlineStr"/>
      <c r="K18" t="inlineStr"/>
      <c r="L18" t="inlineStr"/>
      <c r="M18">
        <f>IF(C18="",0,VLOOKUP(C18,Bausteine!$A$2:$AI$33,4,FALSE))+IF(D18="",0,VLOOKUP(D18,Bausteine!$A$2:$AI$33,4,FALSE))+IF(E18="",0,VLOOKUP(E18,Bausteine!$A$2:$AI$33,4,FALSE))+IF(F18="",0,VLOOKUP(F18,Bausteine!$A$2:$AI$33,4,FALSE))+IF(G18="",0,VLOOKUP(G18,Bausteine!$A$2:$AI$33,4,FALSE))+IF(H18="",0,VLOOKUP(H18,Bausteine!$A$2:$AI$33,4,FALSE))+IF(I18="",0,VLOOKUP(I18,Bausteine!$A$2:$AI$33,4,FALSE))+IF(J18="",0,VLOOKUP(J18,Bausteine!$A$2:$AI$33,4,FALSE))+IF(K18="",0,VLOOKUP(K18,Bausteine!$A$2:$AI$33,4,FALSE))+IF(L18="",0,VLOOKUP(L18,Bausteine!$A$2:$AI$33,4,FALSE))</f>
        <v/>
      </c>
      <c r="N18">
        <f>IF(C18="",0,VLOOKUP(C18,Bausteine!$A$2:$AI$33,5,FALSE))+IF(D18="",0,VLOOKUP(D18,Bausteine!$A$2:$AI$33,5,FALSE))+IF(E18="",0,VLOOKUP(E18,Bausteine!$A$2:$AI$33,5,FALSE))+IF(F18="",0,VLOOKUP(F18,Bausteine!$A$2:$AI$33,5,FALSE))+IF(G18="",0,VLOOKUP(G18,Bausteine!$A$2:$AI$33,5,FALSE))+IF(H18="",0,VLOOKUP(H18,Bausteine!$A$2:$AI$33,5,FALSE))+IF(I18="",0,VLOOKUP(I18,Bausteine!$A$2:$AI$33,5,FALSE))+IF(J18="",0,VLOOKUP(J18,Bausteine!$A$2:$AI$33,5,FALSE))+IF(K18="",0,VLOOKUP(K18,Bausteine!$A$2:$AI$33,5,FALSE))+IF(L18="",0,VLOOKUP(L18,Bausteine!$A$2:$AI$33,5,FALSE))</f>
        <v/>
      </c>
      <c r="O18">
        <f>MAX(IF(C18="",0,VLOOKUP(C18,Bausteine!$A$2:$AI$33,6,FALSE)),IF(D18="",0,VLOOKUP(D18,Bausteine!$A$2:$AI$33,6,FALSE)),IF(E18="",0,VLOOKUP(E18,Bausteine!$A$2:$AI$33,6,FALSE)),IF(F18="",0,VLOOKUP(F18,Bausteine!$A$2:$AI$33,6,FALSE)),IF(G18="",0,VLOOKUP(G18,Bausteine!$A$2:$AI$33,6,FALSE)),IF(H18="",0,VLOOKUP(H18,Bausteine!$A$2:$AI$33,6,FALSE)),IF(I18="",0,VLOOKUP(I18,Bausteine!$A$2:$AI$33,6,FALSE)),IF(J18="",0,VLOOKUP(J18,Bausteine!$A$2:$AI$33,6,FALSE)),IF(K18="",0,VLOOKUP(K18,Bausteine!$A$2:$AI$33,6,FALSE)),IF(L18="",0,VLOOKUP(L18,Bausteine!$A$2:$AI$33,6,FALSE)))</f>
        <v/>
      </c>
      <c r="P18">
        <f>IF(C18="",0,VLOOKUP(C18,Bausteine!$A$2:$AI$33,7,FALSE))*IF(F18="",0,VLOOKUP(F18,Bausteine!$A$2:$AI$33,17,FALSE))/100+IF(D18="",0,VLOOKUP(D18,Bausteine!$A$2:$AI$33,7,FALSE))+IF(E18="",0,VLOOKUP(E18,Bausteine!$A$2:$AI$33,7,FALSE))+IF(G18="",0,VLOOKUP(G18,Bausteine!$A$2:$AI$33,7,FALSE))+IF(H18="",0,VLOOKUP(H18,Bausteine!$A$2:$AI$33,7,FALSE))+IF(I18="",0,VLOOKUP(I18,Bausteine!$A$2:$AI$33,7,FALSE))+IF(J18="",0,VLOOKUP(J18,Bausteine!$A$2:$AI$33,7,FALSE))+IF(K18="",0,VLOOKUP(K18,Bausteine!$A$2:$AI$33,7,FALSE))+IF(L18="",0,VLOOKUP(L18,Bausteine!$A$2:$AI$33,7,FALSE))</f>
        <v/>
      </c>
      <c r="Q18">
        <f>N18*Parameter!$B$2</f>
        <v/>
      </c>
      <c r="R18">
        <f>P18-Q18</f>
        <v/>
      </c>
      <c r="S18">
        <f>IF(C18="",0,VLOOKUP(C18,Bausteine!$A$2:$AI$33,13,FALSE))*IF(F18="",0,VLOOKUP(F18,Bausteine!$A$2:$AI$33,16,FALSE))/100</f>
        <v/>
      </c>
      <c r="T18">
        <f>IF(C18="",0,VLOOKUP(C18,Bausteine!$A$2:$AI$33,8,FALSE))*IF(F18="",0,VLOOKUP(F18,Bausteine!$A$2:$AI$33,15,FALSE))/100+IF(D18="",0,VLOOKUP(D18,Bausteine!$A$2:$AI$33,8,FALSE))+IF(E18="",0,VLOOKUP(E18,Bausteine!$A$2:$AI$33,8,FALSE))+IF(G18="",0,VLOOKUP(G18,Bausteine!$A$2:$AI$33,8,FALSE))+IF(H18="",0,VLOOKUP(H18,Bausteine!$A$2:$AI$33,8,FALSE))+IF(I18="",0,VLOOKUP(I18,Bausteine!$A$2:$AI$33,8,FALSE))+IF(J18="",0,VLOOKUP(J18,Bausteine!$A$2:$AI$33,8,FALSE))+IF(K18="",0,VLOOKUP(K18,Bausteine!$A$2:$AI$33,8,FALSE))+IF(L18="",0,VLOOKUP(L18,Bausteine!$A$2:$AI$33,8,FALSE))</f>
        <v/>
      </c>
      <c r="U18">
        <f>IF(C18="",0,VLOOKUP(C18,Bausteine!$A$2:$AI$33,9,FALSE))+IF(D18="",0,VLOOKUP(D18,Bausteine!$A$2:$AI$33,9,FALSE))+IF(E18="",0,VLOOKUP(E18,Bausteine!$A$2:$AI$33,9,FALSE))+IF(F18="",0,VLOOKUP(F18,Bausteine!$A$2:$AI$33,9,FALSE))+IF(G18="",0,VLOOKUP(G18,Bausteine!$A$2:$AI$33,9,FALSE))+IF(H18="",0,VLOOKUP(H18,Bausteine!$A$2:$AI$33,9,FALSE))+IF(I18="",0,VLOOKUP(I18,Bausteine!$A$2:$AI$33,9,FALSE))+IF(J18="",0,VLOOKUP(J18,Bausteine!$A$2:$AI$33,9,FALSE))+IF(K18="",0,VLOOKUP(K18,Bausteine!$A$2:$AI$33,9,FALSE))+IF(L18="",0,VLOOKUP(L18,Bausteine!$A$2:$AI$33,9,FALSE))</f>
        <v/>
      </c>
      <c r="V18">
        <f>IF(D18="",0,VLOOKUP(D18,Bausteine!$A$2:$AI$33,10,FALSE))-U18/IF(E18="",0,VLOOKUP(E18,Bausteine!$A$2:$AI$33,11,FALSE))</f>
        <v/>
      </c>
      <c r="W18">
        <f>IF(Y18&lt;&gt;"OK","",ROUND(MIN(IF(C18="",0,VLOOKUP(C18,Bausteine!$A$2:$AI$33,21,FALSE)),IF(C18="",0,VLOOKUP(C18,Bausteine!$A$2:$AI$33,20,FALSE))*(V18/T18/(IF(C18="",0,VLOOKUP(C18,Bausteine!$A$2:$AI$33,19,FALSE))/IF(C18="",0,VLOOKUP(C18,Bausteine!$A$2:$AI$33,18,FALSE))))^Parameter!$B$3),0))</f>
        <v/>
      </c>
      <c r="X18">
        <f>IF(F18="",0,VLOOKUP(F18,Bausteine!$A$2:$AI$33,14,FALSE))</f>
        <v/>
      </c>
      <c r="Y18">
        <f>IFERROR(IF(OR(R18&lt;=0,T18&lt;=0,V18&lt;=0,U18&gt;IF(E18="",0,VLOOKUP(E18,Bausteine!$A$2:$AI$33,12,FALSE)),T18&gt;IF(C18="",0,VLOOKUP(C18,Bausteine!$A$2:$AI$33,22,FALSE)),IF(E18="",0,VLOOKUP(E18,Bausteine!$A$2:$AI$33,11,FALSE))&lt;=0,IF(E18="",0,VLOOKUP(E18,Bausteine!$A$2:$AI$33,11,FALSE))&gt;1),"UNGUELTIG","OK"),"FEHLER")</f>
        <v/>
      </c>
      <c r="Z18" t="n">
        <v>950</v>
      </c>
      <c r="AA18" t="n">
        <v>125</v>
      </c>
      <c r="AB18" t="inlineStr"/>
    </row>
    <row r="19">
      <c r="A19" t="inlineStr">
        <is>
          <t>Battlemaster PDL / baseline generator</t>
        </is>
      </c>
      <c r="B19" t="inlineStr">
        <is>
          <t>china</t>
        </is>
      </c>
      <c r="C19" t="inlineStr">
        <is>
          <t>battlemaster</t>
        </is>
      </c>
      <c r="D19" t="inlineStr">
        <is>
          <t>diesel</t>
        </is>
      </c>
      <c r="E19" t="inlineStr">
        <is>
          <t>baseline-generator</t>
        </is>
      </c>
      <c r="F19" t="inlineStr">
        <is>
          <t>heavy</t>
        </is>
      </c>
      <c r="G19" t="inlineStr">
        <is>
          <t>cannon-turret</t>
        </is>
      </c>
      <c r="H19" t="inlineStr">
        <is>
          <t>cannon</t>
        </is>
      </c>
      <c r="I19" t="inlineStr">
        <is>
          <t>shell</t>
        </is>
      </c>
      <c r="J19" t="inlineStr">
        <is>
          <t>pdl</t>
        </is>
      </c>
      <c r="K19" t="inlineStr"/>
      <c r="L19" t="inlineStr"/>
      <c r="M19">
        <f>IF(C19="",0,VLOOKUP(C19,Bausteine!$A$2:$AI$33,4,FALSE))+IF(D19="",0,VLOOKUP(D19,Bausteine!$A$2:$AI$33,4,FALSE))+IF(E19="",0,VLOOKUP(E19,Bausteine!$A$2:$AI$33,4,FALSE))+IF(F19="",0,VLOOKUP(F19,Bausteine!$A$2:$AI$33,4,FALSE))+IF(G19="",0,VLOOKUP(G19,Bausteine!$A$2:$AI$33,4,FALSE))+IF(H19="",0,VLOOKUP(H19,Bausteine!$A$2:$AI$33,4,FALSE))+IF(I19="",0,VLOOKUP(I19,Bausteine!$A$2:$AI$33,4,FALSE))+IF(J19="",0,VLOOKUP(J19,Bausteine!$A$2:$AI$33,4,FALSE))+IF(K19="",0,VLOOKUP(K19,Bausteine!$A$2:$AI$33,4,FALSE))+IF(L19="",0,VLOOKUP(L19,Bausteine!$A$2:$AI$33,4,FALSE))</f>
        <v/>
      </c>
      <c r="N19">
        <f>IF(C19="",0,VLOOKUP(C19,Bausteine!$A$2:$AI$33,5,FALSE))+IF(D19="",0,VLOOKUP(D19,Bausteine!$A$2:$AI$33,5,FALSE))+IF(E19="",0,VLOOKUP(E19,Bausteine!$A$2:$AI$33,5,FALSE))+IF(F19="",0,VLOOKUP(F19,Bausteine!$A$2:$AI$33,5,FALSE))+IF(G19="",0,VLOOKUP(G19,Bausteine!$A$2:$AI$33,5,FALSE))+IF(H19="",0,VLOOKUP(H19,Bausteine!$A$2:$AI$33,5,FALSE))+IF(I19="",0,VLOOKUP(I19,Bausteine!$A$2:$AI$33,5,FALSE))+IF(J19="",0,VLOOKUP(J19,Bausteine!$A$2:$AI$33,5,FALSE))+IF(K19="",0,VLOOKUP(K19,Bausteine!$A$2:$AI$33,5,FALSE))+IF(L19="",0,VLOOKUP(L19,Bausteine!$A$2:$AI$33,5,FALSE))</f>
        <v/>
      </c>
      <c r="O19">
        <f>MAX(IF(C19="",0,VLOOKUP(C19,Bausteine!$A$2:$AI$33,6,FALSE)),IF(D19="",0,VLOOKUP(D19,Bausteine!$A$2:$AI$33,6,FALSE)),IF(E19="",0,VLOOKUP(E19,Bausteine!$A$2:$AI$33,6,FALSE)),IF(F19="",0,VLOOKUP(F19,Bausteine!$A$2:$AI$33,6,FALSE)),IF(G19="",0,VLOOKUP(G19,Bausteine!$A$2:$AI$33,6,FALSE)),IF(H19="",0,VLOOKUP(H19,Bausteine!$A$2:$AI$33,6,FALSE)),IF(I19="",0,VLOOKUP(I19,Bausteine!$A$2:$AI$33,6,FALSE)),IF(J19="",0,VLOOKUP(J19,Bausteine!$A$2:$AI$33,6,FALSE)),IF(K19="",0,VLOOKUP(K19,Bausteine!$A$2:$AI$33,6,FALSE)),IF(L19="",0,VLOOKUP(L19,Bausteine!$A$2:$AI$33,6,FALSE)))</f>
        <v/>
      </c>
      <c r="P19">
        <f>IF(C19="",0,VLOOKUP(C19,Bausteine!$A$2:$AI$33,7,FALSE))*IF(F19="",0,VLOOKUP(F19,Bausteine!$A$2:$AI$33,17,FALSE))/100+IF(D19="",0,VLOOKUP(D19,Bausteine!$A$2:$AI$33,7,FALSE))+IF(E19="",0,VLOOKUP(E19,Bausteine!$A$2:$AI$33,7,FALSE))+IF(G19="",0,VLOOKUP(G19,Bausteine!$A$2:$AI$33,7,FALSE))+IF(H19="",0,VLOOKUP(H19,Bausteine!$A$2:$AI$33,7,FALSE))+IF(I19="",0,VLOOKUP(I19,Bausteine!$A$2:$AI$33,7,FALSE))+IF(J19="",0,VLOOKUP(J19,Bausteine!$A$2:$AI$33,7,FALSE))+IF(K19="",0,VLOOKUP(K19,Bausteine!$A$2:$AI$33,7,FALSE))+IF(L19="",0,VLOOKUP(L19,Bausteine!$A$2:$AI$33,7,FALSE))</f>
        <v/>
      </c>
      <c r="Q19">
        <f>N19*Parameter!$B$2</f>
        <v/>
      </c>
      <c r="R19">
        <f>P19-Q19</f>
        <v/>
      </c>
      <c r="S19">
        <f>IF(C19="",0,VLOOKUP(C19,Bausteine!$A$2:$AI$33,13,FALSE))*IF(F19="",0,VLOOKUP(F19,Bausteine!$A$2:$AI$33,16,FALSE))/100</f>
        <v/>
      </c>
      <c r="T19">
        <f>IF(C19="",0,VLOOKUP(C19,Bausteine!$A$2:$AI$33,8,FALSE))*IF(F19="",0,VLOOKUP(F19,Bausteine!$A$2:$AI$33,15,FALSE))/100+IF(D19="",0,VLOOKUP(D19,Bausteine!$A$2:$AI$33,8,FALSE))+IF(E19="",0,VLOOKUP(E19,Bausteine!$A$2:$AI$33,8,FALSE))+IF(G19="",0,VLOOKUP(G19,Bausteine!$A$2:$AI$33,8,FALSE))+IF(H19="",0,VLOOKUP(H19,Bausteine!$A$2:$AI$33,8,FALSE))+IF(I19="",0,VLOOKUP(I19,Bausteine!$A$2:$AI$33,8,FALSE))+IF(J19="",0,VLOOKUP(J19,Bausteine!$A$2:$AI$33,8,FALSE))+IF(K19="",0,VLOOKUP(K19,Bausteine!$A$2:$AI$33,8,FALSE))+IF(L19="",0,VLOOKUP(L19,Bausteine!$A$2:$AI$33,8,FALSE))</f>
        <v/>
      </c>
      <c r="U19">
        <f>IF(C19="",0,VLOOKUP(C19,Bausteine!$A$2:$AI$33,9,FALSE))+IF(D19="",0,VLOOKUP(D19,Bausteine!$A$2:$AI$33,9,FALSE))+IF(E19="",0,VLOOKUP(E19,Bausteine!$A$2:$AI$33,9,FALSE))+IF(F19="",0,VLOOKUP(F19,Bausteine!$A$2:$AI$33,9,FALSE))+IF(G19="",0,VLOOKUP(G19,Bausteine!$A$2:$AI$33,9,FALSE))+IF(H19="",0,VLOOKUP(H19,Bausteine!$A$2:$AI$33,9,FALSE))+IF(I19="",0,VLOOKUP(I19,Bausteine!$A$2:$AI$33,9,FALSE))+IF(J19="",0,VLOOKUP(J19,Bausteine!$A$2:$AI$33,9,FALSE))+IF(K19="",0,VLOOKUP(K19,Bausteine!$A$2:$AI$33,9,FALSE))+IF(L19="",0,VLOOKUP(L19,Bausteine!$A$2:$AI$33,9,FALSE))</f>
        <v/>
      </c>
      <c r="V19">
        <f>IF(D19="",0,VLOOKUP(D19,Bausteine!$A$2:$AI$33,10,FALSE))-U19/IF(E19="",0,VLOOKUP(E19,Bausteine!$A$2:$AI$33,11,FALSE))</f>
        <v/>
      </c>
      <c r="W19">
        <f>IF(Y19&lt;&gt;"OK","",ROUND(MIN(IF(C19="",0,VLOOKUP(C19,Bausteine!$A$2:$AI$33,21,FALSE)),IF(C19="",0,VLOOKUP(C19,Bausteine!$A$2:$AI$33,20,FALSE))*(V19/T19/(IF(C19="",0,VLOOKUP(C19,Bausteine!$A$2:$AI$33,19,FALSE))/IF(C19="",0,VLOOKUP(C19,Bausteine!$A$2:$AI$33,18,FALSE))))^Parameter!$B$3),0))</f>
        <v/>
      </c>
      <c r="X19">
        <f>IF(F19="",0,VLOOKUP(F19,Bausteine!$A$2:$AI$33,14,FALSE))</f>
        <v/>
      </c>
      <c r="Y19">
        <f>IFERROR(IF(OR(R19&lt;=0,T19&lt;=0,V19&lt;=0,U19&gt;IF(E19="",0,VLOOKUP(E19,Bausteine!$A$2:$AI$33,12,FALSE)),T19&gt;IF(C19="",0,VLOOKUP(C19,Bausteine!$A$2:$AI$33,22,FALSE)),IF(E19="",0,VLOOKUP(E19,Bausteine!$A$2:$AI$33,11,FALSE))&lt;=0,IF(E19="",0,VLOOKUP(E19,Bausteine!$A$2:$AI$33,11,FALSE))&gt;1),"UNGUELTIG","OK"),"FEHLER")</f>
        <v/>
      </c>
      <c r="Z19" t="n">
        <v>1300</v>
      </c>
      <c r="AA19" t="n">
        <v>76</v>
      </c>
      <c r="AB19" t="inlineStr"/>
    </row>
    <row r="20">
      <c r="A20" t="inlineStr">
        <is>
          <t>Battlemaster PDL / efficient generator</t>
        </is>
      </c>
      <c r="B20" t="inlineStr">
        <is>
          <t>china</t>
        </is>
      </c>
      <c r="C20" t="inlineStr">
        <is>
          <t>battlemaster</t>
        </is>
      </c>
      <c r="D20" t="inlineStr">
        <is>
          <t>diesel</t>
        </is>
      </c>
      <c r="E20" t="inlineStr">
        <is>
          <t>efficient-generator</t>
        </is>
      </c>
      <c r="F20" t="inlineStr">
        <is>
          <t>heavy</t>
        </is>
      </c>
      <c r="G20" t="inlineStr">
        <is>
          <t>cannon-turret</t>
        </is>
      </c>
      <c r="H20" t="inlineStr">
        <is>
          <t>cannon</t>
        </is>
      </c>
      <c r="I20" t="inlineStr">
        <is>
          <t>shell</t>
        </is>
      </c>
      <c r="J20" t="inlineStr">
        <is>
          <t>pdl</t>
        </is>
      </c>
      <c r="K20" t="inlineStr"/>
      <c r="L20" t="inlineStr"/>
      <c r="M20">
        <f>IF(C20="",0,VLOOKUP(C20,Bausteine!$A$2:$AI$33,4,FALSE))+IF(D20="",0,VLOOKUP(D20,Bausteine!$A$2:$AI$33,4,FALSE))+IF(E20="",0,VLOOKUP(E20,Bausteine!$A$2:$AI$33,4,FALSE))+IF(F20="",0,VLOOKUP(F20,Bausteine!$A$2:$AI$33,4,FALSE))+IF(G20="",0,VLOOKUP(G20,Bausteine!$A$2:$AI$33,4,FALSE))+IF(H20="",0,VLOOKUP(H20,Bausteine!$A$2:$AI$33,4,FALSE))+IF(I20="",0,VLOOKUP(I20,Bausteine!$A$2:$AI$33,4,FALSE))+IF(J20="",0,VLOOKUP(J20,Bausteine!$A$2:$AI$33,4,FALSE))+IF(K20="",0,VLOOKUP(K20,Bausteine!$A$2:$AI$33,4,FALSE))+IF(L20="",0,VLOOKUP(L20,Bausteine!$A$2:$AI$33,4,FALSE))</f>
        <v/>
      </c>
      <c r="N20">
        <f>IF(C20="",0,VLOOKUP(C20,Bausteine!$A$2:$AI$33,5,FALSE))+IF(D20="",0,VLOOKUP(D20,Bausteine!$A$2:$AI$33,5,FALSE))+IF(E20="",0,VLOOKUP(E20,Bausteine!$A$2:$AI$33,5,FALSE))+IF(F20="",0,VLOOKUP(F20,Bausteine!$A$2:$AI$33,5,FALSE))+IF(G20="",0,VLOOKUP(G20,Bausteine!$A$2:$AI$33,5,FALSE))+IF(H20="",0,VLOOKUP(H20,Bausteine!$A$2:$AI$33,5,FALSE))+IF(I20="",0,VLOOKUP(I20,Bausteine!$A$2:$AI$33,5,FALSE))+IF(J20="",0,VLOOKUP(J20,Bausteine!$A$2:$AI$33,5,FALSE))+IF(K20="",0,VLOOKUP(K20,Bausteine!$A$2:$AI$33,5,FALSE))+IF(L20="",0,VLOOKUP(L20,Bausteine!$A$2:$AI$33,5,FALSE))</f>
        <v/>
      </c>
      <c r="O20">
        <f>MAX(IF(C20="",0,VLOOKUP(C20,Bausteine!$A$2:$AI$33,6,FALSE)),IF(D20="",0,VLOOKUP(D20,Bausteine!$A$2:$AI$33,6,FALSE)),IF(E20="",0,VLOOKUP(E20,Bausteine!$A$2:$AI$33,6,FALSE)),IF(F20="",0,VLOOKUP(F20,Bausteine!$A$2:$AI$33,6,FALSE)),IF(G20="",0,VLOOKUP(G20,Bausteine!$A$2:$AI$33,6,FALSE)),IF(H20="",0,VLOOKUP(H20,Bausteine!$A$2:$AI$33,6,FALSE)),IF(I20="",0,VLOOKUP(I20,Bausteine!$A$2:$AI$33,6,FALSE)),IF(J20="",0,VLOOKUP(J20,Bausteine!$A$2:$AI$33,6,FALSE)),IF(K20="",0,VLOOKUP(K20,Bausteine!$A$2:$AI$33,6,FALSE)),IF(L20="",0,VLOOKUP(L20,Bausteine!$A$2:$AI$33,6,FALSE)))</f>
        <v/>
      </c>
      <c r="P20">
        <f>IF(C20="",0,VLOOKUP(C20,Bausteine!$A$2:$AI$33,7,FALSE))*IF(F20="",0,VLOOKUP(F20,Bausteine!$A$2:$AI$33,17,FALSE))/100+IF(D20="",0,VLOOKUP(D20,Bausteine!$A$2:$AI$33,7,FALSE))+IF(E20="",0,VLOOKUP(E20,Bausteine!$A$2:$AI$33,7,FALSE))+IF(G20="",0,VLOOKUP(G20,Bausteine!$A$2:$AI$33,7,FALSE))+IF(H20="",0,VLOOKUP(H20,Bausteine!$A$2:$AI$33,7,FALSE))+IF(I20="",0,VLOOKUP(I20,Bausteine!$A$2:$AI$33,7,FALSE))+IF(J20="",0,VLOOKUP(J20,Bausteine!$A$2:$AI$33,7,FALSE))+IF(K20="",0,VLOOKUP(K20,Bausteine!$A$2:$AI$33,7,FALSE))+IF(L20="",0,VLOOKUP(L20,Bausteine!$A$2:$AI$33,7,FALSE))</f>
        <v/>
      </c>
      <c r="Q20">
        <f>N20*Parameter!$B$2</f>
        <v/>
      </c>
      <c r="R20">
        <f>P20-Q20</f>
        <v/>
      </c>
      <c r="S20">
        <f>IF(C20="",0,VLOOKUP(C20,Bausteine!$A$2:$AI$33,13,FALSE))*IF(F20="",0,VLOOKUP(F20,Bausteine!$A$2:$AI$33,16,FALSE))/100</f>
        <v/>
      </c>
      <c r="T20">
        <f>IF(C20="",0,VLOOKUP(C20,Bausteine!$A$2:$AI$33,8,FALSE))*IF(F20="",0,VLOOKUP(F20,Bausteine!$A$2:$AI$33,15,FALSE))/100+IF(D20="",0,VLOOKUP(D20,Bausteine!$A$2:$AI$33,8,FALSE))+IF(E20="",0,VLOOKUP(E20,Bausteine!$A$2:$AI$33,8,FALSE))+IF(G20="",0,VLOOKUP(G20,Bausteine!$A$2:$AI$33,8,FALSE))+IF(H20="",0,VLOOKUP(H20,Bausteine!$A$2:$AI$33,8,FALSE))+IF(I20="",0,VLOOKUP(I20,Bausteine!$A$2:$AI$33,8,FALSE))+IF(J20="",0,VLOOKUP(J20,Bausteine!$A$2:$AI$33,8,FALSE))+IF(K20="",0,VLOOKUP(K20,Bausteine!$A$2:$AI$33,8,FALSE))+IF(L20="",0,VLOOKUP(L20,Bausteine!$A$2:$AI$33,8,FALSE))</f>
        <v/>
      </c>
      <c r="U20">
        <f>IF(C20="",0,VLOOKUP(C20,Bausteine!$A$2:$AI$33,9,FALSE))+IF(D20="",0,VLOOKUP(D20,Bausteine!$A$2:$AI$33,9,FALSE))+IF(E20="",0,VLOOKUP(E20,Bausteine!$A$2:$AI$33,9,FALSE))+IF(F20="",0,VLOOKUP(F20,Bausteine!$A$2:$AI$33,9,FALSE))+IF(G20="",0,VLOOKUP(G20,Bausteine!$A$2:$AI$33,9,FALSE))+IF(H20="",0,VLOOKUP(H20,Bausteine!$A$2:$AI$33,9,FALSE))+IF(I20="",0,VLOOKUP(I20,Bausteine!$A$2:$AI$33,9,FALSE))+IF(J20="",0,VLOOKUP(J20,Bausteine!$A$2:$AI$33,9,FALSE))+IF(K20="",0,VLOOKUP(K20,Bausteine!$A$2:$AI$33,9,FALSE))+IF(L20="",0,VLOOKUP(L20,Bausteine!$A$2:$AI$33,9,FALSE))</f>
        <v/>
      </c>
      <c r="V20">
        <f>IF(D20="",0,VLOOKUP(D20,Bausteine!$A$2:$AI$33,10,FALSE))-U20/IF(E20="",0,VLOOKUP(E20,Bausteine!$A$2:$AI$33,11,FALSE))</f>
        <v/>
      </c>
      <c r="W20">
        <f>IF(Y20&lt;&gt;"OK","",ROUND(MIN(IF(C20="",0,VLOOKUP(C20,Bausteine!$A$2:$AI$33,21,FALSE)),IF(C20="",0,VLOOKUP(C20,Bausteine!$A$2:$AI$33,20,FALSE))*(V20/T20/(IF(C20="",0,VLOOKUP(C20,Bausteine!$A$2:$AI$33,19,FALSE))/IF(C20="",0,VLOOKUP(C20,Bausteine!$A$2:$AI$33,18,FALSE))))^Parameter!$B$3),0))</f>
        <v/>
      </c>
      <c r="X20">
        <f>IF(F20="",0,VLOOKUP(F20,Bausteine!$A$2:$AI$33,14,FALSE))</f>
        <v/>
      </c>
      <c r="Y20">
        <f>IFERROR(IF(OR(R20&lt;=0,T20&lt;=0,V20&lt;=0,U20&gt;IF(E20="",0,VLOOKUP(E20,Bausteine!$A$2:$AI$33,12,FALSE)),T20&gt;IF(C20="",0,VLOOKUP(C20,Bausteine!$A$2:$AI$33,22,FALSE)),IF(E20="",0,VLOOKUP(E20,Bausteine!$A$2:$AI$33,11,FALSE))&lt;=0,IF(E20="",0,VLOOKUP(E20,Bausteine!$A$2:$AI$33,11,FALSE))&gt;1),"UNGUELTIG","OK"),"FEHLER")</f>
        <v/>
      </c>
      <c r="Z20" t="n">
        <v>1500</v>
      </c>
      <c r="AA20" t="n">
        <v>95</v>
      </c>
      <c r="AB20" t="inlineStr"/>
    </row>
    <row r="21">
      <c r="A21" t="inlineStr">
        <is>
          <t>Battlemaster reflector / efficient</t>
        </is>
      </c>
      <c r="B21" t="inlineStr">
        <is>
          <t>china</t>
        </is>
      </c>
      <c r="C21" t="inlineStr">
        <is>
          <t>battlemaster</t>
        </is>
      </c>
      <c r="D21" t="inlineStr">
        <is>
          <t>diesel</t>
        </is>
      </c>
      <c r="E21" t="inlineStr">
        <is>
          <t>efficient-generator</t>
        </is>
      </c>
      <c r="F21" t="inlineStr">
        <is>
          <t>reflector</t>
        </is>
      </c>
      <c r="G21" t="inlineStr">
        <is>
          <t>cannon-turret</t>
        </is>
      </c>
      <c r="H21" t="inlineStr">
        <is>
          <t>cannon</t>
        </is>
      </c>
      <c r="I21" t="inlineStr">
        <is>
          <t>shell</t>
        </is>
      </c>
      <c r="J21" t="inlineStr"/>
      <c r="K21" t="inlineStr"/>
      <c r="L21" t="inlineStr"/>
      <c r="M21">
        <f>IF(C21="",0,VLOOKUP(C21,Bausteine!$A$2:$AI$33,4,FALSE))+IF(D21="",0,VLOOKUP(D21,Bausteine!$A$2:$AI$33,4,FALSE))+IF(E21="",0,VLOOKUP(E21,Bausteine!$A$2:$AI$33,4,FALSE))+IF(F21="",0,VLOOKUP(F21,Bausteine!$A$2:$AI$33,4,FALSE))+IF(G21="",0,VLOOKUP(G21,Bausteine!$A$2:$AI$33,4,FALSE))+IF(H21="",0,VLOOKUP(H21,Bausteine!$A$2:$AI$33,4,FALSE))+IF(I21="",0,VLOOKUP(I21,Bausteine!$A$2:$AI$33,4,FALSE))+IF(J21="",0,VLOOKUP(J21,Bausteine!$A$2:$AI$33,4,FALSE))+IF(K21="",0,VLOOKUP(K21,Bausteine!$A$2:$AI$33,4,FALSE))+IF(L21="",0,VLOOKUP(L21,Bausteine!$A$2:$AI$33,4,FALSE))</f>
        <v/>
      </c>
      <c r="N21">
        <f>IF(C21="",0,VLOOKUP(C21,Bausteine!$A$2:$AI$33,5,FALSE))+IF(D21="",0,VLOOKUP(D21,Bausteine!$A$2:$AI$33,5,FALSE))+IF(E21="",0,VLOOKUP(E21,Bausteine!$A$2:$AI$33,5,FALSE))+IF(F21="",0,VLOOKUP(F21,Bausteine!$A$2:$AI$33,5,FALSE))+IF(G21="",0,VLOOKUP(G21,Bausteine!$A$2:$AI$33,5,FALSE))+IF(H21="",0,VLOOKUP(H21,Bausteine!$A$2:$AI$33,5,FALSE))+IF(I21="",0,VLOOKUP(I21,Bausteine!$A$2:$AI$33,5,FALSE))+IF(J21="",0,VLOOKUP(J21,Bausteine!$A$2:$AI$33,5,FALSE))+IF(K21="",0,VLOOKUP(K21,Bausteine!$A$2:$AI$33,5,FALSE))+IF(L21="",0,VLOOKUP(L21,Bausteine!$A$2:$AI$33,5,FALSE))</f>
        <v/>
      </c>
      <c r="O21">
        <f>MAX(IF(C21="",0,VLOOKUP(C21,Bausteine!$A$2:$AI$33,6,FALSE)),IF(D21="",0,VLOOKUP(D21,Bausteine!$A$2:$AI$33,6,FALSE)),IF(E21="",0,VLOOKUP(E21,Bausteine!$A$2:$AI$33,6,FALSE)),IF(F21="",0,VLOOKUP(F21,Bausteine!$A$2:$AI$33,6,FALSE)),IF(G21="",0,VLOOKUP(G21,Bausteine!$A$2:$AI$33,6,FALSE)),IF(H21="",0,VLOOKUP(H21,Bausteine!$A$2:$AI$33,6,FALSE)),IF(I21="",0,VLOOKUP(I21,Bausteine!$A$2:$AI$33,6,FALSE)),IF(J21="",0,VLOOKUP(J21,Bausteine!$A$2:$AI$33,6,FALSE)),IF(K21="",0,VLOOKUP(K21,Bausteine!$A$2:$AI$33,6,FALSE)),IF(L21="",0,VLOOKUP(L21,Bausteine!$A$2:$AI$33,6,FALSE)))</f>
        <v/>
      </c>
      <c r="P21">
        <f>IF(C21="",0,VLOOKUP(C21,Bausteine!$A$2:$AI$33,7,FALSE))*IF(F21="",0,VLOOKUP(F21,Bausteine!$A$2:$AI$33,17,FALSE))/100+IF(D21="",0,VLOOKUP(D21,Bausteine!$A$2:$AI$33,7,FALSE))+IF(E21="",0,VLOOKUP(E21,Bausteine!$A$2:$AI$33,7,FALSE))+IF(G21="",0,VLOOKUP(G21,Bausteine!$A$2:$AI$33,7,FALSE))+IF(H21="",0,VLOOKUP(H21,Bausteine!$A$2:$AI$33,7,FALSE))+IF(I21="",0,VLOOKUP(I21,Bausteine!$A$2:$AI$33,7,FALSE))+IF(J21="",0,VLOOKUP(J21,Bausteine!$A$2:$AI$33,7,FALSE))+IF(K21="",0,VLOOKUP(K21,Bausteine!$A$2:$AI$33,7,FALSE))+IF(L21="",0,VLOOKUP(L21,Bausteine!$A$2:$AI$33,7,FALSE))</f>
        <v/>
      </c>
      <c r="Q21">
        <f>N21*Parameter!$B$2</f>
        <v/>
      </c>
      <c r="R21">
        <f>P21-Q21</f>
        <v/>
      </c>
      <c r="S21">
        <f>IF(C21="",0,VLOOKUP(C21,Bausteine!$A$2:$AI$33,13,FALSE))*IF(F21="",0,VLOOKUP(F21,Bausteine!$A$2:$AI$33,16,FALSE))/100</f>
        <v/>
      </c>
      <c r="T21">
        <f>IF(C21="",0,VLOOKUP(C21,Bausteine!$A$2:$AI$33,8,FALSE))*IF(F21="",0,VLOOKUP(F21,Bausteine!$A$2:$AI$33,15,FALSE))/100+IF(D21="",0,VLOOKUP(D21,Bausteine!$A$2:$AI$33,8,FALSE))+IF(E21="",0,VLOOKUP(E21,Bausteine!$A$2:$AI$33,8,FALSE))+IF(G21="",0,VLOOKUP(G21,Bausteine!$A$2:$AI$33,8,FALSE))+IF(H21="",0,VLOOKUP(H21,Bausteine!$A$2:$AI$33,8,FALSE))+IF(I21="",0,VLOOKUP(I21,Bausteine!$A$2:$AI$33,8,FALSE))+IF(J21="",0,VLOOKUP(J21,Bausteine!$A$2:$AI$33,8,FALSE))+IF(K21="",0,VLOOKUP(K21,Bausteine!$A$2:$AI$33,8,FALSE))+IF(L21="",0,VLOOKUP(L21,Bausteine!$A$2:$AI$33,8,FALSE))</f>
        <v/>
      </c>
      <c r="U21">
        <f>IF(C21="",0,VLOOKUP(C21,Bausteine!$A$2:$AI$33,9,FALSE))+IF(D21="",0,VLOOKUP(D21,Bausteine!$A$2:$AI$33,9,FALSE))+IF(E21="",0,VLOOKUP(E21,Bausteine!$A$2:$AI$33,9,FALSE))+IF(F21="",0,VLOOKUP(F21,Bausteine!$A$2:$AI$33,9,FALSE))+IF(G21="",0,VLOOKUP(G21,Bausteine!$A$2:$AI$33,9,FALSE))+IF(H21="",0,VLOOKUP(H21,Bausteine!$A$2:$AI$33,9,FALSE))+IF(I21="",0,VLOOKUP(I21,Bausteine!$A$2:$AI$33,9,FALSE))+IF(J21="",0,VLOOKUP(J21,Bausteine!$A$2:$AI$33,9,FALSE))+IF(K21="",0,VLOOKUP(K21,Bausteine!$A$2:$AI$33,9,FALSE))+IF(L21="",0,VLOOKUP(L21,Bausteine!$A$2:$AI$33,9,FALSE))</f>
        <v/>
      </c>
      <c r="V21">
        <f>IF(D21="",0,VLOOKUP(D21,Bausteine!$A$2:$AI$33,10,FALSE))-U21/IF(E21="",0,VLOOKUP(E21,Bausteine!$A$2:$AI$33,11,FALSE))</f>
        <v/>
      </c>
      <c r="W21">
        <f>IF(Y21&lt;&gt;"OK","",ROUND(MIN(IF(C21="",0,VLOOKUP(C21,Bausteine!$A$2:$AI$33,21,FALSE)),IF(C21="",0,VLOOKUP(C21,Bausteine!$A$2:$AI$33,20,FALSE))*(V21/T21/(IF(C21="",0,VLOOKUP(C21,Bausteine!$A$2:$AI$33,19,FALSE))/IF(C21="",0,VLOOKUP(C21,Bausteine!$A$2:$AI$33,18,FALSE))))^Parameter!$B$3),0))</f>
        <v/>
      </c>
      <c r="X21">
        <f>IF(F21="",0,VLOOKUP(F21,Bausteine!$A$2:$AI$33,14,FALSE))</f>
        <v/>
      </c>
      <c r="Y21">
        <f>IFERROR(IF(OR(R21&lt;=0,T21&lt;=0,V21&lt;=0,U21&gt;IF(E21="",0,VLOOKUP(E21,Bausteine!$A$2:$AI$33,12,FALSE)),T21&gt;IF(C21="",0,VLOOKUP(C21,Bausteine!$A$2:$AI$33,22,FALSE)),IF(E21="",0,VLOOKUP(E21,Bausteine!$A$2:$AI$33,11,FALSE))&lt;=0,IF(E21="",0,VLOOKUP(E21,Bausteine!$A$2:$AI$33,11,FALSE))&gt;1),"UNGUELTIG","OK"),"FEHLER")</f>
        <v/>
      </c>
      <c r="Z21" t="n">
        <v>850</v>
      </c>
      <c r="AA21" t="n">
        <v>94</v>
      </c>
      <c r="AB21" t="inlineStr"/>
    </row>
    <row r="22">
      <c r="A22" t="inlineStr">
        <is>
          <t>Battlemaster PDL + reflector / baseline</t>
        </is>
      </c>
      <c r="B22" t="inlineStr">
        <is>
          <t>china</t>
        </is>
      </c>
      <c r="C22" t="inlineStr">
        <is>
          <t>battlemaster</t>
        </is>
      </c>
      <c r="D22" t="inlineStr">
        <is>
          <t>diesel</t>
        </is>
      </c>
      <c r="E22" t="inlineStr">
        <is>
          <t>baseline-generator</t>
        </is>
      </c>
      <c r="F22" t="inlineStr">
        <is>
          <t>reflector</t>
        </is>
      </c>
      <c r="G22" t="inlineStr">
        <is>
          <t>cannon-turret</t>
        </is>
      </c>
      <c r="H22" t="inlineStr">
        <is>
          <t>cannon</t>
        </is>
      </c>
      <c r="I22" t="inlineStr">
        <is>
          <t>shell</t>
        </is>
      </c>
      <c r="J22" t="inlineStr">
        <is>
          <t>pdl</t>
        </is>
      </c>
      <c r="K22" t="inlineStr"/>
      <c r="L22" t="inlineStr"/>
      <c r="M22">
        <f>IF(C22="",0,VLOOKUP(C22,Bausteine!$A$2:$AI$33,4,FALSE))+IF(D22="",0,VLOOKUP(D22,Bausteine!$A$2:$AI$33,4,FALSE))+IF(E22="",0,VLOOKUP(E22,Bausteine!$A$2:$AI$33,4,FALSE))+IF(F22="",0,VLOOKUP(F22,Bausteine!$A$2:$AI$33,4,FALSE))+IF(G22="",0,VLOOKUP(G22,Bausteine!$A$2:$AI$33,4,FALSE))+IF(H22="",0,VLOOKUP(H22,Bausteine!$A$2:$AI$33,4,FALSE))+IF(I22="",0,VLOOKUP(I22,Bausteine!$A$2:$AI$33,4,FALSE))+IF(J22="",0,VLOOKUP(J22,Bausteine!$A$2:$AI$33,4,FALSE))+IF(K22="",0,VLOOKUP(K22,Bausteine!$A$2:$AI$33,4,FALSE))+IF(L22="",0,VLOOKUP(L22,Bausteine!$A$2:$AI$33,4,FALSE))</f>
        <v/>
      </c>
      <c r="N22">
        <f>IF(C22="",0,VLOOKUP(C22,Bausteine!$A$2:$AI$33,5,FALSE))+IF(D22="",0,VLOOKUP(D22,Bausteine!$A$2:$AI$33,5,FALSE))+IF(E22="",0,VLOOKUP(E22,Bausteine!$A$2:$AI$33,5,FALSE))+IF(F22="",0,VLOOKUP(F22,Bausteine!$A$2:$AI$33,5,FALSE))+IF(G22="",0,VLOOKUP(G22,Bausteine!$A$2:$AI$33,5,FALSE))+IF(H22="",0,VLOOKUP(H22,Bausteine!$A$2:$AI$33,5,FALSE))+IF(I22="",0,VLOOKUP(I22,Bausteine!$A$2:$AI$33,5,FALSE))+IF(J22="",0,VLOOKUP(J22,Bausteine!$A$2:$AI$33,5,FALSE))+IF(K22="",0,VLOOKUP(K22,Bausteine!$A$2:$AI$33,5,FALSE))+IF(L22="",0,VLOOKUP(L22,Bausteine!$A$2:$AI$33,5,FALSE))</f>
        <v/>
      </c>
      <c r="O22">
        <f>MAX(IF(C22="",0,VLOOKUP(C22,Bausteine!$A$2:$AI$33,6,FALSE)),IF(D22="",0,VLOOKUP(D22,Bausteine!$A$2:$AI$33,6,FALSE)),IF(E22="",0,VLOOKUP(E22,Bausteine!$A$2:$AI$33,6,FALSE)),IF(F22="",0,VLOOKUP(F22,Bausteine!$A$2:$AI$33,6,FALSE)),IF(G22="",0,VLOOKUP(G22,Bausteine!$A$2:$AI$33,6,FALSE)),IF(H22="",0,VLOOKUP(H22,Bausteine!$A$2:$AI$33,6,FALSE)),IF(I22="",0,VLOOKUP(I22,Bausteine!$A$2:$AI$33,6,FALSE)),IF(J22="",0,VLOOKUP(J22,Bausteine!$A$2:$AI$33,6,FALSE)),IF(K22="",0,VLOOKUP(K22,Bausteine!$A$2:$AI$33,6,FALSE)),IF(L22="",0,VLOOKUP(L22,Bausteine!$A$2:$AI$33,6,FALSE)))</f>
        <v/>
      </c>
      <c r="P22">
        <f>IF(C22="",0,VLOOKUP(C22,Bausteine!$A$2:$AI$33,7,FALSE))*IF(F22="",0,VLOOKUP(F22,Bausteine!$A$2:$AI$33,17,FALSE))/100+IF(D22="",0,VLOOKUP(D22,Bausteine!$A$2:$AI$33,7,FALSE))+IF(E22="",0,VLOOKUP(E22,Bausteine!$A$2:$AI$33,7,FALSE))+IF(G22="",0,VLOOKUP(G22,Bausteine!$A$2:$AI$33,7,FALSE))+IF(H22="",0,VLOOKUP(H22,Bausteine!$A$2:$AI$33,7,FALSE))+IF(I22="",0,VLOOKUP(I22,Bausteine!$A$2:$AI$33,7,FALSE))+IF(J22="",0,VLOOKUP(J22,Bausteine!$A$2:$AI$33,7,FALSE))+IF(K22="",0,VLOOKUP(K22,Bausteine!$A$2:$AI$33,7,FALSE))+IF(L22="",0,VLOOKUP(L22,Bausteine!$A$2:$AI$33,7,FALSE))</f>
        <v/>
      </c>
      <c r="Q22">
        <f>N22*Parameter!$B$2</f>
        <v/>
      </c>
      <c r="R22">
        <f>P22-Q22</f>
        <v/>
      </c>
      <c r="S22">
        <f>IF(C22="",0,VLOOKUP(C22,Bausteine!$A$2:$AI$33,13,FALSE))*IF(F22="",0,VLOOKUP(F22,Bausteine!$A$2:$AI$33,16,FALSE))/100</f>
        <v/>
      </c>
      <c r="T22">
        <f>IF(C22="",0,VLOOKUP(C22,Bausteine!$A$2:$AI$33,8,FALSE))*IF(F22="",0,VLOOKUP(F22,Bausteine!$A$2:$AI$33,15,FALSE))/100+IF(D22="",0,VLOOKUP(D22,Bausteine!$A$2:$AI$33,8,FALSE))+IF(E22="",0,VLOOKUP(E22,Bausteine!$A$2:$AI$33,8,FALSE))+IF(G22="",0,VLOOKUP(G22,Bausteine!$A$2:$AI$33,8,FALSE))+IF(H22="",0,VLOOKUP(H22,Bausteine!$A$2:$AI$33,8,FALSE))+IF(I22="",0,VLOOKUP(I22,Bausteine!$A$2:$AI$33,8,FALSE))+IF(J22="",0,VLOOKUP(J22,Bausteine!$A$2:$AI$33,8,FALSE))+IF(K22="",0,VLOOKUP(K22,Bausteine!$A$2:$AI$33,8,FALSE))+IF(L22="",0,VLOOKUP(L22,Bausteine!$A$2:$AI$33,8,FALSE))</f>
        <v/>
      </c>
      <c r="U22">
        <f>IF(C22="",0,VLOOKUP(C22,Bausteine!$A$2:$AI$33,9,FALSE))+IF(D22="",0,VLOOKUP(D22,Bausteine!$A$2:$AI$33,9,FALSE))+IF(E22="",0,VLOOKUP(E22,Bausteine!$A$2:$AI$33,9,FALSE))+IF(F22="",0,VLOOKUP(F22,Bausteine!$A$2:$AI$33,9,FALSE))+IF(G22="",0,VLOOKUP(G22,Bausteine!$A$2:$AI$33,9,FALSE))+IF(H22="",0,VLOOKUP(H22,Bausteine!$A$2:$AI$33,9,FALSE))+IF(I22="",0,VLOOKUP(I22,Bausteine!$A$2:$AI$33,9,FALSE))+IF(J22="",0,VLOOKUP(J22,Bausteine!$A$2:$AI$33,9,FALSE))+IF(K22="",0,VLOOKUP(K22,Bausteine!$A$2:$AI$33,9,FALSE))+IF(L22="",0,VLOOKUP(L22,Bausteine!$A$2:$AI$33,9,FALSE))</f>
        <v/>
      </c>
      <c r="V22">
        <f>IF(D22="",0,VLOOKUP(D22,Bausteine!$A$2:$AI$33,10,FALSE))-U22/IF(E22="",0,VLOOKUP(E22,Bausteine!$A$2:$AI$33,11,FALSE))</f>
        <v/>
      </c>
      <c r="W22">
        <f>IF(Y22&lt;&gt;"OK","",ROUND(MIN(IF(C22="",0,VLOOKUP(C22,Bausteine!$A$2:$AI$33,21,FALSE)),IF(C22="",0,VLOOKUP(C22,Bausteine!$A$2:$AI$33,20,FALSE))*(V22/T22/(IF(C22="",0,VLOOKUP(C22,Bausteine!$A$2:$AI$33,19,FALSE))/IF(C22="",0,VLOOKUP(C22,Bausteine!$A$2:$AI$33,18,FALSE))))^Parameter!$B$3),0))</f>
        <v/>
      </c>
      <c r="X22">
        <f>IF(F22="",0,VLOOKUP(F22,Bausteine!$A$2:$AI$33,14,FALSE))</f>
        <v/>
      </c>
      <c r="Y22">
        <f>IFERROR(IF(OR(R22&lt;=0,T22&lt;=0,V22&lt;=0,U22&gt;IF(E22="",0,VLOOKUP(E22,Bausteine!$A$2:$AI$33,12,FALSE)),T22&gt;IF(C22="",0,VLOOKUP(C22,Bausteine!$A$2:$AI$33,22,FALSE)),IF(E22="",0,VLOOKUP(E22,Bausteine!$A$2:$AI$33,11,FALSE))&lt;=0,IF(E22="",0,VLOOKUP(E22,Bausteine!$A$2:$AI$33,11,FALSE))&gt;1),"UNGUELTIG","OK"),"FEHLER")</f>
        <v/>
      </c>
      <c r="Z22" t="inlineStr">
        <is>
          <t>INVALID: Generator output exceeded</t>
        </is>
      </c>
      <c r="AB22" t="inlineStr"/>
    </row>
    <row r="23">
      <c r="A23" t="inlineStr">
        <is>
          <t>Battlemaster PDL + reflector / efficient</t>
        </is>
      </c>
      <c r="B23" t="inlineStr">
        <is>
          <t>china</t>
        </is>
      </c>
      <c r="C23" t="inlineStr">
        <is>
          <t>battlemaster</t>
        </is>
      </c>
      <c r="D23" t="inlineStr">
        <is>
          <t>diesel</t>
        </is>
      </c>
      <c r="E23" t="inlineStr">
        <is>
          <t>efficient-generator</t>
        </is>
      </c>
      <c r="F23" t="inlineStr">
        <is>
          <t>reflector</t>
        </is>
      </c>
      <c r="G23" t="inlineStr">
        <is>
          <t>cannon-turret</t>
        </is>
      </c>
      <c r="H23" t="inlineStr">
        <is>
          <t>cannon</t>
        </is>
      </c>
      <c r="I23" t="inlineStr">
        <is>
          <t>shell</t>
        </is>
      </c>
      <c r="J23" t="inlineStr">
        <is>
          <t>pdl</t>
        </is>
      </c>
      <c r="K23" t="inlineStr"/>
      <c r="L23" t="inlineStr"/>
      <c r="M23">
        <f>IF(C23="",0,VLOOKUP(C23,Bausteine!$A$2:$AI$33,4,FALSE))+IF(D23="",0,VLOOKUP(D23,Bausteine!$A$2:$AI$33,4,FALSE))+IF(E23="",0,VLOOKUP(E23,Bausteine!$A$2:$AI$33,4,FALSE))+IF(F23="",0,VLOOKUP(F23,Bausteine!$A$2:$AI$33,4,FALSE))+IF(G23="",0,VLOOKUP(G23,Bausteine!$A$2:$AI$33,4,FALSE))+IF(H23="",0,VLOOKUP(H23,Bausteine!$A$2:$AI$33,4,FALSE))+IF(I23="",0,VLOOKUP(I23,Bausteine!$A$2:$AI$33,4,FALSE))+IF(J23="",0,VLOOKUP(J23,Bausteine!$A$2:$AI$33,4,FALSE))+IF(K23="",0,VLOOKUP(K23,Bausteine!$A$2:$AI$33,4,FALSE))+IF(L23="",0,VLOOKUP(L23,Bausteine!$A$2:$AI$33,4,FALSE))</f>
        <v/>
      </c>
      <c r="N23">
        <f>IF(C23="",0,VLOOKUP(C23,Bausteine!$A$2:$AI$33,5,FALSE))+IF(D23="",0,VLOOKUP(D23,Bausteine!$A$2:$AI$33,5,FALSE))+IF(E23="",0,VLOOKUP(E23,Bausteine!$A$2:$AI$33,5,FALSE))+IF(F23="",0,VLOOKUP(F23,Bausteine!$A$2:$AI$33,5,FALSE))+IF(G23="",0,VLOOKUP(G23,Bausteine!$A$2:$AI$33,5,FALSE))+IF(H23="",0,VLOOKUP(H23,Bausteine!$A$2:$AI$33,5,FALSE))+IF(I23="",0,VLOOKUP(I23,Bausteine!$A$2:$AI$33,5,FALSE))+IF(J23="",0,VLOOKUP(J23,Bausteine!$A$2:$AI$33,5,FALSE))+IF(K23="",0,VLOOKUP(K23,Bausteine!$A$2:$AI$33,5,FALSE))+IF(L23="",0,VLOOKUP(L23,Bausteine!$A$2:$AI$33,5,FALSE))</f>
        <v/>
      </c>
      <c r="O23">
        <f>MAX(IF(C23="",0,VLOOKUP(C23,Bausteine!$A$2:$AI$33,6,FALSE)),IF(D23="",0,VLOOKUP(D23,Bausteine!$A$2:$AI$33,6,FALSE)),IF(E23="",0,VLOOKUP(E23,Bausteine!$A$2:$AI$33,6,FALSE)),IF(F23="",0,VLOOKUP(F23,Bausteine!$A$2:$AI$33,6,FALSE)),IF(G23="",0,VLOOKUP(G23,Bausteine!$A$2:$AI$33,6,FALSE)),IF(H23="",0,VLOOKUP(H23,Bausteine!$A$2:$AI$33,6,FALSE)),IF(I23="",0,VLOOKUP(I23,Bausteine!$A$2:$AI$33,6,FALSE)),IF(J23="",0,VLOOKUP(J23,Bausteine!$A$2:$AI$33,6,FALSE)),IF(K23="",0,VLOOKUP(K23,Bausteine!$A$2:$AI$33,6,FALSE)),IF(L23="",0,VLOOKUP(L23,Bausteine!$A$2:$AI$33,6,FALSE)))</f>
        <v/>
      </c>
      <c r="P23">
        <f>IF(C23="",0,VLOOKUP(C23,Bausteine!$A$2:$AI$33,7,FALSE))*IF(F23="",0,VLOOKUP(F23,Bausteine!$A$2:$AI$33,17,FALSE))/100+IF(D23="",0,VLOOKUP(D23,Bausteine!$A$2:$AI$33,7,FALSE))+IF(E23="",0,VLOOKUP(E23,Bausteine!$A$2:$AI$33,7,FALSE))+IF(G23="",0,VLOOKUP(G23,Bausteine!$A$2:$AI$33,7,FALSE))+IF(H23="",0,VLOOKUP(H23,Bausteine!$A$2:$AI$33,7,FALSE))+IF(I23="",0,VLOOKUP(I23,Bausteine!$A$2:$AI$33,7,FALSE))+IF(J23="",0,VLOOKUP(J23,Bausteine!$A$2:$AI$33,7,FALSE))+IF(K23="",0,VLOOKUP(K23,Bausteine!$A$2:$AI$33,7,FALSE))+IF(L23="",0,VLOOKUP(L23,Bausteine!$A$2:$AI$33,7,FALSE))</f>
        <v/>
      </c>
      <c r="Q23">
        <f>N23*Parameter!$B$2</f>
        <v/>
      </c>
      <c r="R23">
        <f>P23-Q23</f>
        <v/>
      </c>
      <c r="S23">
        <f>IF(C23="",0,VLOOKUP(C23,Bausteine!$A$2:$AI$33,13,FALSE))*IF(F23="",0,VLOOKUP(F23,Bausteine!$A$2:$AI$33,16,FALSE))/100</f>
        <v/>
      </c>
      <c r="T23">
        <f>IF(C23="",0,VLOOKUP(C23,Bausteine!$A$2:$AI$33,8,FALSE))*IF(F23="",0,VLOOKUP(F23,Bausteine!$A$2:$AI$33,15,FALSE))/100+IF(D23="",0,VLOOKUP(D23,Bausteine!$A$2:$AI$33,8,FALSE))+IF(E23="",0,VLOOKUP(E23,Bausteine!$A$2:$AI$33,8,FALSE))+IF(G23="",0,VLOOKUP(G23,Bausteine!$A$2:$AI$33,8,FALSE))+IF(H23="",0,VLOOKUP(H23,Bausteine!$A$2:$AI$33,8,FALSE))+IF(I23="",0,VLOOKUP(I23,Bausteine!$A$2:$AI$33,8,FALSE))+IF(J23="",0,VLOOKUP(J23,Bausteine!$A$2:$AI$33,8,FALSE))+IF(K23="",0,VLOOKUP(K23,Bausteine!$A$2:$AI$33,8,FALSE))+IF(L23="",0,VLOOKUP(L23,Bausteine!$A$2:$AI$33,8,FALSE))</f>
        <v/>
      </c>
      <c r="U23">
        <f>IF(C23="",0,VLOOKUP(C23,Bausteine!$A$2:$AI$33,9,FALSE))+IF(D23="",0,VLOOKUP(D23,Bausteine!$A$2:$AI$33,9,FALSE))+IF(E23="",0,VLOOKUP(E23,Bausteine!$A$2:$AI$33,9,FALSE))+IF(F23="",0,VLOOKUP(F23,Bausteine!$A$2:$AI$33,9,FALSE))+IF(G23="",0,VLOOKUP(G23,Bausteine!$A$2:$AI$33,9,FALSE))+IF(H23="",0,VLOOKUP(H23,Bausteine!$A$2:$AI$33,9,FALSE))+IF(I23="",0,VLOOKUP(I23,Bausteine!$A$2:$AI$33,9,FALSE))+IF(J23="",0,VLOOKUP(J23,Bausteine!$A$2:$AI$33,9,FALSE))+IF(K23="",0,VLOOKUP(K23,Bausteine!$A$2:$AI$33,9,FALSE))+IF(L23="",0,VLOOKUP(L23,Bausteine!$A$2:$AI$33,9,FALSE))</f>
        <v/>
      </c>
      <c r="V23">
        <f>IF(D23="",0,VLOOKUP(D23,Bausteine!$A$2:$AI$33,10,FALSE))-U23/IF(E23="",0,VLOOKUP(E23,Bausteine!$A$2:$AI$33,11,FALSE))</f>
        <v/>
      </c>
      <c r="W23">
        <f>IF(Y23&lt;&gt;"OK","",ROUND(MIN(IF(C23="",0,VLOOKUP(C23,Bausteine!$A$2:$AI$33,21,FALSE)),IF(C23="",0,VLOOKUP(C23,Bausteine!$A$2:$AI$33,20,FALSE))*(V23/T23/(IF(C23="",0,VLOOKUP(C23,Bausteine!$A$2:$AI$33,19,FALSE))/IF(C23="",0,VLOOKUP(C23,Bausteine!$A$2:$AI$33,18,FALSE))))^Parameter!$B$3),0))</f>
        <v/>
      </c>
      <c r="X23">
        <f>IF(F23="",0,VLOOKUP(F23,Bausteine!$A$2:$AI$33,14,FALSE))</f>
        <v/>
      </c>
      <c r="Y23">
        <f>IFERROR(IF(OR(R23&lt;=0,T23&lt;=0,V23&lt;=0,U23&gt;IF(E23="",0,VLOOKUP(E23,Bausteine!$A$2:$AI$33,12,FALSE)),T23&gt;IF(C23="",0,VLOOKUP(C23,Bausteine!$A$2:$AI$33,22,FALSE)),IF(E23="",0,VLOOKUP(E23,Bausteine!$A$2:$AI$33,11,FALSE))&lt;=0,IF(E23="",0,VLOOKUP(E23,Bausteine!$A$2:$AI$33,11,FALSE))&gt;1),"UNGUELTIG","OK"),"FEHLER")</f>
        <v/>
      </c>
      <c r="Z23" t="n">
        <v>1200</v>
      </c>
      <c r="AA23" t="n">
        <v>86</v>
      </c>
      <c r="AB23" t="inlineStr"/>
    </row>
    <row r="24">
      <c r="A24" t="inlineStr">
        <is>
          <t>Juggernaut baseline</t>
        </is>
      </c>
      <c r="B24" t="inlineStr">
        <is>
          <t>gdi</t>
        </is>
      </c>
      <c r="C24" t="inlineStr">
        <is>
          <t>juggernaut</t>
        </is>
      </c>
      <c r="D24" t="inlineStr">
        <is>
          <t>diesel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fixed-triple</t>
        </is>
      </c>
      <c r="H24" t="inlineStr">
        <is>
          <t>artillery</t>
        </is>
      </c>
      <c r="I24" t="inlineStr">
        <is>
          <t>artillery-shell</t>
        </is>
      </c>
      <c r="J24" t="inlineStr"/>
      <c r="K24" t="inlineStr"/>
      <c r="L24" t="inlineStr"/>
      <c r="M24">
        <f>IF(C24="",0,VLOOKUP(C24,Bausteine!$A$2:$AI$33,4,FALSE))+IF(D24="",0,VLOOKUP(D24,Bausteine!$A$2:$AI$33,4,FALSE))+IF(E24="",0,VLOOKUP(E24,Bausteine!$A$2:$AI$33,4,FALSE))+IF(F24="",0,VLOOKUP(F24,Bausteine!$A$2:$AI$33,4,FALSE))+IF(G24="",0,VLOOKUP(G24,Bausteine!$A$2:$AI$33,4,FALSE))+IF(H24="",0,VLOOKUP(H24,Bausteine!$A$2:$AI$33,4,FALSE))+IF(I24="",0,VLOOKUP(I24,Bausteine!$A$2:$AI$33,4,FALSE))+IF(J24="",0,VLOOKUP(J24,Bausteine!$A$2:$AI$33,4,FALSE))+IF(K24="",0,VLOOKUP(K24,Bausteine!$A$2:$AI$33,4,FALSE))+IF(L24="",0,VLOOKUP(L24,Bausteine!$A$2:$AI$33,4,FALSE))</f>
        <v/>
      </c>
      <c r="N24">
        <f>IF(C24="",0,VLOOKUP(C24,Bausteine!$A$2:$AI$33,5,FALSE))+IF(D24="",0,VLOOKUP(D24,Bausteine!$A$2:$AI$33,5,FALSE))+IF(E24="",0,VLOOKUP(E24,Bausteine!$A$2:$AI$33,5,FALSE))+IF(F24="",0,VLOOKUP(F24,Bausteine!$A$2:$AI$33,5,FALSE))+IF(G24="",0,VLOOKUP(G24,Bausteine!$A$2:$AI$33,5,FALSE))+IF(H24="",0,VLOOKUP(H24,Bausteine!$A$2:$AI$33,5,FALSE))+IF(I24="",0,VLOOKUP(I24,Bausteine!$A$2:$AI$33,5,FALSE))+IF(J24="",0,VLOOKUP(J24,Bausteine!$A$2:$AI$33,5,FALSE))+IF(K24="",0,VLOOKUP(K24,Bausteine!$A$2:$AI$33,5,FALSE))+IF(L24="",0,VLOOKUP(L24,Bausteine!$A$2:$AI$33,5,FALSE))</f>
        <v/>
      </c>
      <c r="O24">
        <f>MAX(IF(C24="",0,VLOOKUP(C24,Bausteine!$A$2:$AI$33,6,FALSE)),IF(D24="",0,VLOOKUP(D24,Bausteine!$A$2:$AI$33,6,FALSE)),IF(E24="",0,VLOOKUP(E24,Bausteine!$A$2:$AI$33,6,FALSE)),IF(F24="",0,VLOOKUP(F24,Bausteine!$A$2:$AI$33,6,FALSE)),IF(G24="",0,VLOOKUP(G24,Bausteine!$A$2:$AI$33,6,FALSE)),IF(H24="",0,VLOOKUP(H24,Bausteine!$A$2:$AI$33,6,FALSE)),IF(I24="",0,VLOOKUP(I24,Bausteine!$A$2:$AI$33,6,FALSE)),IF(J24="",0,VLOOKUP(J24,Bausteine!$A$2:$AI$33,6,FALSE)),IF(K24="",0,VLOOKUP(K24,Bausteine!$A$2:$AI$33,6,FALSE)),IF(L24="",0,VLOOKUP(L24,Bausteine!$A$2:$AI$33,6,FALSE)))</f>
        <v/>
      </c>
      <c r="P24">
        <f>IF(C24="",0,VLOOKUP(C24,Bausteine!$A$2:$AI$33,7,FALSE))*IF(F24="",0,VLOOKUP(F24,Bausteine!$A$2:$AI$33,17,FALSE))/100+IF(D24="",0,VLOOKUP(D24,Bausteine!$A$2:$AI$33,7,FALSE))+IF(E24="",0,VLOOKUP(E24,Bausteine!$A$2:$AI$33,7,FALSE))+IF(G24="",0,VLOOKUP(G24,Bausteine!$A$2:$AI$33,7,FALSE))+IF(H24="",0,VLOOKUP(H24,Bausteine!$A$2:$AI$33,7,FALSE))+IF(I24="",0,VLOOKUP(I24,Bausteine!$A$2:$AI$33,7,FALSE))+IF(J24="",0,VLOOKUP(J24,Bausteine!$A$2:$AI$33,7,FALSE))+IF(K24="",0,VLOOKUP(K24,Bausteine!$A$2:$AI$33,7,FALSE))+IF(L24="",0,VLOOKUP(L24,Bausteine!$A$2:$AI$33,7,FALSE))</f>
        <v/>
      </c>
      <c r="Q24">
        <f>N24*Parameter!$B$2</f>
        <v/>
      </c>
      <c r="R24">
        <f>P24-Q24</f>
        <v/>
      </c>
      <c r="S24">
        <f>IF(C24="",0,VLOOKUP(C24,Bausteine!$A$2:$AI$33,13,FALSE))*IF(F24="",0,VLOOKUP(F24,Bausteine!$A$2:$AI$33,16,FALSE))/100</f>
        <v/>
      </c>
      <c r="T24">
        <f>IF(C24="",0,VLOOKUP(C24,Bausteine!$A$2:$AI$33,8,FALSE))*IF(F24="",0,VLOOKUP(F24,Bausteine!$A$2:$AI$33,15,FALSE))/100+IF(D24="",0,VLOOKUP(D24,Bausteine!$A$2:$AI$33,8,FALSE))+IF(E24="",0,VLOOKUP(E24,Bausteine!$A$2:$AI$33,8,FALSE))+IF(G24="",0,VLOOKUP(G24,Bausteine!$A$2:$AI$33,8,FALSE))+IF(H24="",0,VLOOKUP(H24,Bausteine!$A$2:$AI$33,8,FALSE))+IF(I24="",0,VLOOKUP(I24,Bausteine!$A$2:$AI$33,8,FALSE))+IF(J24="",0,VLOOKUP(J24,Bausteine!$A$2:$AI$33,8,FALSE))+IF(K24="",0,VLOOKUP(K24,Bausteine!$A$2:$AI$33,8,FALSE))+IF(L24="",0,VLOOKUP(L24,Bausteine!$A$2:$AI$33,8,FALSE))</f>
        <v/>
      </c>
      <c r="U24">
        <f>IF(C24="",0,VLOOKUP(C24,Bausteine!$A$2:$AI$33,9,FALSE))+IF(D24="",0,VLOOKUP(D24,Bausteine!$A$2:$AI$33,9,FALSE))+IF(E24="",0,VLOOKUP(E24,Bausteine!$A$2:$AI$33,9,FALSE))+IF(F24="",0,VLOOKUP(F24,Bausteine!$A$2:$AI$33,9,FALSE))+IF(G24="",0,VLOOKUP(G24,Bausteine!$A$2:$AI$33,9,FALSE))+IF(H24="",0,VLOOKUP(H24,Bausteine!$A$2:$AI$33,9,FALSE))+IF(I24="",0,VLOOKUP(I24,Bausteine!$A$2:$AI$33,9,FALSE))+IF(J24="",0,VLOOKUP(J24,Bausteine!$A$2:$AI$33,9,FALSE))+IF(K24="",0,VLOOKUP(K24,Bausteine!$A$2:$AI$33,9,FALSE))+IF(L24="",0,VLOOKUP(L24,Bausteine!$A$2:$AI$33,9,FALSE))</f>
        <v/>
      </c>
      <c r="V24">
        <f>IF(D24="",0,VLOOKUP(D24,Bausteine!$A$2:$AI$33,10,FALSE))-U24/IF(E24="",0,VLOOKUP(E24,Bausteine!$A$2:$AI$33,11,FALSE))</f>
        <v/>
      </c>
      <c r="W24">
        <f>IF(Y24&lt;&gt;"OK","",ROUND(MIN(IF(C24="",0,VLOOKUP(C24,Bausteine!$A$2:$AI$33,21,FALSE)),IF(C24="",0,VLOOKUP(C24,Bausteine!$A$2:$AI$33,20,FALSE))*(V24/T24/(IF(C24="",0,VLOOKUP(C24,Bausteine!$A$2:$AI$33,19,FALSE))/IF(C24="",0,VLOOKUP(C24,Bausteine!$A$2:$AI$33,18,FALSE))))^Parameter!$B$3),0))</f>
        <v/>
      </c>
      <c r="X24">
        <f>IF(F24="",0,VLOOKUP(F24,Bausteine!$A$2:$AI$33,14,FALSE))</f>
        <v/>
      </c>
      <c r="Y24">
        <f>IFERROR(IF(OR(R24&lt;=0,T24&lt;=0,V24&lt;=0,U24&gt;IF(E24="",0,VLOOKUP(E24,Bausteine!$A$2:$AI$33,12,FALSE)),T24&gt;IF(C24="",0,VLOOKUP(C24,Bausteine!$A$2:$AI$33,22,FALSE)),IF(E24="",0,VLOOKUP(E24,Bausteine!$A$2:$AI$33,11,FALSE))&lt;=0,IF(E24="",0,VLOOKUP(E24,Bausteine!$A$2:$AI$33,11,FALSE))&gt;1),"UNGUELTIG","OK"),"FEHLER")</f>
        <v/>
      </c>
      <c r="Z24" t="n">
        <v>2000</v>
      </c>
      <c r="AA24" t="n">
        <v>50</v>
      </c>
      <c r="AB24" t="inlineStr"/>
    </row>
    <row r="25">
      <c r="A25" t="inlineStr">
        <is>
          <t>Juggernaut EMP / baseline</t>
        </is>
      </c>
      <c r="B25" t="inlineStr">
        <is>
          <t>gdi</t>
        </is>
      </c>
      <c r="C25" t="inlineStr">
        <is>
          <t>juggernaut</t>
        </is>
      </c>
      <c r="D25" t="inlineStr">
        <is>
          <t>diesel</t>
        </is>
      </c>
      <c r="E25" t="inlineStr">
        <is>
          <t>baseline-generator</t>
        </is>
      </c>
      <c r="F25" t="inlineStr">
        <is>
          <t>heavy</t>
        </is>
      </c>
      <c r="G25" t="inlineStr">
        <is>
          <t>fixed-triple</t>
        </is>
      </c>
      <c r="H25" t="inlineStr">
        <is>
          <t>artillery</t>
        </is>
      </c>
      <c r="I25" t="inlineStr">
        <is>
          <t>emp-shell</t>
        </is>
      </c>
      <c r="J25" t="inlineStr"/>
      <c r="K25" t="inlineStr"/>
      <c r="L25" t="inlineStr"/>
      <c r="M25">
        <f>IF(C25="",0,VLOOKUP(C25,Bausteine!$A$2:$AI$33,4,FALSE))+IF(D25="",0,VLOOKUP(D25,Bausteine!$A$2:$AI$33,4,FALSE))+IF(E25="",0,VLOOKUP(E25,Bausteine!$A$2:$AI$33,4,FALSE))+IF(F25="",0,VLOOKUP(F25,Bausteine!$A$2:$AI$33,4,FALSE))+IF(G25="",0,VLOOKUP(G25,Bausteine!$A$2:$AI$33,4,FALSE))+IF(H25="",0,VLOOKUP(H25,Bausteine!$A$2:$AI$33,4,FALSE))+IF(I25="",0,VLOOKUP(I25,Bausteine!$A$2:$AI$33,4,FALSE))+IF(J25="",0,VLOOKUP(J25,Bausteine!$A$2:$AI$33,4,FALSE))+IF(K25="",0,VLOOKUP(K25,Bausteine!$A$2:$AI$33,4,FALSE))+IF(L25="",0,VLOOKUP(L25,Bausteine!$A$2:$AI$33,4,FALSE))</f>
        <v/>
      </c>
      <c r="N25">
        <f>IF(C25="",0,VLOOKUP(C25,Bausteine!$A$2:$AI$33,5,FALSE))+IF(D25="",0,VLOOKUP(D25,Bausteine!$A$2:$AI$33,5,FALSE))+IF(E25="",0,VLOOKUP(E25,Bausteine!$A$2:$AI$33,5,FALSE))+IF(F25="",0,VLOOKUP(F25,Bausteine!$A$2:$AI$33,5,FALSE))+IF(G25="",0,VLOOKUP(G25,Bausteine!$A$2:$AI$33,5,FALSE))+IF(H25="",0,VLOOKUP(H25,Bausteine!$A$2:$AI$33,5,FALSE))+IF(I25="",0,VLOOKUP(I25,Bausteine!$A$2:$AI$33,5,FALSE))+IF(J25="",0,VLOOKUP(J25,Bausteine!$A$2:$AI$33,5,FALSE))+IF(K25="",0,VLOOKUP(K25,Bausteine!$A$2:$AI$33,5,FALSE))+IF(L25="",0,VLOOKUP(L25,Bausteine!$A$2:$AI$33,5,FALSE))</f>
        <v/>
      </c>
      <c r="O25">
        <f>MAX(IF(C25="",0,VLOOKUP(C25,Bausteine!$A$2:$AI$33,6,FALSE)),IF(D25="",0,VLOOKUP(D25,Bausteine!$A$2:$AI$33,6,FALSE)),IF(E25="",0,VLOOKUP(E25,Bausteine!$A$2:$AI$33,6,FALSE)),IF(F25="",0,VLOOKUP(F25,Bausteine!$A$2:$AI$33,6,FALSE)),IF(G25="",0,VLOOKUP(G25,Bausteine!$A$2:$AI$33,6,FALSE)),IF(H25="",0,VLOOKUP(H25,Bausteine!$A$2:$AI$33,6,FALSE)),IF(I25="",0,VLOOKUP(I25,Bausteine!$A$2:$AI$33,6,FALSE)),IF(J25="",0,VLOOKUP(J25,Bausteine!$A$2:$AI$33,6,FALSE)),IF(K25="",0,VLOOKUP(K25,Bausteine!$A$2:$AI$33,6,FALSE)),IF(L25="",0,VLOOKUP(L25,Bausteine!$A$2:$AI$33,6,FALSE)))</f>
        <v/>
      </c>
      <c r="P25">
        <f>IF(C25="",0,VLOOKUP(C25,Bausteine!$A$2:$AI$33,7,FALSE))*IF(F25="",0,VLOOKUP(F25,Bausteine!$A$2:$AI$33,17,FALSE))/100+IF(D25="",0,VLOOKUP(D25,Bausteine!$A$2:$AI$33,7,FALSE))+IF(E25="",0,VLOOKUP(E25,Bausteine!$A$2:$AI$33,7,FALSE))+IF(G25="",0,VLOOKUP(G25,Bausteine!$A$2:$AI$33,7,FALSE))+IF(H25="",0,VLOOKUP(H25,Bausteine!$A$2:$AI$33,7,FALSE))+IF(I25="",0,VLOOKUP(I25,Bausteine!$A$2:$AI$33,7,FALSE))+IF(J25="",0,VLOOKUP(J25,Bausteine!$A$2:$AI$33,7,FALSE))+IF(K25="",0,VLOOKUP(K25,Bausteine!$A$2:$AI$33,7,FALSE))+IF(L25="",0,VLOOKUP(L25,Bausteine!$A$2:$AI$33,7,FALSE))</f>
        <v/>
      </c>
      <c r="Q25">
        <f>N25*Parameter!$B$2</f>
        <v/>
      </c>
      <c r="R25">
        <f>P25-Q25</f>
        <v/>
      </c>
      <c r="S25">
        <f>IF(C25="",0,VLOOKUP(C25,Bausteine!$A$2:$AI$33,13,FALSE))*IF(F25="",0,VLOOKUP(F25,Bausteine!$A$2:$AI$33,16,FALSE))/100</f>
        <v/>
      </c>
      <c r="T25">
        <f>IF(C25="",0,VLOOKUP(C25,Bausteine!$A$2:$AI$33,8,FALSE))*IF(F25="",0,VLOOKUP(F25,Bausteine!$A$2:$AI$33,15,FALSE))/100+IF(D25="",0,VLOOKUP(D25,Bausteine!$A$2:$AI$33,8,FALSE))+IF(E25="",0,VLOOKUP(E25,Bausteine!$A$2:$AI$33,8,FALSE))+IF(G25="",0,VLOOKUP(G25,Bausteine!$A$2:$AI$33,8,FALSE))+IF(H25="",0,VLOOKUP(H25,Bausteine!$A$2:$AI$33,8,FALSE))+IF(I25="",0,VLOOKUP(I25,Bausteine!$A$2:$AI$33,8,FALSE))+IF(J25="",0,VLOOKUP(J25,Bausteine!$A$2:$AI$33,8,FALSE))+IF(K25="",0,VLOOKUP(K25,Bausteine!$A$2:$AI$33,8,FALSE))+IF(L25="",0,VLOOKUP(L25,Bausteine!$A$2:$AI$33,8,FALSE))</f>
        <v/>
      </c>
      <c r="U25">
        <f>IF(C25="",0,VLOOKUP(C25,Bausteine!$A$2:$AI$33,9,FALSE))+IF(D25="",0,VLOOKUP(D25,Bausteine!$A$2:$AI$33,9,FALSE))+IF(E25="",0,VLOOKUP(E25,Bausteine!$A$2:$AI$33,9,FALSE))+IF(F25="",0,VLOOKUP(F25,Bausteine!$A$2:$AI$33,9,FALSE))+IF(G25="",0,VLOOKUP(G25,Bausteine!$A$2:$AI$33,9,FALSE))+IF(H25="",0,VLOOKUP(H25,Bausteine!$A$2:$AI$33,9,FALSE))+IF(I25="",0,VLOOKUP(I25,Bausteine!$A$2:$AI$33,9,FALSE))+IF(J25="",0,VLOOKUP(J25,Bausteine!$A$2:$AI$33,9,FALSE))+IF(K25="",0,VLOOKUP(K25,Bausteine!$A$2:$AI$33,9,FALSE))+IF(L25="",0,VLOOKUP(L25,Bausteine!$A$2:$AI$33,9,FALSE))</f>
        <v/>
      </c>
      <c r="V25">
        <f>IF(D25="",0,VLOOKUP(D25,Bausteine!$A$2:$AI$33,10,FALSE))-U25/IF(E25="",0,VLOOKUP(E25,Bausteine!$A$2:$AI$33,11,FALSE))</f>
        <v/>
      </c>
      <c r="W25">
        <f>IF(Y25&lt;&gt;"OK","",ROUND(MIN(IF(C25="",0,VLOOKUP(C25,Bausteine!$A$2:$AI$33,21,FALSE)),IF(C25="",0,VLOOKUP(C25,Bausteine!$A$2:$AI$33,20,FALSE))*(V25/T25/(IF(C25="",0,VLOOKUP(C25,Bausteine!$A$2:$AI$33,19,FALSE))/IF(C25="",0,VLOOKUP(C25,Bausteine!$A$2:$AI$33,18,FALSE))))^Parameter!$B$3),0))</f>
        <v/>
      </c>
      <c r="X25">
        <f>IF(F25="",0,VLOOKUP(F25,Bausteine!$A$2:$AI$33,14,FALSE))</f>
        <v/>
      </c>
      <c r="Y25">
        <f>IFERROR(IF(OR(R25&lt;=0,T25&lt;=0,V25&lt;=0,U25&gt;IF(E25="",0,VLOOKUP(E25,Bausteine!$A$2:$AI$33,12,FALSE)),T25&gt;IF(C25="",0,VLOOKUP(C25,Bausteine!$A$2:$AI$33,22,FALSE)),IF(E25="",0,VLOOKUP(E25,Bausteine!$A$2:$AI$33,11,FALSE))&lt;=0,IF(E25="",0,VLOOKUP(E25,Bausteine!$A$2:$AI$33,11,FALSE))&gt;1),"UNGUELTIG","OK"),"FEHLER")</f>
        <v/>
      </c>
      <c r="Z25" t="n">
        <v>1800</v>
      </c>
      <c r="AA25" t="n">
        <v>45</v>
      </c>
      <c r="AB25" t="inlineStr"/>
    </row>
    <row r="26">
      <c r="A26" t="inlineStr">
        <is>
          <t>Juggernaut EMP / efficient</t>
        </is>
      </c>
      <c r="B26" t="inlineStr">
        <is>
          <t>gdi</t>
        </is>
      </c>
      <c r="C26" t="inlineStr">
        <is>
          <t>juggernaut</t>
        </is>
      </c>
      <c r="D26" t="inlineStr">
        <is>
          <t>diesel</t>
        </is>
      </c>
      <c r="E26" t="inlineStr">
        <is>
          <t>efficient-generator</t>
        </is>
      </c>
      <c r="F26" t="inlineStr">
        <is>
          <t>heavy</t>
        </is>
      </c>
      <c r="G26" t="inlineStr">
        <is>
          <t>fixed-triple</t>
        </is>
      </c>
      <c r="H26" t="inlineStr">
        <is>
          <t>artillery</t>
        </is>
      </c>
      <c r="I26" t="inlineStr">
        <is>
          <t>emp-shell</t>
        </is>
      </c>
      <c r="J26" t="inlineStr"/>
      <c r="K26" t="inlineStr"/>
      <c r="L26" t="inlineStr"/>
      <c r="M26">
        <f>IF(C26="",0,VLOOKUP(C26,Bausteine!$A$2:$AI$33,4,FALSE))+IF(D26="",0,VLOOKUP(D26,Bausteine!$A$2:$AI$33,4,FALSE))+IF(E26="",0,VLOOKUP(E26,Bausteine!$A$2:$AI$33,4,FALSE))+IF(F26="",0,VLOOKUP(F26,Bausteine!$A$2:$AI$33,4,FALSE))+IF(G26="",0,VLOOKUP(G26,Bausteine!$A$2:$AI$33,4,FALSE))+IF(H26="",0,VLOOKUP(H26,Bausteine!$A$2:$AI$33,4,FALSE))+IF(I26="",0,VLOOKUP(I26,Bausteine!$A$2:$AI$33,4,FALSE))+IF(J26="",0,VLOOKUP(J26,Bausteine!$A$2:$AI$33,4,FALSE))+IF(K26="",0,VLOOKUP(K26,Bausteine!$A$2:$AI$33,4,FALSE))+IF(L26="",0,VLOOKUP(L26,Bausteine!$A$2:$AI$33,4,FALSE))</f>
        <v/>
      </c>
      <c r="N26">
        <f>IF(C26="",0,VLOOKUP(C26,Bausteine!$A$2:$AI$33,5,FALSE))+IF(D26="",0,VLOOKUP(D26,Bausteine!$A$2:$AI$33,5,FALSE))+IF(E26="",0,VLOOKUP(E26,Bausteine!$A$2:$AI$33,5,FALSE))+IF(F26="",0,VLOOKUP(F26,Bausteine!$A$2:$AI$33,5,FALSE))+IF(G26="",0,VLOOKUP(G26,Bausteine!$A$2:$AI$33,5,FALSE))+IF(H26="",0,VLOOKUP(H26,Bausteine!$A$2:$AI$33,5,FALSE))+IF(I26="",0,VLOOKUP(I26,Bausteine!$A$2:$AI$33,5,FALSE))+IF(J26="",0,VLOOKUP(J26,Bausteine!$A$2:$AI$33,5,FALSE))+IF(K26="",0,VLOOKUP(K26,Bausteine!$A$2:$AI$33,5,FALSE))+IF(L26="",0,VLOOKUP(L26,Bausteine!$A$2:$AI$33,5,FALSE))</f>
        <v/>
      </c>
      <c r="O26">
        <f>MAX(IF(C26="",0,VLOOKUP(C26,Bausteine!$A$2:$AI$33,6,FALSE)),IF(D26="",0,VLOOKUP(D26,Bausteine!$A$2:$AI$33,6,FALSE)),IF(E26="",0,VLOOKUP(E26,Bausteine!$A$2:$AI$33,6,FALSE)),IF(F26="",0,VLOOKUP(F26,Bausteine!$A$2:$AI$33,6,FALSE)),IF(G26="",0,VLOOKUP(G26,Bausteine!$A$2:$AI$33,6,FALSE)),IF(H26="",0,VLOOKUP(H26,Bausteine!$A$2:$AI$33,6,FALSE)),IF(I26="",0,VLOOKUP(I26,Bausteine!$A$2:$AI$33,6,FALSE)),IF(J26="",0,VLOOKUP(J26,Bausteine!$A$2:$AI$33,6,FALSE)),IF(K26="",0,VLOOKUP(K26,Bausteine!$A$2:$AI$33,6,FALSE)),IF(L26="",0,VLOOKUP(L26,Bausteine!$A$2:$AI$33,6,FALSE)))</f>
        <v/>
      </c>
      <c r="P26">
        <f>IF(C26="",0,VLOOKUP(C26,Bausteine!$A$2:$AI$33,7,FALSE))*IF(F26="",0,VLOOKUP(F26,Bausteine!$A$2:$AI$33,17,FALSE))/100+IF(D26="",0,VLOOKUP(D26,Bausteine!$A$2:$AI$33,7,FALSE))+IF(E26="",0,VLOOKUP(E26,Bausteine!$A$2:$AI$33,7,FALSE))+IF(G26="",0,VLOOKUP(G26,Bausteine!$A$2:$AI$33,7,FALSE))+IF(H26="",0,VLOOKUP(H26,Bausteine!$A$2:$AI$33,7,FALSE))+IF(I26="",0,VLOOKUP(I26,Bausteine!$A$2:$AI$33,7,FALSE))+IF(J26="",0,VLOOKUP(J26,Bausteine!$A$2:$AI$33,7,FALSE))+IF(K26="",0,VLOOKUP(K26,Bausteine!$A$2:$AI$33,7,FALSE))+IF(L26="",0,VLOOKUP(L26,Bausteine!$A$2:$AI$33,7,FALSE))</f>
        <v/>
      </c>
      <c r="Q26">
        <f>N26*Parameter!$B$2</f>
        <v/>
      </c>
      <c r="R26">
        <f>P26-Q26</f>
        <v/>
      </c>
      <c r="S26">
        <f>IF(C26="",0,VLOOKUP(C26,Bausteine!$A$2:$AI$33,13,FALSE))*IF(F26="",0,VLOOKUP(F26,Bausteine!$A$2:$AI$33,16,FALSE))/100</f>
        <v/>
      </c>
      <c r="T26">
        <f>IF(C26="",0,VLOOKUP(C26,Bausteine!$A$2:$AI$33,8,FALSE))*IF(F26="",0,VLOOKUP(F26,Bausteine!$A$2:$AI$33,15,FALSE))/100+IF(D26="",0,VLOOKUP(D26,Bausteine!$A$2:$AI$33,8,FALSE))+IF(E26="",0,VLOOKUP(E26,Bausteine!$A$2:$AI$33,8,FALSE))+IF(G26="",0,VLOOKUP(G26,Bausteine!$A$2:$AI$33,8,FALSE))+IF(H26="",0,VLOOKUP(H26,Bausteine!$A$2:$AI$33,8,FALSE))+IF(I26="",0,VLOOKUP(I26,Bausteine!$A$2:$AI$33,8,FALSE))+IF(J26="",0,VLOOKUP(J26,Bausteine!$A$2:$AI$33,8,FALSE))+IF(K26="",0,VLOOKUP(K26,Bausteine!$A$2:$AI$33,8,FALSE))+IF(L26="",0,VLOOKUP(L26,Bausteine!$A$2:$AI$33,8,FALSE))</f>
        <v/>
      </c>
      <c r="U26">
        <f>IF(C26="",0,VLOOKUP(C26,Bausteine!$A$2:$AI$33,9,FALSE))+IF(D26="",0,VLOOKUP(D26,Bausteine!$A$2:$AI$33,9,FALSE))+IF(E26="",0,VLOOKUP(E26,Bausteine!$A$2:$AI$33,9,FALSE))+IF(F26="",0,VLOOKUP(F26,Bausteine!$A$2:$AI$33,9,FALSE))+IF(G26="",0,VLOOKUP(G26,Bausteine!$A$2:$AI$33,9,FALSE))+IF(H26="",0,VLOOKUP(H26,Bausteine!$A$2:$AI$33,9,FALSE))+IF(I26="",0,VLOOKUP(I26,Bausteine!$A$2:$AI$33,9,FALSE))+IF(J26="",0,VLOOKUP(J26,Bausteine!$A$2:$AI$33,9,FALSE))+IF(K26="",0,VLOOKUP(K26,Bausteine!$A$2:$AI$33,9,FALSE))+IF(L26="",0,VLOOKUP(L26,Bausteine!$A$2:$AI$33,9,FALSE))</f>
        <v/>
      </c>
      <c r="V26">
        <f>IF(D26="",0,VLOOKUP(D26,Bausteine!$A$2:$AI$33,10,FALSE))-U26/IF(E26="",0,VLOOKUP(E26,Bausteine!$A$2:$AI$33,11,FALSE))</f>
        <v/>
      </c>
      <c r="W26">
        <f>IF(Y26&lt;&gt;"OK","",ROUND(MIN(IF(C26="",0,VLOOKUP(C26,Bausteine!$A$2:$AI$33,21,FALSE)),IF(C26="",0,VLOOKUP(C26,Bausteine!$A$2:$AI$33,20,FALSE))*(V26/T26/(IF(C26="",0,VLOOKUP(C26,Bausteine!$A$2:$AI$33,19,FALSE))/IF(C26="",0,VLOOKUP(C26,Bausteine!$A$2:$AI$33,18,FALSE))))^Parameter!$B$3),0))</f>
        <v/>
      </c>
      <c r="X26">
        <f>IF(F26="",0,VLOOKUP(F26,Bausteine!$A$2:$AI$33,14,FALSE))</f>
        <v/>
      </c>
      <c r="Y26">
        <f>IFERROR(IF(OR(R26&lt;=0,T26&lt;=0,V26&lt;=0,U26&gt;IF(E26="",0,VLOOKUP(E26,Bausteine!$A$2:$AI$33,12,FALSE)),T26&gt;IF(C26="",0,VLOOKUP(C26,Bausteine!$A$2:$AI$33,22,FALSE)),IF(E26="",0,VLOOKUP(E26,Bausteine!$A$2:$AI$33,11,FALSE))&lt;=0,IF(E26="",0,VLOOKUP(E26,Bausteine!$A$2:$AI$33,11,FALSE))&gt;1),"UNGUELTIG","OK"),"FEHLER")</f>
        <v/>
      </c>
      <c r="Z26" t="n">
        <v>2000</v>
      </c>
      <c r="AA26" t="n">
        <v>50</v>
      </c>
      <c r="AB26" t="inlineStr"/>
    </row>
    <row r="27">
      <c r="A27" t="inlineStr">
        <is>
          <t>Heavy Tesla Tank baseline</t>
        </is>
      </c>
      <c r="B27" t="inlineStr">
        <is>
          <t>soviet</t>
        </is>
      </c>
      <c r="C27" t="inlineStr">
        <is>
          <t>heavy-tesla</t>
        </is>
      </c>
      <c r="D27" t="inlineStr">
        <is>
          <t>diesel</t>
        </is>
      </c>
      <c r="E27" t="inlineStr">
        <is>
          <t>baseline-generator</t>
        </is>
      </c>
      <c r="F27" t="inlineStr">
        <is>
          <t>heavy</t>
        </is>
      </c>
      <c r="G27" t="inlineStr">
        <is>
          <t>twin-coil</t>
        </is>
      </c>
      <c r="H27" t="inlineStr">
        <is>
          <t>tesla</t>
        </is>
      </c>
      <c r="I27" t="inlineStr">
        <is>
          <t>discharge</t>
        </is>
      </c>
      <c r="J27" t="inlineStr"/>
      <c r="K27" t="inlineStr"/>
      <c r="L27" t="inlineStr"/>
      <c r="M27">
        <f>IF(C27="",0,VLOOKUP(C27,Bausteine!$A$2:$AI$33,4,FALSE))+IF(D27="",0,VLOOKUP(D27,Bausteine!$A$2:$AI$33,4,FALSE))+IF(E27="",0,VLOOKUP(E27,Bausteine!$A$2:$AI$33,4,FALSE))+IF(F27="",0,VLOOKUP(F27,Bausteine!$A$2:$AI$33,4,FALSE))+IF(G27="",0,VLOOKUP(G27,Bausteine!$A$2:$AI$33,4,FALSE))+IF(H27="",0,VLOOKUP(H27,Bausteine!$A$2:$AI$33,4,FALSE))+IF(I27="",0,VLOOKUP(I27,Bausteine!$A$2:$AI$33,4,FALSE))+IF(J27="",0,VLOOKUP(J27,Bausteine!$A$2:$AI$33,4,FALSE))+IF(K27="",0,VLOOKUP(K27,Bausteine!$A$2:$AI$33,4,FALSE))+IF(L27="",0,VLOOKUP(L27,Bausteine!$A$2:$AI$33,4,FALSE))</f>
        <v/>
      </c>
      <c r="N27">
        <f>IF(C27="",0,VLOOKUP(C27,Bausteine!$A$2:$AI$33,5,FALSE))+IF(D27="",0,VLOOKUP(D27,Bausteine!$A$2:$AI$33,5,FALSE))+IF(E27="",0,VLOOKUP(E27,Bausteine!$A$2:$AI$33,5,FALSE))+IF(F27="",0,VLOOKUP(F27,Bausteine!$A$2:$AI$33,5,FALSE))+IF(G27="",0,VLOOKUP(G27,Bausteine!$A$2:$AI$33,5,FALSE))+IF(H27="",0,VLOOKUP(H27,Bausteine!$A$2:$AI$33,5,FALSE))+IF(I27="",0,VLOOKUP(I27,Bausteine!$A$2:$AI$33,5,FALSE))+IF(J27="",0,VLOOKUP(J27,Bausteine!$A$2:$AI$33,5,FALSE))+IF(K27="",0,VLOOKUP(K27,Bausteine!$A$2:$AI$33,5,FALSE))+IF(L27="",0,VLOOKUP(L27,Bausteine!$A$2:$AI$33,5,FALSE))</f>
        <v/>
      </c>
      <c r="O27">
        <f>MAX(IF(C27="",0,VLOOKUP(C27,Bausteine!$A$2:$AI$33,6,FALSE)),IF(D27="",0,VLOOKUP(D27,Bausteine!$A$2:$AI$33,6,FALSE)),IF(E27="",0,VLOOKUP(E27,Bausteine!$A$2:$AI$33,6,FALSE)),IF(F27="",0,VLOOKUP(F27,Bausteine!$A$2:$AI$33,6,FALSE)),IF(G27="",0,VLOOKUP(G27,Bausteine!$A$2:$AI$33,6,FALSE)),IF(H27="",0,VLOOKUP(H27,Bausteine!$A$2:$AI$33,6,FALSE)),IF(I27="",0,VLOOKUP(I27,Bausteine!$A$2:$AI$33,6,FALSE)),IF(J27="",0,VLOOKUP(J27,Bausteine!$A$2:$AI$33,6,FALSE)),IF(K27="",0,VLOOKUP(K27,Bausteine!$A$2:$AI$33,6,FALSE)),IF(L27="",0,VLOOKUP(L27,Bausteine!$A$2:$AI$33,6,FALSE)))</f>
        <v/>
      </c>
      <c r="P27">
        <f>IF(C27="",0,VLOOKUP(C27,Bausteine!$A$2:$AI$33,7,FALSE))*IF(F27="",0,VLOOKUP(F27,Bausteine!$A$2:$AI$33,17,FALSE))/100+IF(D27="",0,VLOOKUP(D27,Bausteine!$A$2:$AI$33,7,FALSE))+IF(E27="",0,VLOOKUP(E27,Bausteine!$A$2:$AI$33,7,FALSE))+IF(G27="",0,VLOOKUP(G27,Bausteine!$A$2:$AI$33,7,FALSE))+IF(H27="",0,VLOOKUP(H27,Bausteine!$A$2:$AI$33,7,FALSE))+IF(I27="",0,VLOOKUP(I27,Bausteine!$A$2:$AI$33,7,FALSE))+IF(J27="",0,VLOOKUP(J27,Bausteine!$A$2:$AI$33,7,FALSE))+IF(K27="",0,VLOOKUP(K27,Bausteine!$A$2:$AI$33,7,FALSE))+IF(L27="",0,VLOOKUP(L27,Bausteine!$A$2:$AI$33,7,FALSE))</f>
        <v/>
      </c>
      <c r="Q27">
        <f>N27*Parameter!$B$2</f>
        <v/>
      </c>
      <c r="R27">
        <f>P27-Q27</f>
        <v/>
      </c>
      <c r="S27">
        <f>IF(C27="",0,VLOOKUP(C27,Bausteine!$A$2:$AI$33,13,FALSE))*IF(F27="",0,VLOOKUP(F27,Bausteine!$A$2:$AI$33,16,FALSE))/100</f>
        <v/>
      </c>
      <c r="T27">
        <f>IF(C27="",0,VLOOKUP(C27,Bausteine!$A$2:$AI$33,8,FALSE))*IF(F27="",0,VLOOKUP(F27,Bausteine!$A$2:$AI$33,15,FALSE))/100+IF(D27="",0,VLOOKUP(D27,Bausteine!$A$2:$AI$33,8,FALSE))+IF(E27="",0,VLOOKUP(E27,Bausteine!$A$2:$AI$33,8,FALSE))+IF(G27="",0,VLOOKUP(G27,Bausteine!$A$2:$AI$33,8,FALSE))+IF(H27="",0,VLOOKUP(H27,Bausteine!$A$2:$AI$33,8,FALSE))+IF(I27="",0,VLOOKUP(I27,Bausteine!$A$2:$AI$33,8,FALSE))+IF(J27="",0,VLOOKUP(J27,Bausteine!$A$2:$AI$33,8,FALSE))+IF(K27="",0,VLOOKUP(K27,Bausteine!$A$2:$AI$33,8,FALSE))+IF(L27="",0,VLOOKUP(L27,Bausteine!$A$2:$AI$33,8,FALSE))</f>
        <v/>
      </c>
      <c r="U27">
        <f>IF(C27="",0,VLOOKUP(C27,Bausteine!$A$2:$AI$33,9,FALSE))+IF(D27="",0,VLOOKUP(D27,Bausteine!$A$2:$AI$33,9,FALSE))+IF(E27="",0,VLOOKUP(E27,Bausteine!$A$2:$AI$33,9,FALSE))+IF(F27="",0,VLOOKUP(F27,Bausteine!$A$2:$AI$33,9,FALSE))+IF(G27="",0,VLOOKUP(G27,Bausteine!$A$2:$AI$33,9,FALSE))+IF(H27="",0,VLOOKUP(H27,Bausteine!$A$2:$AI$33,9,FALSE))+IF(I27="",0,VLOOKUP(I27,Bausteine!$A$2:$AI$33,9,FALSE))+IF(J27="",0,VLOOKUP(J27,Bausteine!$A$2:$AI$33,9,FALSE))+IF(K27="",0,VLOOKUP(K27,Bausteine!$A$2:$AI$33,9,FALSE))+IF(L27="",0,VLOOKUP(L27,Bausteine!$A$2:$AI$33,9,FALSE))</f>
        <v/>
      </c>
      <c r="V27">
        <f>IF(D27="",0,VLOOKUP(D27,Bausteine!$A$2:$AI$33,10,FALSE))-U27/IF(E27="",0,VLOOKUP(E27,Bausteine!$A$2:$AI$33,11,FALSE))</f>
        <v/>
      </c>
      <c r="W27">
        <f>IF(Y27&lt;&gt;"OK","",ROUND(MIN(IF(C27="",0,VLOOKUP(C27,Bausteine!$A$2:$AI$33,21,FALSE)),IF(C27="",0,VLOOKUP(C27,Bausteine!$A$2:$AI$33,20,FALSE))*(V27/T27/(IF(C27="",0,VLOOKUP(C27,Bausteine!$A$2:$AI$33,19,FALSE))/IF(C27="",0,VLOOKUP(C27,Bausteine!$A$2:$AI$33,18,FALSE))))^Parameter!$B$3),0))</f>
        <v/>
      </c>
      <c r="X27">
        <f>IF(F27="",0,VLOOKUP(F27,Bausteine!$A$2:$AI$33,14,FALSE))</f>
        <v/>
      </c>
      <c r="Y27">
        <f>IFERROR(IF(OR(R27&lt;=0,T27&lt;=0,V27&lt;=0,U27&gt;IF(E27="",0,VLOOKUP(E27,Bausteine!$A$2:$AI$33,12,FALSE)),T27&gt;IF(C27="",0,VLOOKUP(C27,Bausteine!$A$2:$AI$33,22,FALSE)),IF(E27="",0,VLOOKUP(E27,Bausteine!$A$2:$AI$33,11,FALSE))&lt;=0,IF(E27="",0,VLOOKUP(E27,Bausteine!$A$2:$AI$33,11,FALSE))&gt;1),"UNGUELTIG","OK"),"FEHLER")</f>
        <v/>
      </c>
      <c r="Z27" t="n">
        <v>1350</v>
      </c>
      <c r="AA27" t="n">
        <v>100</v>
      </c>
      <c r="AB27" t="inlineStr"/>
    </row>
  </sheetData>
  <dataValidations count="1">
    <dataValidation sqref="C2:L27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neu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Dragon Tank</t>
        </is>
      </c>
      <c r="B2" t="n">
        <v>600</v>
      </c>
      <c r="C2">
        <f>Entwuerfe!P2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28000</v>
      </c>
      <c r="I2">
        <f>Entwuerfe!S2</f>
        <v/>
      </c>
      <c r="J2" t="n">
        <v>103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Dragon Tank PDL</t>
        </is>
      </c>
      <c r="B3" t="n">
        <v>1200</v>
      </c>
      <c r="C3">
        <f>Entwuerfe!P3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28000</v>
      </c>
      <c r="I3">
        <f>Entwuerfe!S3</f>
        <v/>
      </c>
      <c r="J3" t="n">
        <v>103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Dragon Tank Reflector</t>
        </is>
      </c>
      <c r="B4" t="n">
        <v>600</v>
      </c>
      <c r="C4">
        <f>Entwuerfe!P4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28000</v>
      </c>
      <c r="I4">
        <f>Entwuerfe!S4</f>
        <v/>
      </c>
      <c r="J4" t="n">
        <v>103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Gatling Tank</t>
        </is>
      </c>
      <c r="B5" t="n">
        <v>800</v>
      </c>
      <c r="C5">
        <f>Entwuerfe!P5</f>
        <v/>
      </c>
      <c r="D5">
        <f>Entwuerfe!Q5</f>
        <v/>
      </c>
      <c r="E5">
        <f>Entwuerfe!R5</f>
        <v/>
      </c>
      <c r="F5">
        <f>E5-B5</f>
        <v/>
      </c>
      <c r="G5" s="2">
        <f>IF(B5=0,0,F5/B5)</f>
        <v/>
      </c>
      <c r="H5" t="n">
        <v>30000</v>
      </c>
      <c r="I5">
        <f>Entwuerfe!S5</f>
        <v/>
      </c>
      <c r="J5" t="n">
        <v>108</v>
      </c>
      <c r="K5">
        <f>Entwuerfe!W5</f>
        <v/>
      </c>
      <c r="L5">
        <f>Entwuerfe!N5</f>
        <v/>
      </c>
      <c r="M5">
        <f>Entwuerfe!M5</f>
        <v/>
      </c>
      <c r="N5">
        <f>Entwuerfe!Y5</f>
        <v/>
      </c>
    </row>
    <row r="6">
      <c r="A6" t="inlineStr">
        <is>
          <t>Gatling Tank PDL</t>
        </is>
      </c>
      <c r="B6" t="n">
        <v>1400</v>
      </c>
      <c r="C6">
        <f>Entwuerfe!P6</f>
        <v/>
      </c>
      <c r="D6">
        <f>Entwuerfe!Q6</f>
        <v/>
      </c>
      <c r="E6">
        <f>Entwuerfe!R6</f>
        <v/>
      </c>
      <c r="F6">
        <f>E6-B6</f>
        <v/>
      </c>
      <c r="G6" s="2">
        <f>IF(B6=0,0,F6/B6)</f>
        <v/>
      </c>
      <c r="H6" t="n">
        <v>30000</v>
      </c>
      <c r="I6">
        <f>Entwuerfe!S6</f>
        <v/>
      </c>
      <c r="J6" t="n">
        <v>108</v>
      </c>
      <c r="K6">
        <f>Entwuerfe!W6</f>
        <v/>
      </c>
      <c r="L6">
        <f>Entwuerfe!N6</f>
        <v/>
      </c>
      <c r="M6">
        <f>Entwuerfe!M6</f>
        <v/>
      </c>
      <c r="N6">
        <f>Entwuerfe!Y6</f>
        <v/>
      </c>
    </row>
    <row r="7">
      <c r="A7" t="inlineStr">
        <is>
          <t>Gatling Tank Reflector</t>
        </is>
      </c>
      <c r="B7" t="n">
        <v>800</v>
      </c>
      <c r="C7">
        <f>Entwuerfe!P7</f>
        <v/>
      </c>
      <c r="D7">
        <f>Entwuerfe!Q7</f>
        <v/>
      </c>
      <c r="E7">
        <f>Entwuerfe!R7</f>
        <v/>
      </c>
      <c r="F7">
        <f>E7-B7</f>
        <v/>
      </c>
      <c r="G7" s="2">
        <f>IF(B7=0,0,F7/B7)</f>
        <v/>
      </c>
      <c r="H7" t="n">
        <v>30000</v>
      </c>
      <c r="I7">
        <f>Entwuerfe!S7</f>
        <v/>
      </c>
      <c r="J7" t="n">
        <v>108</v>
      </c>
      <c r="K7">
        <f>Entwuerfe!W7</f>
        <v/>
      </c>
      <c r="L7">
        <f>Entwuerfe!N7</f>
        <v/>
      </c>
      <c r="M7">
        <f>Entwuerfe!M7</f>
        <v/>
      </c>
      <c r="N7">
        <f>Entwuerfe!Y7</f>
        <v/>
      </c>
    </row>
    <row r="8">
      <c r="A8" t="inlineStr">
        <is>
          <t>Battlemaster Nuclear Shells</t>
        </is>
      </c>
      <c r="B8" t="n">
        <v>950</v>
      </c>
      <c r="C8">
        <f>Entwuerfe!P8</f>
        <v/>
      </c>
      <c r="D8">
        <f>Entwuerfe!Q8</f>
        <v/>
      </c>
      <c r="E8">
        <f>Entwuerfe!R8</f>
        <v/>
      </c>
      <c r="F8">
        <f>E8-B8</f>
        <v/>
      </c>
      <c r="G8" s="2">
        <f>IF(B8=0,0,F8/B8)</f>
        <v/>
      </c>
      <c r="H8" t="n">
        <v>40000</v>
      </c>
      <c r="I8">
        <f>Entwuerfe!S8</f>
        <v/>
      </c>
      <c r="J8" t="n">
        <v>100</v>
      </c>
      <c r="K8">
        <f>Entwuerfe!W8</f>
        <v/>
      </c>
      <c r="L8">
        <f>Entwuerfe!N8</f>
        <v/>
      </c>
      <c r="M8">
        <f>Entwuerfe!M8</f>
        <v/>
      </c>
      <c r="N8">
        <f>Entwuerfe!Y8</f>
        <v/>
      </c>
    </row>
    <row r="9">
      <c r="A9" t="inlineStr">
        <is>
          <t>Battlemaster Nuclear Shells PDL</t>
        </is>
      </c>
      <c r="B9" t="n">
        <v>1600</v>
      </c>
      <c r="C9">
        <f>Entwuerfe!P9</f>
        <v/>
      </c>
      <c r="D9">
        <f>Entwuerfe!Q9</f>
        <v/>
      </c>
      <c r="E9">
        <f>Entwuerfe!R9</f>
        <v/>
      </c>
      <c r="F9">
        <f>E9-B9</f>
        <v/>
      </c>
      <c r="G9" s="2">
        <f>IF(B9=0,0,F9/B9)</f>
        <v/>
      </c>
      <c r="H9" t="n">
        <v>40000</v>
      </c>
      <c r="I9">
        <f>Entwuerfe!S9</f>
        <v/>
      </c>
      <c r="J9" t="n">
        <v>100</v>
      </c>
      <c r="K9">
        <f>Entwuerfe!W9</f>
        <v/>
      </c>
      <c r="L9">
        <f>Entwuerfe!N9</f>
        <v/>
      </c>
      <c r="M9">
        <f>Entwuerfe!M9</f>
        <v/>
      </c>
      <c r="N9">
        <f>Entwuerfe!Y9</f>
        <v/>
      </c>
    </row>
    <row r="10">
      <c r="A10" t="inlineStr">
        <is>
          <t>Battlemaster Nuclear Shells Reflector</t>
        </is>
      </c>
      <c r="B10" t="n">
        <v>950</v>
      </c>
      <c r="C10">
        <f>Entwuerfe!P10</f>
        <v/>
      </c>
      <c r="D10">
        <f>Entwuerfe!Q10</f>
        <v/>
      </c>
      <c r="E10">
        <f>Entwuerfe!R10</f>
        <v/>
      </c>
      <c r="F10">
        <f>E10-B10</f>
        <v/>
      </c>
      <c r="G10" s="2">
        <f>IF(B10=0,0,F10/B10)</f>
        <v/>
      </c>
      <c r="H10" t="n">
        <v>40000</v>
      </c>
      <c r="I10">
        <f>Entwuerfe!S10</f>
        <v/>
      </c>
      <c r="J10" t="n">
        <v>100</v>
      </c>
      <c r="K10">
        <f>Entwuerfe!W10</f>
        <v/>
      </c>
      <c r="L10">
        <f>Entwuerfe!N10</f>
        <v/>
      </c>
      <c r="M10">
        <f>Entwuerfe!M10</f>
        <v/>
      </c>
      <c r="N10">
        <f>Entwuerfe!Y10</f>
        <v/>
      </c>
    </row>
    <row r="11">
      <c r="A11" t="inlineStr">
        <is>
          <t>Battlemaster Mass Production</t>
        </is>
      </c>
      <c r="B11" t="n">
        <v>600</v>
      </c>
      <c r="C11">
        <f>Entwuerfe!P11</f>
        <v/>
      </c>
      <c r="D11">
        <f>Entwuerfe!Q11</f>
        <v/>
      </c>
      <c r="E11">
        <f>Entwuerfe!R11</f>
        <v/>
      </c>
      <c r="F11">
        <f>E11-B11</f>
        <v/>
      </c>
      <c r="G11" s="2">
        <f>IF(B11=0,0,F11/B11)</f>
        <v/>
      </c>
      <c r="H11" t="n">
        <v>40000</v>
      </c>
      <c r="I11">
        <f>Entwuerfe!S11</f>
        <v/>
      </c>
      <c r="J11" t="n">
        <v>100</v>
      </c>
      <c r="K11">
        <f>Entwuerfe!W11</f>
        <v/>
      </c>
      <c r="L11">
        <f>Entwuerfe!N11</f>
        <v/>
      </c>
      <c r="M11">
        <f>Entwuerfe!M11</f>
        <v/>
      </c>
      <c r="N11">
        <f>Entwuerfe!Y11</f>
        <v/>
      </c>
    </row>
    <row r="12">
      <c r="A12" t="inlineStr">
        <is>
          <t>Battlemaster Mass Production PDL</t>
        </is>
      </c>
      <c r="B12" t="n">
        <v>1000</v>
      </c>
      <c r="C12">
        <f>Entwuerfe!P12</f>
        <v/>
      </c>
      <c r="D12">
        <f>Entwuerfe!Q12</f>
        <v/>
      </c>
      <c r="E12">
        <f>Entwuerfe!R12</f>
        <v/>
      </c>
      <c r="F12">
        <f>E12-B12</f>
        <v/>
      </c>
      <c r="G12" s="2">
        <f>IF(B12=0,0,F12/B12)</f>
        <v/>
      </c>
      <c r="H12" t="n">
        <v>40000</v>
      </c>
      <c r="I12">
        <f>Entwuerfe!S12</f>
        <v/>
      </c>
      <c r="J12" t="n">
        <v>100</v>
      </c>
      <c r="K12">
        <f>Entwuerfe!W12</f>
        <v/>
      </c>
      <c r="L12">
        <f>Entwuerfe!N12</f>
        <v/>
      </c>
      <c r="M12">
        <f>Entwuerfe!M12</f>
        <v/>
      </c>
      <c r="N12">
        <f>Entwuerfe!Y12</f>
        <v/>
      </c>
    </row>
    <row r="13">
      <c r="A13" t="inlineStr">
        <is>
          <t>Battlemaster Mass Production Reflector</t>
        </is>
      </c>
      <c r="B13" t="n">
        <v>600</v>
      </c>
      <c r="C13">
        <f>Entwuerfe!P13</f>
        <v/>
      </c>
      <c r="D13">
        <f>Entwuerfe!Q13</f>
        <v/>
      </c>
      <c r="E13">
        <f>Entwuerfe!R13</f>
        <v/>
      </c>
      <c r="F13">
        <f>E13-B13</f>
        <v/>
      </c>
      <c r="G13" s="2">
        <f>IF(B13=0,0,F13/B13)</f>
        <v/>
      </c>
      <c r="H13" t="n">
        <v>40000</v>
      </c>
      <c r="I13">
        <f>Entwuerfe!S13</f>
        <v/>
      </c>
      <c r="J13" t="n">
        <v>100</v>
      </c>
      <c r="K13">
        <f>Entwuerfe!W13</f>
        <v/>
      </c>
      <c r="L13">
        <f>Entwuerfe!N13</f>
        <v/>
      </c>
      <c r="M13">
        <f>Entwuerfe!M13</f>
        <v/>
      </c>
      <c r="N13">
        <f>Entwuerfe!Y13</f>
        <v/>
      </c>
    </row>
    <row r="14">
      <c r="A14" t="inlineStr">
        <is>
          <t>Battlemaster Autoloader</t>
        </is>
      </c>
      <c r="B14" t="n">
        <v>950</v>
      </c>
      <c r="C14">
        <f>Entwuerfe!P14</f>
        <v/>
      </c>
      <c r="D14">
        <f>Entwuerfe!Q14</f>
        <v/>
      </c>
      <c r="E14">
        <f>Entwuerfe!R14</f>
        <v/>
      </c>
      <c r="F14">
        <f>E14-B14</f>
        <v/>
      </c>
      <c r="G14" s="2">
        <f>IF(B14=0,0,F14/B14)</f>
        <v/>
      </c>
      <c r="H14" t="n">
        <v>40000</v>
      </c>
      <c r="I14">
        <f>Entwuerfe!S14</f>
        <v/>
      </c>
      <c r="J14" t="n">
        <v>100</v>
      </c>
      <c r="K14">
        <f>Entwuerfe!W14</f>
        <v/>
      </c>
      <c r="L14">
        <f>Entwuerfe!N14</f>
        <v/>
      </c>
      <c r="M14">
        <f>Entwuerfe!M14</f>
        <v/>
      </c>
      <c r="N14">
        <f>Entwuerfe!Y14</f>
        <v/>
      </c>
    </row>
    <row r="15">
      <c r="A15" t="inlineStr">
        <is>
          <t>Battlemaster Autoloader PDL</t>
        </is>
      </c>
      <c r="B15" t="n">
        <v>1600</v>
      </c>
      <c r="C15">
        <f>Entwuerfe!P15</f>
        <v/>
      </c>
      <c r="D15">
        <f>Entwuerfe!Q15</f>
        <v/>
      </c>
      <c r="E15">
        <f>Entwuerfe!R15</f>
        <v/>
      </c>
      <c r="F15">
        <f>E15-B15</f>
        <v/>
      </c>
      <c r="G15" s="2">
        <f>IF(B15=0,0,F15/B15)</f>
        <v/>
      </c>
      <c r="H15" t="n">
        <v>40000</v>
      </c>
      <c r="I15">
        <f>Entwuerfe!S15</f>
        <v/>
      </c>
      <c r="J15" t="n">
        <v>100</v>
      </c>
      <c r="K15">
        <f>Entwuerfe!W15</f>
        <v/>
      </c>
      <c r="L15">
        <f>Entwuerfe!N15</f>
        <v/>
      </c>
      <c r="M15">
        <f>Entwuerfe!M15</f>
        <v/>
      </c>
      <c r="N15">
        <f>Entwuerfe!Y15</f>
        <v/>
      </c>
    </row>
    <row r="16">
      <c r="A16" t="inlineStr">
        <is>
          <t>Battlemaster Autoloader Reflector</t>
        </is>
      </c>
      <c r="B16" t="n">
        <v>950</v>
      </c>
      <c r="C16">
        <f>Entwuerfe!P16</f>
        <v/>
      </c>
      <c r="D16">
        <f>Entwuerfe!Q16</f>
        <v/>
      </c>
      <c r="E16">
        <f>Entwuerfe!R16</f>
        <v/>
      </c>
      <c r="F16">
        <f>E16-B16</f>
        <v/>
      </c>
      <c r="G16" s="2">
        <f>IF(B16=0,0,F16/B16)</f>
        <v/>
      </c>
      <c r="H16" t="n">
        <v>40000</v>
      </c>
      <c r="I16">
        <f>Entwuerfe!S16</f>
        <v/>
      </c>
      <c r="J16" t="n">
        <v>100</v>
      </c>
      <c r="K16">
        <f>Entwuerfe!W16</f>
        <v/>
      </c>
      <c r="L16">
        <f>Entwuerfe!N16</f>
        <v/>
      </c>
      <c r="M16">
        <f>Entwuerfe!M16</f>
        <v/>
      </c>
      <c r="N16">
        <f>Entwuerfe!Y16</f>
        <v/>
      </c>
    </row>
    <row r="17">
      <c r="A17" t="inlineStr">
        <is>
          <t>Battlemaster baseline</t>
        </is>
      </c>
      <c r="B17" t="n">
        <v>950</v>
      </c>
      <c r="C17">
        <f>Entwuerfe!P17</f>
        <v/>
      </c>
      <c r="D17">
        <f>Entwuerfe!Q17</f>
        <v/>
      </c>
      <c r="E17">
        <f>Entwuerfe!R17</f>
        <v/>
      </c>
      <c r="F17">
        <f>E17-B17</f>
        <v/>
      </c>
      <c r="G17" s="2">
        <f>IF(B17=0,0,F17/B17)</f>
        <v/>
      </c>
      <c r="H17" t="n">
        <v>40000</v>
      </c>
      <c r="I17">
        <f>Entwuerfe!S17</f>
        <v/>
      </c>
      <c r="J17" t="n">
        <v>100</v>
      </c>
      <c r="K17">
        <f>Entwuerfe!W17</f>
        <v/>
      </c>
      <c r="L17">
        <f>Entwuerfe!N17</f>
        <v/>
      </c>
      <c r="M17">
        <f>Entwuerfe!M17</f>
        <v/>
      </c>
      <c r="N17">
        <f>Entwuerfe!Y17</f>
        <v/>
      </c>
    </row>
    <row r="18">
      <c r="A18" t="inlineStr">
        <is>
          <t>Battlemaster nuclear drive</t>
        </is>
      </c>
      <c r="B18" t="n">
        <v>950</v>
      </c>
      <c r="C18">
        <f>Entwuerfe!P18</f>
        <v/>
      </c>
      <c r="D18">
        <f>Entwuerfe!Q18</f>
        <v/>
      </c>
      <c r="E18">
        <f>Entwuerfe!R18</f>
        <v/>
      </c>
      <c r="F18">
        <f>E18-B18</f>
        <v/>
      </c>
      <c r="G18" s="2">
        <f>IF(B18=0,0,F18/B18)</f>
        <v/>
      </c>
      <c r="H18" t="n">
        <v>40000</v>
      </c>
      <c r="I18">
        <f>Entwuerfe!S18</f>
        <v/>
      </c>
      <c r="J18" t="n">
        <v>125</v>
      </c>
      <c r="K18">
        <f>Entwuerfe!W18</f>
        <v/>
      </c>
      <c r="L18">
        <f>Entwuerfe!N18</f>
        <v/>
      </c>
      <c r="M18">
        <f>Entwuerfe!M18</f>
        <v/>
      </c>
      <c r="N18">
        <f>Entwuerfe!Y18</f>
        <v/>
      </c>
    </row>
    <row r="19">
      <c r="A19" t="inlineStr">
        <is>
          <t>Juggernaut baseline</t>
        </is>
      </c>
      <c r="B19" t="n">
        <v>2000</v>
      </c>
      <c r="C19">
        <f>Entwuerfe!P24</f>
        <v/>
      </c>
      <c r="D19">
        <f>Entwuerfe!Q24</f>
        <v/>
      </c>
      <c r="E19">
        <f>Entwuerfe!R24</f>
        <v/>
      </c>
      <c r="F19">
        <f>E19-B19</f>
        <v/>
      </c>
      <c r="G19" s="2">
        <f>IF(B19=0,0,F19/B19)</f>
        <v/>
      </c>
      <c r="H19" t="n">
        <v>60000</v>
      </c>
      <c r="I19">
        <f>Entwuerfe!S24</f>
        <v/>
      </c>
      <c r="J19" t="n">
        <v>50</v>
      </c>
      <c r="K19">
        <f>Entwuerfe!W24</f>
        <v/>
      </c>
      <c r="L19">
        <f>Entwuerfe!N24</f>
        <v/>
      </c>
      <c r="M19">
        <f>Entwuerfe!M24</f>
        <v/>
      </c>
      <c r="N19">
        <f>Entwuerfe!Y24</f>
        <v/>
      </c>
    </row>
    <row r="20">
      <c r="A20" t="inlineStr">
        <is>
          <t>Juggernaut EMP / baseline</t>
        </is>
      </c>
      <c r="B20" t="n">
        <v>2000</v>
      </c>
      <c r="C20">
        <f>Entwuerfe!P25</f>
        <v/>
      </c>
      <c r="D20">
        <f>Entwuerfe!Q25</f>
        <v/>
      </c>
      <c r="E20">
        <f>Entwuerfe!R25</f>
        <v/>
      </c>
      <c r="F20">
        <f>E20-B20</f>
        <v/>
      </c>
      <c r="G20" s="2">
        <f>IF(B20=0,0,F20/B20)</f>
        <v/>
      </c>
      <c r="H20" t="n">
        <v>60000</v>
      </c>
      <c r="I20">
        <f>Entwuerfe!S25</f>
        <v/>
      </c>
      <c r="J20" t="n">
        <v>50</v>
      </c>
      <c r="K20">
        <f>Entwuerfe!W25</f>
        <v/>
      </c>
      <c r="L20">
        <f>Entwuerfe!N25</f>
        <v/>
      </c>
      <c r="M20">
        <f>Entwuerfe!M25</f>
        <v/>
      </c>
      <c r="N20">
        <f>Entwuerfe!Y25</f>
        <v/>
      </c>
    </row>
    <row r="21">
      <c r="A21" t="inlineStr">
        <is>
          <t>Juggernaut EMP / efficient</t>
        </is>
      </c>
      <c r="B21" t="n">
        <v>2000</v>
      </c>
      <c r="C21">
        <f>Entwuerfe!P26</f>
        <v/>
      </c>
      <c r="D21">
        <f>Entwuerfe!Q26</f>
        <v/>
      </c>
      <c r="E21">
        <f>Entwuerfe!R26</f>
        <v/>
      </c>
      <c r="F21">
        <f>E21-B21</f>
        <v/>
      </c>
      <c r="G21" s="2">
        <f>IF(B21=0,0,F21/B21)</f>
        <v/>
      </c>
      <c r="H21" t="n">
        <v>60000</v>
      </c>
      <c r="I21">
        <f>Entwuerfe!S26</f>
        <v/>
      </c>
      <c r="J21" t="n">
        <v>50</v>
      </c>
      <c r="K21">
        <f>Entwuerfe!W26</f>
        <v/>
      </c>
      <c r="L21">
        <f>Entwuerfe!N26</f>
        <v/>
      </c>
      <c r="M21">
        <f>Entwuerfe!M26</f>
        <v/>
      </c>
      <c r="N21">
        <f>Entwuerfe!Y26</f>
        <v/>
      </c>
    </row>
    <row r="22">
      <c r="A22" t="inlineStr">
        <is>
          <t>Heavy Tesla Tank baseline</t>
        </is>
      </c>
      <c r="B22" t="n">
        <v>1350</v>
      </c>
      <c r="C22">
        <f>Entwuerfe!P27</f>
        <v/>
      </c>
      <c r="D22">
        <f>Entwuerfe!Q27</f>
        <v/>
      </c>
      <c r="E22">
        <f>Entwuerfe!R27</f>
        <v/>
      </c>
      <c r="F22">
        <f>E22-B22</f>
        <v/>
      </c>
      <c r="G22" s="2">
        <f>IF(B22=0,0,F22/B22)</f>
        <v/>
      </c>
      <c r="H22" t="n">
        <v>48000</v>
      </c>
      <c r="I22">
        <f>Entwuerfe!S27</f>
        <v/>
      </c>
      <c r="J22" t="n">
        <v>100</v>
      </c>
      <c r="K22">
        <f>Entwuerfe!W27</f>
        <v/>
      </c>
      <c r="L22">
        <f>Entwuerfe!N27</f>
        <v/>
      </c>
      <c r="M22">
        <f>Entwuerfe!M27</f>
        <v/>
      </c>
      <c r="N22">
        <f>Entwuerfe!Y27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2026-09-24T18:31:25Z</dcterms:created>
  <dcterms:modified xsi:type="dcterms:W3CDTF">2026-09-24T18:31:25Z</dcterms:modified>
</cp:coreProperties>
</file>