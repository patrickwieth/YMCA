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Infanterie" sheetId="4" state="visible" r:id="rId4"/>
    <sheet name="Startbesatzung" sheetId="5" state="visible" r:id="rId5"/>
    <sheet name="Entwuerfe" sheetId="6" state="visible" r:id="rId6"/>
    <sheet name="AltNeu" sheetId="7" state="visible" r:id="rId7"/>
    <sheet name="SchwereReferenzen" sheetId="8" state="visible" r:id="rId8"/>
    <sheet name="Preisfit" sheetId="9" state="visible" r:id="rId9"/>
    <sheet name="FitAbweichungen" sheetId="10" state="visible" r:id="rId10"/>
  </sheets>
  <definedNames>
    <definedName name="ComponentIDs">'Bausteine'!$A$2:$A$46</definedName>
    <definedName name="InfantryIDs">'Infanterie'!$A$2:$A$4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S46" headerRowCount="1">
  <autoFilter ref="A1:AS46"/>
  <tableColumns count="45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Transportkapazitaet"/>
    <tableColumn id="40" name="Ausschluesse"/>
    <tableColumn id="41" name="Aufsatzplatz"/>
    <tableColumn id="42" name="Zusatztraeger erlaubt"/>
    <tableColumn id="43" name="Infanterie erlaubt"/>
    <tableColumn id="44" name="Mindestreichweite Zellen"/>
    <tableColumn id="45" name="Feuerverzug Ticks"/>
  </tableColumns>
  <tableStyleInfo name="TableStyleMedium2" showRowStripes="1"/>
</table>
</file>

<file path=xl/tables/table3.xml><?xml version="1.0" encoding="utf-8"?>
<table xmlns="http://schemas.openxmlformats.org/spreadsheetml/2006/main" id="3" name="Infantry" displayName="Infantry" ref="A1:G4" headerRowCount="1">
  <autoFilter ref="A1:G4"/>
  <tableColumns count="7">
    <tableColumn id="1" name="ID"/>
    <tableColumn id="2" name="Name"/>
    <tableColumn id="3" name="Fraktionen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4.xml><?xml version="1.0" encoding="utf-8"?>
<table xmlns="http://schemas.openxmlformats.org/spreadsheetml/2006/main" id="4" name="Crew" displayName="Crew" ref="A1:G7" headerRowCount="1">
  <autoFilter ref="A1:G7"/>
  <tableColumns count="7">
    <tableColumn id="1" name="Design"/>
    <tableColumn id="2" name="Infanterie"/>
    <tableColumn id="3" name="Anzahl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5.xml><?xml version="1.0" encoding="utf-8"?>
<table xmlns="http://schemas.openxmlformats.org/spreadsheetml/2006/main" id="5" name="Designs" displayName="Designs" ref="A1:AP49" headerRowCount="1">
  <autoFilter ref="A1:AP49"/>
  <tableColumns count="42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  <tableColumn id="32" name="Aufsatztraeger"/>
    <tableColumn id="33" name="Aufsatzwaffe"/>
    <tableColumn id="34" name="Aufsatzmunition"/>
    <tableColumn id="35" name="Besatzungspreis"/>
    <tableColumn id="36" name="Besatzungsmasse"/>
    <tableColumn id="37" name="Besatzungstech"/>
    <tableColumn id="38" name="Aufsatz Reichweite"/>
    <tableColumn id="39" name="Aufsatz Mindestreichweite"/>
    <tableColumn id="40" name="Aufsatz Reload Ticks"/>
    <tableColumn id="41" name="Aufsatz Salve"/>
    <tableColumn id="42" name="Aufsatz Rohschaden"/>
  </tableColumns>
  <tableStyleInfo name="TableStyleMedium2" showRowStripes="1"/>
</table>
</file>

<file path=xl/tables/table6.xml><?xml version="1.0" encoding="utf-8"?>
<table xmlns="http://schemas.openxmlformats.org/spreadsheetml/2006/main" id="6" name="Comparison" displayName="Comparison" ref="A1:N35" headerRowCount="1">
  <autoFilter ref="A1:N35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7.xml><?xml version="1.0" encoding="utf-8"?>
<table xmlns="http://schemas.openxmlformats.org/spreadsheetml/2006/main" id="7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8.xml><?xml version="1.0" encoding="utf-8"?>
<table xmlns="http://schemas.openxmlformats.org/spreadsheetml/2006/main" id="8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9.xml><?xml version="1.0" encoding="utf-8"?>
<table xmlns="http://schemas.openxmlformats.org/spreadsheetml/2006/main" id="9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Leeres Bunkermodul plus separat gewählte Startbesatzung. Infanteriepreise und Besatzungszeilen sind editierbar; Kosten/Masse werden einmal addiert.</t>
        </is>
      </c>
    </row>
    <row r="12">
      <c r="A12" t="inlineStr">
        <is>
          <t>Aufsatzplatz</t>
        </is>
      </c>
      <c r="B12" t="inlineStr">
        <is>
          <t>Gatling, Bunker und Lautsprecher teilen roof. Vollständige Slot-/Fraktions-/Kapazitätsprüfung weiterhin im Python-Rechner.</t>
        </is>
      </c>
    </row>
    <row r="13">
      <c r="A13" t="inlineStr">
        <is>
          <t>Grafikentwürfe</t>
        </is>
      </c>
      <c r="B13" t="inlineStr">
        <is>
          <t>Flame/Mortar Roof / draft sind nur Offline-Kalkulation. Sprites geprüft, Montage auf Overlord noch nicht. Kein Originalvergleich oder spielbarer Actor.</t>
        </is>
      </c>
    </row>
    <row r="14">
      <c r="A14" t="inlineStr">
        <is>
          <t>Besatzung</t>
        </is>
      </c>
      <c r="B14" t="inlineStr">
        <is>
          <t>0 in Excel deaktiviert eine vorhandene Zeile; für neue Typen/Zeilen JSON ändern und neu exportieren. Infanteriemasse ist ein Designwert.</t>
        </is>
      </c>
    </row>
    <row r="15">
      <c r="A15" t="inlineStr">
        <is>
          <t>Momentaufnahme</t>
        </is>
      </c>
      <c r="B15" t="inlineStr">
        <is>
          <t>Python-Werte und Preisfit sind statisch. Änderungen in Excel aktualisieren nur die Formelspalten.</t>
        </is>
      </c>
    </row>
    <row r="16">
      <c r="A16" t="inlineStr">
        <is>
          <t>Genauigkeit</t>
        </is>
      </c>
      <c r="B16" t="inlineStr">
        <is>
          <t>CP/Tier sind unabhängig; 1% Abweichung kann akzeptabel sein. Preisfit ist kein Beweis des CP-Wertes.</t>
        </is>
      </c>
    </row>
    <row r="17">
      <c r="A17" t="inlineStr">
        <is>
          <t>Branches</t>
        </is>
      </c>
      <c r="B17" t="inlineStr">
        <is>
          <t>Game modular: tournament-bot integriert in 9d8a9dec; master nicht zusätzlich gemergt.</t>
        </is>
      </c>
    </row>
    <row r="18">
      <c r="A18" t="inlineStr">
        <is>
          <t>Merge</t>
        </is>
      </c>
      <c r="B18" t="inlineStr">
        <is>
          <t>Engine modular-engine: 484afea27c kombiniert Isometric und Tournament.</t>
        </is>
      </c>
    </row>
    <row r="19">
      <c r="A19" t="inlineStr">
        <is>
          <t>Referenzbedingungen</t>
        </is>
      </c>
      <c r="B19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21" customWidth="1" min="39" max="39"/>
    <col width="16" customWidth="1" min="40" max="40"/>
    <col width="16" customWidth="1" min="41" max="41"/>
    <col width="23" customWidth="1" min="42" max="42"/>
    <col width="20" customWidth="1" min="43" max="43"/>
    <col width="26" customWidth="1" min="44" max="44"/>
    <col width="19" customWidth="1" min="45" max="45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Transportkapazitaet</t>
        </is>
      </c>
      <c r="AN1" s="1" t="inlineStr">
        <is>
          <t>Ausschluesse</t>
        </is>
      </c>
      <c r="AO1" s="1" t="inlineStr">
        <is>
          <t>Aufsatzplatz</t>
        </is>
      </c>
      <c r="AP1" s="1" t="inlineStr">
        <is>
          <t>Zusatztraeger erlaubt</t>
        </is>
      </c>
      <c r="AQ1" s="1" t="inlineStr">
        <is>
          <t>Infanterie erlaubt</t>
        </is>
      </c>
      <c r="AR1" s="1" t="inlineStr">
        <is>
          <t>Mindestreichweite Zellen</t>
        </is>
      </c>
      <c r="AS1" s="1" t="inlineStr">
        <is>
          <t>Feuerverzug Ticks</t>
        </is>
      </c>
    </row>
    <row r="2">
      <c r="A2" t="inlineStr">
        <is>
          <t>mortar-roof-carrier</t>
        </is>
      </c>
      <c r="B2" t="inlineStr">
        <is>
          <t>carrier</t>
        </is>
      </c>
      <c r="C2" t="inlineStr">
        <is>
          <t>["china"]</t>
        </is>
      </c>
      <c r="D2" t="n">
        <v>1</v>
      </c>
      <c r="E2" t="n">
        <v>0</v>
      </c>
      <c r="F2" t="n">
        <v>3</v>
      </c>
      <c r="G2" t="n">
        <v>200</v>
      </c>
      <c r="H2" t="n">
        <v>400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60</v>
      </c>
      <c r="AB2" t="n">
        <v>0</v>
      </c>
      <c r="AC2" t="n">
        <v>0</v>
      </c>
      <c r="AD2" t="inlineStr">
        <is>
          <t>Experimental China gameplay carrier using existing artillery artwork, not Allied weapon access. Proposed 200-credit mount, 12 turn speed. Offset, scale, recoil and muzzle on Overlord not live-tested; infantry Mortar FireDelay 15 retained as a trial.</t>
        </is>
      </c>
      <c r="AE2" t="inlineStr">
        <is>
          <t>batf.artillery.turret / artytur.shp</t>
        </is>
      </c>
      <c r="AF2" t="inlineStr"/>
      <c r="AG2" t="inlineStr"/>
      <c r="AH2" t="inlineStr">
        <is>
          <t>["roof-mortar"]</t>
        </is>
      </c>
      <c r="AI2" t="inlineStr"/>
      <c r="AJ2" t="inlineStr">
        <is>
          <t>Leichter Artillerie-Aufsatzturm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</v>
      </c>
    </row>
    <row r="3">
      <c r="A3" t="inlineStr">
        <is>
          <t>roof-mortar</t>
        </is>
      </c>
      <c r="B3" t="inlineStr">
        <is>
          <t>weapon</t>
        </is>
      </c>
      <c r="C3" t="inlineStr">
        <is>
          <t>["china"]</t>
        </is>
      </c>
      <c r="D3" t="n">
        <v>1</v>
      </c>
      <c r="E3" t="n">
        <v>0</v>
      </c>
      <c r="F3" t="n">
        <v>3</v>
      </c>
      <c r="G3" t="n">
        <v>350</v>
      </c>
      <c r="H3" t="n">
        <v>600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11</v>
      </c>
      <c r="AC3" t="n">
        <v>0</v>
      </c>
      <c r="AD3" t="inlineStr">
        <is>
          <t>Existing BulletCA: speed 166, launch angle 92, inaccuracy 768, BOMB image. New vehicle price, mass and power are proposals, not inferred from 150-credit infantry.</t>
        </is>
      </c>
      <c r="AE3" t="inlineStr">
        <is>
          <t>Mortar / MortarPrototype</t>
        </is>
      </c>
      <c r="AF3" t="inlineStr"/>
      <c r="AG3" t="inlineStr"/>
      <c r="AH3" t="inlineStr"/>
      <c r="AI3" t="inlineStr">
        <is>
          <t>["mortar-he"]</t>
        </is>
      </c>
      <c r="AJ3" t="inlineStr">
        <is>
          <t>Leichter Fahrzeugmoerser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</row>
    <row r="4">
      <c r="A4" t="inlineStr">
        <is>
          <t>mortar-he</t>
        </is>
      </c>
      <c r="B4" t="inlineStr">
        <is>
          <t>ammunition</t>
        </is>
      </c>
      <c r="C4" t="inlineStr">
        <is>
          <t>["china"]</t>
        </is>
      </c>
      <c r="D4" t="n">
        <v>0</v>
      </c>
      <c r="E4" t="n">
        <v>0</v>
      </c>
      <c r="F4" t="n">
        <v>3</v>
      </c>
      <c r="G4" t="n">
        <v>100</v>
      </c>
      <c r="H4" t="n">
        <v>300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5500</v>
      </c>
      <c r="AD4" t="inlineStr">
        <is>
          <t>Raw primary damage only, not DPS. Full impact/smudge/water effects belong to existing payload template; no compiler yet.</t>
        </is>
      </c>
      <c r="AE4" t="inlineStr">
        <is>
          <t>MortarPrototype</t>
        </is>
      </c>
      <c r="AF4" t="inlineStr"/>
      <c r="AG4" t="inlineStr"/>
      <c r="AH4" t="inlineStr"/>
      <c r="AI4" t="inlineStr"/>
      <c r="AJ4" t="inlineStr">
        <is>
          <t>Moerser-Sprenggranaten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overlord-chassis</t>
        </is>
      </c>
      <c r="B5" t="inlineStr">
        <is>
          <t>chassis</t>
        </is>
      </c>
      <c r="C5" t="inlineStr">
        <is>
          <t>["china"]</t>
        </is>
      </c>
      <c r="D5" t="n">
        <v>3</v>
      </c>
      <c r="E5" t="n">
        <v>0</v>
      </c>
      <c r="F5" t="n">
        <v>2</v>
      </c>
      <c r="G5" t="n">
        <v>1000</v>
      </c>
      <c r="H5" t="n">
        <v>25000</v>
      </c>
      <c r="I5" t="n">
        <v>10</v>
      </c>
      <c r="J5" t="n">
        <v>0</v>
      </c>
      <c r="K5" t="n">
        <v>0</v>
      </c>
      <c r="L5" t="n">
        <v>0</v>
      </c>
      <c r="M5" t="n">
        <v>95000</v>
      </c>
      <c r="N5" t="inlineStr"/>
      <c r="O5" t="n">
        <v>0</v>
      </c>
      <c r="P5" t="n">
        <v>0</v>
      </c>
      <c r="Q5" t="n">
        <v>0</v>
      </c>
      <c r="R5" t="n">
        <v>32000</v>
      </c>
      <c r="S5" t="n">
        <v>960</v>
      </c>
      <c r="T5" t="n">
        <v>56</v>
      </c>
      <c r="U5" t="n">
        <v>70</v>
      </c>
      <c r="V5" t="n">
        <v>45000</v>
      </c>
      <c r="W5" t="n">
        <v>2</v>
      </c>
      <c r="X5" t="n">
        <v>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Main heavy carrier plus shared roof slot for an approved auxiliary carrier, bunker or speaker. Emperor 80% received-damage modifier is excluded from base state.</t>
        </is>
      </c>
      <c r="AE5" t="inlineStr">
        <is>
          <t>choverlord</t>
        </is>
      </c>
      <c r="AF5" t="inlineStr">
        <is>
          <t>{"carrier": ["heavy-twin-turret"], "drive": ["diesel-heavy", "diesel-heavy-boost"]}</t>
        </is>
      </c>
      <c r="AG5" t="inlineStr">
        <is>
          <t>["pdl", "propaganda-speaker", "firing-bunker"]</t>
        </is>
      </c>
      <c r="AH5" t="inlineStr"/>
      <c r="AI5" t="inlineStr"/>
      <c r="AJ5" t="inlineStr">
        <is>
          <t>Schweres Kettenfahrgestell (Overlord)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{"slot": "roof", "carriers": ["gatling-roof-carrier"], "experimental_carriers": ["flame-turret", "mortar-roof-carrier"]}</t>
        </is>
      </c>
      <c r="AQ5" t="n">
        <v>0</v>
      </c>
      <c r="AR5" t="n">
        <v>0</v>
      </c>
      <c r="AS5" t="n">
        <v>0</v>
      </c>
    </row>
    <row r="6">
      <c r="A6" t="inlineStr">
        <is>
          <t>diesel-heavy</t>
        </is>
      </c>
      <c r="B6" t="inlineStr">
        <is>
          <t>drive</t>
        </is>
      </c>
      <c r="C6" t="inlineStr">
        <is>
          <t>["china", "gdi", "soviet"]</t>
        </is>
      </c>
      <c r="D6" t="n">
        <v>1</v>
      </c>
      <c r="E6" t="n">
        <v>0</v>
      </c>
      <c r="F6" t="n">
        <v>2</v>
      </c>
      <c r="G6" t="n">
        <v>300</v>
      </c>
      <c r="H6" t="n">
        <v>2000</v>
      </c>
      <c r="I6" t="n">
        <v>0</v>
      </c>
      <c r="J6" t="n">
        <v>1000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New provisional heavy family, not a formula derived from engine size.</t>
        </is>
      </c>
      <c r="AE6" t="inlineStr"/>
      <c r="AF6" t="inlineStr"/>
      <c r="AG6" t="inlineStr"/>
      <c r="AH6" t="inlineStr"/>
      <c r="AI6" t="inlineStr"/>
      <c r="AJ6" t="inlineStr">
        <is>
          <t>Schwerer Dieselmotor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diesel-heavy-boost</t>
        </is>
      </c>
      <c r="B7" t="inlineStr">
        <is>
          <t>drive</t>
        </is>
      </c>
      <c r="C7" t="inlineStr">
        <is>
          <t>["china", "gdi", "soviet"]</t>
        </is>
      </c>
      <c r="D7" t="n">
        <v>2</v>
      </c>
      <c r="E7" t="n">
        <v>0</v>
      </c>
      <c r="F7" t="n">
        <v>2</v>
      </c>
      <c r="G7" t="n">
        <v>400</v>
      </c>
      <c r="H7" t="n">
        <v>2000</v>
      </c>
      <c r="I7" t="n">
        <v>0</v>
      </c>
      <c r="J7" t="n">
        <v>1045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  <c r="AF7" t="inlineStr"/>
      <c r="AG7" t="inlineStr"/>
      <c r="AH7" t="inlineStr"/>
      <c r="AI7" t="inlineStr"/>
      <c r="AJ7" t="inlineStr">
        <is>
          <t>Leistungsgesteigerter schwerer Dieselmotor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heavy-twin-turret</t>
        </is>
      </c>
      <c r="B8" t="inlineStr">
        <is>
          <t>carrier</t>
        </is>
      </c>
      <c r="C8" t="inlineStr">
        <is>
          <t>["china"]</t>
        </is>
      </c>
      <c r="D8" t="n">
        <v>0</v>
      </c>
      <c r="E8" t="n">
        <v>0</v>
      </c>
      <c r="F8" t="n">
        <v>2</v>
      </c>
      <c r="G8" t="n">
        <v>250</v>
      </c>
      <c r="H8" t="n">
        <v>2000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6</v>
      </c>
      <c r="AA8" t="n">
        <v>90</v>
      </c>
      <c r="AB8" t="n">
        <v>0</v>
      </c>
      <c r="AC8" t="n">
        <v>0</v>
      </c>
      <c r="AD8" t="inlineStr">
        <is>
          <t>Normal, nuclear and speaker artwork bindings must select appropriate existing turret sequences; no claim of arbitrary visual interchangeability.</t>
        </is>
      </c>
      <c r="AE8" t="inlineStr">
        <is>
          <t>OverlordCannon</t>
        </is>
      </c>
      <c r="AF8" t="inlineStr"/>
      <c r="AG8" t="inlineStr"/>
      <c r="AH8" t="inlineStr">
        <is>
          <t>["overlord-cannon"]</t>
        </is>
      </c>
      <c r="AI8" t="inlineStr"/>
      <c r="AJ8" t="inlineStr">
        <is>
          <t>Schwerer Zwillingsgeschützturm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overlord-cannon</t>
        </is>
      </c>
      <c r="B9" t="inlineStr">
        <is>
          <t>weapon</t>
        </is>
      </c>
      <c r="C9" t="inlineStr">
        <is>
          <t>["china"]</t>
        </is>
      </c>
      <c r="D9" t="n">
        <v>0</v>
      </c>
      <c r="E9" t="n">
        <v>0</v>
      </c>
      <c r="F9" t="n">
        <v>2</v>
      </c>
      <c r="G9" t="n">
        <v>300</v>
      </c>
      <c r="H9" t="n">
        <v>1500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</v>
      </c>
      <c r="AC9" t="n">
        <v>0</v>
      </c>
      <c r="AD9" t="inlineStr"/>
      <c r="AE9" t="inlineStr">
        <is>
          <t>OverlordCannon</t>
        </is>
      </c>
      <c r="AF9" t="inlineStr"/>
      <c r="AG9" t="inlineStr"/>
      <c r="AH9" t="inlineStr"/>
      <c r="AI9" t="inlineStr">
        <is>
          <t>["heavy-shell", "heavy-nuclear-shell"]</t>
        </is>
      </c>
      <c r="AJ9" t="inlineStr">
        <is>
          <t>Schwere Panzerkanone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heavy-shell</t>
        </is>
      </c>
      <c r="B10" t="inlineStr">
        <is>
          <t>ammunition</t>
        </is>
      </c>
      <c r="C10" t="inlineStr">
        <is>
          <t>["china"]</t>
        </is>
      </c>
      <c r="D10" t="n">
        <v>0</v>
      </c>
      <c r="E10" t="n">
        <v>0</v>
      </c>
      <c r="F10" t="n">
        <v>2</v>
      </c>
      <c r="G10" t="n">
        <v>150</v>
      </c>
      <c r="H10" t="n">
        <v>1500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8000</v>
      </c>
      <c r="AD10" t="inlineStr"/>
      <c r="AE10" t="inlineStr">
        <is>
          <t>OverlordCannon</t>
        </is>
      </c>
      <c r="AF10" t="inlineStr"/>
      <c r="AG10" t="inlineStr"/>
      <c r="AH10" t="inlineStr"/>
      <c r="AI10" t="inlineStr"/>
      <c r="AJ10" t="inlineStr">
        <is>
          <t>Schwere Panzergranaten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heavy-nuclear-shell</t>
        </is>
      </c>
      <c r="B11" t="inlineStr">
        <is>
          <t>ammunition</t>
        </is>
      </c>
      <c r="C11" t="inlineStr">
        <is>
          <t>["china"]</t>
        </is>
      </c>
      <c r="D11" t="n">
        <v>1</v>
      </c>
      <c r="E11" t="n">
        <v>1</v>
      </c>
      <c r="F11" t="n">
        <v>3</v>
      </c>
      <c r="G11" t="n">
        <v>950</v>
      </c>
      <c r="H11" t="n">
        <v>1500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24000</v>
      </c>
      <c r="AD11" t="inlineStr">
        <is>
          <t>Base nuclear Overlord price fits +800 hardware minus 300/CP. Full radiation/projectile/effect rules reused later; no nuclear motor implied.</t>
        </is>
      </c>
      <c r="AE11" t="inlineStr">
        <is>
          <t>OverlordCannonNuclear</t>
        </is>
      </c>
      <c r="AF11" t="inlineStr"/>
      <c r="AG11" t="inlineStr"/>
      <c r="AH11" t="inlineStr"/>
      <c r="AI11" t="inlineStr"/>
      <c r="AJ11" t="inlineStr">
        <is>
          <t>Schwere Nukleargranaten</t>
        </is>
      </c>
      <c r="AK11" t="n">
        <v>0</v>
      </c>
      <c r="AL11" t="n">
        <v>5.5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firing-bunker</t>
        </is>
      </c>
      <c r="B12" t="inlineStr">
        <is>
          <t>equipment</t>
        </is>
      </c>
      <c r="C12" t="inlineStr">
        <is>
          <t>["china"]</t>
        </is>
      </c>
      <c r="D12" t="n">
        <v>1</v>
      </c>
      <c r="E12" t="n">
        <v>1</v>
      </c>
      <c r="F12" t="n">
        <v>3</v>
      </c>
      <c r="G12" t="n">
        <v>100</v>
      </c>
      <c r="H12" t="n">
        <v>600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Empty module. Start crew is a separate design selection; price/mass added once. Empty cost/mass experimental. PDL composition uses ^AttackingCargoAndPDL; requires turretbunker artwork.</t>
        </is>
      </c>
      <c r="AE12" t="inlineStr">
        <is>
          <t>^AttackingCargoAndTurret</t>
        </is>
      </c>
      <c r="AF12" t="inlineStr"/>
      <c r="AG12" t="inlineStr"/>
      <c r="AH12" t="inlineStr"/>
      <c r="AI12" t="inlineStr"/>
      <c r="AJ12" t="inlineStr">
        <is>
          <t>Besetzbarer Bunker</t>
        </is>
      </c>
      <c r="AK12" t="n">
        <v>0</v>
      </c>
      <c r="AL12" t="n">
        <v>0</v>
      </c>
      <c r="AM12" t="n">
        <v>4</v>
      </c>
      <c r="AN12" t="n">
        <v>0</v>
      </c>
      <c r="AO12" t="inlineStr">
        <is>
          <t>roof</t>
        </is>
      </c>
      <c r="AP12" t="n">
        <v>0</v>
      </c>
      <c r="AQ12" t="inlineStr">
        <is>
          <t>["che1", "che3", "minigunner"]</t>
        </is>
      </c>
      <c r="AR12" t="n">
        <v>0</v>
      </c>
      <c r="AS12" t="n">
        <v>0</v>
      </c>
    </row>
    <row r="13">
      <c r="A13" t="inlineStr">
        <is>
          <t>gatling-roof-carrier</t>
        </is>
      </c>
      <c r="B13" t="inlineStr">
        <is>
          <t>carrier</t>
        </is>
      </c>
      <c r="C13" t="inlineStr">
        <is>
          <t>["china"]</t>
        </is>
      </c>
      <c r="D13" t="n">
        <v>1</v>
      </c>
      <c r="E13" t="n">
        <v>1</v>
      </c>
      <c r="F13" t="n">
        <v>3</v>
      </c>
      <c r="G13" t="n">
        <v>50</v>
      </c>
      <c r="H13" t="n">
        <v>300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12</v>
      </c>
      <c r="AB13" t="n">
        <v>0</v>
      </c>
      <c r="AC13" t="n">
        <v>0</v>
      </c>
      <c r="AD13" t="inlineStr">
        <is>
          <t>Shares gatling weapon/ammunition. Complete legacy behavior includes sensor equipment, ground/AA spin-up and turretgat sprite; 50-credit carrier allocation is a provisional fit, not intrinsic market value.</t>
        </is>
      </c>
      <c r="AE13" t="inlineStr">
        <is>
          <t>^ChinaGatlingOverlord + ^SensorEquipment</t>
        </is>
      </c>
      <c r="AF13" t="inlineStr"/>
      <c r="AG13" t="inlineStr"/>
      <c r="AH13" t="inlineStr">
        <is>
          <t>["gatling-gun"]</t>
        </is>
      </c>
      <c r="AI13" t="inlineStr"/>
      <c r="AJ13" t="inlineStr">
        <is>
          <t>Gatling-Aufsatzturm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propaganda-speaker</t>
        </is>
      </c>
      <c r="B14" t="inlineStr">
        <is>
          <t>equipment</t>
        </is>
      </c>
      <c r="C14" t="inlineStr">
        <is>
          <t>["china"]</t>
        </is>
      </c>
      <c r="D14" t="n">
        <v>1</v>
      </c>
      <c r="E14" t="n">
        <v>1</v>
      </c>
      <c r="F14" t="n">
        <v>3</v>
      </c>
      <c r="G14" t="n">
        <v>500</v>
      </c>
      <c r="H14" t="n">
        <v>500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Existing aura/upgrade traits to reuse. +500 hardware minus 300/CP fits base price; mass and load deliberately expose speed residuals.</t>
        </is>
      </c>
      <c r="AE14" t="inlineStr">
        <is>
          <t>^PropagandaSpeaker</t>
        </is>
      </c>
      <c r="AF14" t="inlineStr"/>
      <c r="AG14" t="inlineStr"/>
      <c r="AH14" t="inlineStr"/>
      <c r="AI14" t="inlineStr"/>
      <c r="AJ14" t="inlineStr">
        <is>
          <t>Propagandalautsprecher</t>
        </is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roof</t>
        </is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battlemaster</t>
        </is>
      </c>
      <c r="B15" t="inlineStr">
        <is>
          <t>chassis</t>
        </is>
      </c>
      <c r="C15" t="inlineStr">
        <is>
          <t>["china"]</t>
        </is>
      </c>
      <c r="D15" t="n">
        <v>1</v>
      </c>
      <c r="E15" t="n">
        <v>0</v>
      </c>
      <c r="F15" t="n">
        <v>1</v>
      </c>
      <c r="G15" t="n">
        <v>500</v>
      </c>
      <c r="H15" t="n">
        <v>8000</v>
      </c>
      <c r="I15" t="n">
        <v>10</v>
      </c>
      <c r="J15" t="n">
        <v>0</v>
      </c>
      <c r="K15" t="n">
        <v>0</v>
      </c>
      <c r="L15" t="n">
        <v>0</v>
      </c>
      <c r="M15" t="n">
        <v>40000</v>
      </c>
      <c r="N15" t="inlineStr"/>
      <c r="O15" t="n">
        <v>0</v>
      </c>
      <c r="P15" t="n">
        <v>0</v>
      </c>
      <c r="Q15" t="n">
        <v>0</v>
      </c>
      <c r="R15" t="n">
        <v>10000</v>
      </c>
      <c r="S15" t="n">
        <v>460</v>
      </c>
      <c r="T15" t="n">
        <v>100</v>
      </c>
      <c r="U15" t="n">
        <v>125</v>
      </c>
      <c r="V15" t="n">
        <v>18000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>
        <is>
          <t>{"carrier": ["cannon-turret", "autoloader-turret"], "drive": ["diesel", "diesel-large", "nuclear"]}</t>
        </is>
      </c>
      <c r="AG15" t="inlineStr">
        <is>
          <t>["pdl"]</t>
        </is>
      </c>
      <c r="AH15" t="inlineStr"/>
      <c r="AI15" t="inlineStr"/>
      <c r="AJ15" t="inlineStr">
        <is>
          <t>Type 59 Chassis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mass-production</t>
        </is>
      </c>
      <c r="B16" t="inlineStr">
        <is>
          <t>manufacturing</t>
        </is>
      </c>
      <c r="C16" t="inlineStr">
        <is>
          <t>["china"]</t>
        </is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16" t="inlineStr"/>
      <c r="AF16" t="inlineStr"/>
      <c r="AG16" t="inlineStr"/>
      <c r="AH16" t="inlineStr"/>
      <c r="AI16" t="inlineStr"/>
      <c r="AJ16" t="inlineStr">
        <is>
          <t>Massenproduktion</t>
        </is>
      </c>
      <c r="AK16" t="n">
        <v>95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dragon-chassis</t>
        </is>
      </c>
      <c r="B17" t="inlineStr">
        <is>
          <t>chassis</t>
        </is>
      </c>
      <c r="C17" t="inlineStr">
        <is>
          <t>["china"]</t>
        </is>
      </c>
      <c r="D17" t="n">
        <v>1</v>
      </c>
      <c r="E17" t="n">
        <v>0</v>
      </c>
      <c r="F17" t="n">
        <v>1</v>
      </c>
      <c r="G17" t="n">
        <v>250</v>
      </c>
      <c r="H17" t="n">
        <v>6500</v>
      </c>
      <c r="I17" t="n">
        <v>10</v>
      </c>
      <c r="J17" t="n">
        <v>0</v>
      </c>
      <c r="K17" t="n">
        <v>0</v>
      </c>
      <c r="L17" t="n">
        <v>0</v>
      </c>
      <c r="M17" t="n">
        <v>28000</v>
      </c>
      <c r="N17" t="inlineStr"/>
      <c r="O17" t="n">
        <v>0</v>
      </c>
      <c r="P17" t="n">
        <v>0</v>
      </c>
      <c r="Q17" t="n">
        <v>0</v>
      </c>
      <c r="R17" t="n">
        <v>8000</v>
      </c>
      <c r="S17" t="n">
        <v>460</v>
      </c>
      <c r="T17" t="n">
        <v>103</v>
      </c>
      <c r="U17" t="n">
        <v>125</v>
      </c>
      <c r="V17" t="n">
        <v>14000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Base price/HP/speed fitted. Firewall deploy behavior and Black Napalm remain source references, not implemented.</t>
        </is>
      </c>
      <c r="AE17" t="inlineStr">
        <is>
          <t>chdragon</t>
        </is>
      </c>
      <c r="AF17" t="inlineStr">
        <is>
          <t>{"carrier": ["flame-turret"], "drive": ["diesel", "diesel-large"]}</t>
        </is>
      </c>
      <c r="AG17" t="inlineStr">
        <is>
          <t>["pdl"]</t>
        </is>
      </c>
      <c r="AH17" t="inlineStr"/>
      <c r="AI17" t="inlineStr"/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gatling-chassis</t>
        </is>
      </c>
      <c r="B18" t="inlineStr">
        <is>
          <t>chassis</t>
        </is>
      </c>
      <c r="C18" t="inlineStr">
        <is>
          <t>["china"]</t>
        </is>
      </c>
      <c r="D18" t="n">
        <v>1</v>
      </c>
      <c r="E18" t="n">
        <v>0</v>
      </c>
      <c r="F18" t="n">
        <v>1</v>
      </c>
      <c r="G18" t="n">
        <v>350</v>
      </c>
      <c r="H18" t="n">
        <v>7000</v>
      </c>
      <c r="I18" t="n">
        <v>10</v>
      </c>
      <c r="J18" t="n">
        <v>0</v>
      </c>
      <c r="K18" t="n">
        <v>0</v>
      </c>
      <c r="L18" t="n">
        <v>0</v>
      </c>
      <c r="M18" t="n">
        <v>30000</v>
      </c>
      <c r="N18" t="inlineStr"/>
      <c r="O18" t="n">
        <v>0</v>
      </c>
      <c r="P18" t="n">
        <v>0</v>
      </c>
      <c r="Q18" t="n">
        <v>0</v>
      </c>
      <c r="R18" t="n">
        <v>9000</v>
      </c>
      <c r="S18" t="n">
        <v>460</v>
      </c>
      <c r="T18" t="n">
        <v>108</v>
      </c>
      <c r="U18" t="n">
        <v>130</v>
      </c>
      <c r="V18" t="n">
        <v>16000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Legacy sight override 6c0; preserve as audit metadata, not a claim of standard sight equivalence. AA/ground spool-up not simulated.</t>
        </is>
      </c>
      <c r="AE18" t="inlineStr">
        <is>
          <t>chgtnk</t>
        </is>
      </c>
      <c r="AF18" t="inlineStr">
        <is>
          <t>{"carrier": ["gatling-turret"], "drive": ["diesel", "diesel-large"]}</t>
        </is>
      </c>
      <c r="AG18" t="inlineStr">
        <is>
          <t>["pdl"]</t>
        </is>
      </c>
      <c r="AH18" t="inlineStr"/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flame-turret</t>
        </is>
      </c>
      <c r="B19" t="inlineStr">
        <is>
          <t>carrier</t>
        </is>
      </c>
      <c r="C19" t="inlineStr">
        <is>
          <t>["china"]</t>
        </is>
      </c>
      <c r="D19" t="n">
        <v>0</v>
      </c>
      <c r="E19" t="n">
        <v>0</v>
      </c>
      <c r="F19" t="n">
        <v>1</v>
      </c>
      <c r="G19" t="n">
        <v>75</v>
      </c>
      <c r="H19" t="n">
        <v>400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</v>
      </c>
      <c r="Z19" t="n">
        <v>4</v>
      </c>
      <c r="AA19" t="n">
        <v>45</v>
      </c>
      <c r="AB19" t="n">
        <v>0</v>
      </c>
      <c r="AC19" t="n">
        <v>0</v>
      </c>
      <c r="AD19" t="inlineStr">
        <is>
          <t>Normal attack only; deployed Firewall has additional armaments and state changes.</t>
        </is>
      </c>
      <c r="AE19" t="inlineStr">
        <is>
          <t>CHDragonFlamer</t>
        </is>
      </c>
      <c r="AF19" t="inlineStr"/>
      <c r="AG19" t="inlineStr"/>
      <c r="AH19" t="inlineStr">
        <is>
          <t>["dragon-flamer"]</t>
        </is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dragon-flamer</t>
        </is>
      </c>
      <c r="B20" t="inlineStr">
        <is>
          <t>weapon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125</v>
      </c>
      <c r="H20" t="n">
        <v>400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</v>
      </c>
      <c r="AC20" t="n">
        <v>0</v>
      </c>
      <c r="AD20" t="inlineStr"/>
      <c r="AE20" t="inlineStr">
        <is>
          <t>CHDragonFlamer</t>
        </is>
      </c>
      <c r="AF20" t="inlineStr"/>
      <c r="AG20" t="inlineStr"/>
      <c r="AH20" t="inlineStr"/>
      <c r="AI20" t="inlineStr">
        <is>
          <t>["flame-fuel"]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flame-fuel</t>
        </is>
      </c>
      <c r="B21" t="inlineStr">
        <is>
          <t>ammunition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50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2500</v>
      </c>
      <c r="AD21" t="inlineStr">
        <is>
          <t>Raw primary warhead only; fire clusters, heat and garrison damage omitted from calculator.</t>
        </is>
      </c>
      <c r="AE21" t="inlineStr"/>
      <c r="AF21" t="inlineStr"/>
      <c r="AG21" t="inlineStr"/>
      <c r="AH21" t="inlineStr"/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gatling-turret</t>
        </is>
      </c>
      <c r="B22" t="inlineStr">
        <is>
          <t>carrier</t>
        </is>
      </c>
      <c r="C22" t="inlineStr">
        <is>
          <t>["china"]</t>
        </is>
      </c>
      <c r="D22" t="n">
        <v>0</v>
      </c>
      <c r="E22" t="n">
        <v>0</v>
      </c>
      <c r="F22" t="n">
        <v>1</v>
      </c>
      <c r="G22" t="n">
        <v>100</v>
      </c>
      <c r="H22" t="n">
        <v>500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12</v>
      </c>
      <c r="AB22" t="n">
        <v>0</v>
      </c>
      <c r="AC22" t="n">
        <v>0</v>
      </c>
      <c r="AD22" t="inlineStr">
        <is>
          <t>Ground cold-state representative only. Reload stages 12/8/4/2 ticks, separate air/ground charge, thresholds 1/3/5, reset delay 40. Full attack-state behavior not modeled.</t>
        </is>
      </c>
      <c r="AE22" t="inlineStr">
        <is>
          <t>^ChinaGatling</t>
        </is>
      </c>
      <c r="AF22" t="inlineStr"/>
      <c r="AG22" t="inlineStr"/>
      <c r="AH22" t="inlineStr">
        <is>
          <t>["gatling-gun"]</t>
        </is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gatling-gun</t>
        </is>
      </c>
      <c r="B23" t="inlineStr">
        <is>
          <t>weapon</t>
        </is>
      </c>
      <c r="C23" t="inlineStr">
        <is>
          <t>["china"]</t>
        </is>
      </c>
      <c r="D23" t="n">
        <v>0</v>
      </c>
      <c r="E23" t="n">
        <v>0</v>
      </c>
      <c r="F23" t="n">
        <v>1</v>
      </c>
      <c r="G23" t="n">
        <v>150</v>
      </c>
      <c r="H23" t="n">
        <v>500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0</v>
      </c>
      <c r="AD23" t="inlineStr">
        <is>
          <t>Ground range 6 cells; AA uses ChinaMGatt.0 with range 9.5. Not a single fixed weapon.</t>
        </is>
      </c>
      <c r="AE23" t="inlineStr">
        <is>
          <t>ChinaMGatt.0G</t>
        </is>
      </c>
      <c r="AF23" t="inlineStr"/>
      <c r="AG23" t="inlineStr"/>
      <c r="AH23" t="inlineStr"/>
      <c r="AI23" t="inlineStr">
        <is>
          <t>["gatling-rounds"]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gatling-rounds</t>
        </is>
      </c>
      <c r="B24" t="inlineStr">
        <is>
          <t>ammunition</t>
        </is>
      </c>
      <c r="C24" t="inlineStr">
        <is>
          <t>["china"]</t>
        </is>
      </c>
      <c r="D24" t="n">
        <v>0</v>
      </c>
      <c r="E24" t="n">
        <v>0</v>
      </c>
      <c r="F24" t="n">
        <v>1</v>
      </c>
      <c r="G24" t="n">
        <v>100</v>
      </c>
      <c r="H24" t="n">
        <v>400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350</v>
      </c>
      <c r="AD24" t="inlineStr">
        <is>
          <t>Raw ground damage 350; AA raw damage 660. Values are not DPS.</t>
        </is>
      </c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juggernaut</t>
        </is>
      </c>
      <c r="B25" t="inlineStr">
        <is>
          <t>chassis</t>
        </is>
      </c>
      <c r="C25" t="inlineStr">
        <is>
          <t>["gdi"]</t>
        </is>
      </c>
      <c r="D25" t="n">
        <v>3</v>
      </c>
      <c r="E25" t="n">
        <v>0</v>
      </c>
      <c r="F25" t="n">
        <v>3</v>
      </c>
      <c r="G25" t="n">
        <v>1100</v>
      </c>
      <c r="H25" t="n">
        <v>16000</v>
      </c>
      <c r="I25" t="n">
        <v>10</v>
      </c>
      <c r="J25" t="n">
        <v>0</v>
      </c>
      <c r="K25" t="n">
        <v>0</v>
      </c>
      <c r="L25" t="n">
        <v>0</v>
      </c>
      <c r="M25" t="n">
        <v>60000</v>
      </c>
      <c r="N25" t="inlineStr"/>
      <c r="O25" t="n">
        <v>0</v>
      </c>
      <c r="P25" t="n">
        <v>0</v>
      </c>
      <c r="Q25" t="n">
        <v>0</v>
      </c>
      <c r="R25" t="n">
        <v>20000</v>
      </c>
      <c r="S25" t="n">
        <v>460</v>
      </c>
      <c r="T25" t="n">
        <v>50</v>
      </c>
      <c r="U25" t="n">
        <v>50</v>
      </c>
      <c r="V25" t="n">
        <v>30000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>
        <is>
          <t>{"carrier": ["fixed-triple"], "drive": ["diesel"]}</t>
        </is>
      </c>
      <c r="AG25" t="inlineStr">
        <is>
          <t>[]</t>
        </is>
      </c>
      <c r="AH25" t="inlineStr"/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heavy-tesla</t>
        </is>
      </c>
      <c r="B26" t="inlineStr">
        <is>
          <t>chassis</t>
        </is>
      </c>
      <c r="C26" t="inlineStr">
        <is>
          <t>["soviet"]</t>
        </is>
      </c>
      <c r="D26" t="n">
        <v>2</v>
      </c>
      <c r="E26" t="n">
        <v>0</v>
      </c>
      <c r="F26" t="n">
        <v>2</v>
      </c>
      <c r="G26" t="n">
        <v>600</v>
      </c>
      <c r="H26" t="n">
        <v>8000</v>
      </c>
      <c r="I26" t="n">
        <v>10</v>
      </c>
      <c r="J26" t="n">
        <v>0</v>
      </c>
      <c r="K26" t="n">
        <v>0</v>
      </c>
      <c r="L26" t="n">
        <v>0</v>
      </c>
      <c r="M26" t="n">
        <v>48000</v>
      </c>
      <c r="N26" t="inlineStr"/>
      <c r="O26" t="n">
        <v>0</v>
      </c>
      <c r="P26" t="n">
        <v>0</v>
      </c>
      <c r="Q26" t="n">
        <v>0</v>
      </c>
      <c r="R26" t="n">
        <v>10000</v>
      </c>
      <c r="S26" t="n">
        <v>260</v>
      </c>
      <c r="T26" t="n">
        <v>100</v>
      </c>
      <c r="U26" t="n">
        <v>110</v>
      </c>
      <c r="V26" t="n">
        <v>18000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  <c r="AF26" t="inlineStr">
        <is>
          <t>{"carrier": ["twin-coil"], "drive": ["diesel", "nuclear"]}</t>
        </is>
      </c>
      <c r="AG26" t="inlineStr">
        <is>
          <t>[]</t>
        </is>
      </c>
      <c r="AH26" t="inlineStr"/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diesel</t>
        </is>
      </c>
      <c r="B27" t="inlineStr">
        <is>
          <t>drive</t>
        </is>
      </c>
      <c r="C27" t="inlineStr">
        <is>
          <t>["china", "gdi", "soviet"]</t>
        </is>
      </c>
      <c r="D27" t="n">
        <v>0</v>
      </c>
      <c r="E27" t="n">
        <v>0</v>
      </c>
      <c r="F27" t="n">
        <v>1</v>
      </c>
      <c r="G27" t="n">
        <v>100</v>
      </c>
      <c r="H27" t="n">
        <v>600</v>
      </c>
      <c r="I27" t="n">
        <v>0</v>
      </c>
      <c r="J27" t="n">
        <v>500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diesel-large</t>
        </is>
      </c>
      <c r="B28" t="inlineStr">
        <is>
          <t>drive</t>
        </is>
      </c>
      <c r="C28" t="inlineStr">
        <is>
          <t>["china", "gdi", "soviet"]</t>
        </is>
      </c>
      <c r="D28" t="n">
        <v>1</v>
      </c>
      <c r="E28" t="n">
        <v>0</v>
      </c>
      <c r="F28" t="n">
        <v>2</v>
      </c>
      <c r="G28" t="n">
        <v>200</v>
      </c>
      <c r="H28" t="n">
        <v>600</v>
      </c>
      <c r="I28" t="n">
        <v>0</v>
      </c>
      <c r="J28" t="n">
        <v>550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nuclear</t>
        </is>
      </c>
      <c r="B29" t="inlineStr">
        <is>
          <t>drive</t>
        </is>
      </c>
      <c r="C29" t="inlineStr">
        <is>
          <t>["china", "soviet"]</t>
        </is>
      </c>
      <c r="D29" t="n">
        <v>1</v>
      </c>
      <c r="E29" t="n">
        <v>1</v>
      </c>
      <c r="F29" t="n">
        <v>2</v>
      </c>
      <c r="G29" t="n">
        <v>400</v>
      </c>
      <c r="H29" t="n">
        <v>600</v>
      </c>
      <c r="I29" t="n">
        <v>0</v>
      </c>
      <c r="J29" t="n">
        <v>758.75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baseline-generator</t>
        </is>
      </c>
      <c r="B30" t="inlineStr">
        <is>
          <t>generator</t>
        </is>
      </c>
      <c r="C30" t="inlineStr">
        <is>
          <t>["china", "gdi", "soviet"]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0.25</v>
      </c>
      <c r="L30" t="n">
        <v>100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efficient-generator</t>
        </is>
      </c>
      <c r="B31" t="inlineStr">
        <is>
          <t>generator</t>
        </is>
      </c>
      <c r="C31" t="inlineStr">
        <is>
          <t>["china", "gdi", "soviet"]</t>
        </is>
      </c>
      <c r="D31" t="n">
        <v>1</v>
      </c>
      <c r="E31" t="n">
        <v>0</v>
      </c>
      <c r="F31" t="n">
        <v>2</v>
      </c>
      <c r="G31" t="n">
        <v>200</v>
      </c>
      <c r="H31" t="n">
        <v>0</v>
      </c>
      <c r="I31" t="n">
        <v>0</v>
      </c>
      <c r="J31" t="n">
        <v>0</v>
      </c>
      <c r="K31" t="n">
        <v>0.75</v>
      </c>
      <c r="L31" t="n">
        <v>120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heavy</t>
        </is>
      </c>
      <c r="B32" t="inlineStr">
        <is>
          <t>armor</t>
        </is>
      </c>
      <c r="C32" t="inlineStr">
        <is>
          <t>["china", "gdi", "soviet"]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Heavy</t>
        </is>
      </c>
      <c r="O32" t="n">
        <v>100</v>
      </c>
      <c r="P32" t="n">
        <v>100</v>
      </c>
      <c r="Q32" t="n">
        <v>100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reflector</t>
        </is>
      </c>
      <c r="B33" t="inlineStr">
        <is>
          <t>armor</t>
        </is>
      </c>
      <c r="C33" t="inlineStr">
        <is>
          <t>["china", "gdi", "soviet"]</t>
        </is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57.5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Reflector</t>
        </is>
      </c>
      <c r="O33" t="n">
        <v>100</v>
      </c>
      <c r="P33" t="n">
        <v>100</v>
      </c>
      <c r="Q33" t="n">
        <v>100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cannon-turret</t>
        </is>
      </c>
      <c r="B34" t="inlineStr">
        <is>
          <t>carrier</t>
        </is>
      </c>
      <c r="C34" t="inlineStr">
        <is>
          <t>["china"]</t>
        </is>
      </c>
      <c r="D34" t="n">
        <v>0</v>
      </c>
      <c r="E34" t="n">
        <v>0</v>
      </c>
      <c r="F34" t="n">
        <v>1</v>
      </c>
      <c r="G34" t="n">
        <v>100</v>
      </c>
      <c r="H34" t="n">
        <v>500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50</v>
      </c>
      <c r="AB34" t="n">
        <v>0</v>
      </c>
      <c r="AC34" t="n">
        <v>0</v>
      </c>
      <c r="AD34" t="inlineStr"/>
      <c r="AE34" t="inlineStr"/>
      <c r="AF34" t="inlineStr"/>
      <c r="AG34" t="inlineStr"/>
      <c r="AH34" t="inlineStr">
        <is>
          <t>["cannon"]</t>
        </is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autoloader-turret</t>
        </is>
      </c>
      <c r="B35" t="inlineStr">
        <is>
          <t>carrier</t>
        </is>
      </c>
      <c r="C35" t="inlineStr">
        <is>
          <t>["china"]</t>
        </is>
      </c>
      <c r="D35" t="n">
        <v>1</v>
      </c>
      <c r="E35" t="n">
        <v>1</v>
      </c>
      <c r="F35" t="n">
        <v>1</v>
      </c>
      <c r="G35" t="n">
        <v>400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5</v>
      </c>
      <c r="AA35" t="n">
        <v>50</v>
      </c>
      <c r="AB35" t="n">
        <v>0</v>
      </c>
      <c r="AC35" t="n">
        <v>0</v>
      </c>
      <c r="AD35" t="inlineStr">
        <is>
          <t>Same visible single barrel. Autoloading mechanism changes firing cycle, not barrel count. Baseline mount mass retained; hardware price includes autoloader. Global CP credit value applies.</t>
        </is>
      </c>
      <c r="AE35" t="inlineStr">
        <is>
          <t>CHBattlemasterCannon.Autoloader</t>
        </is>
      </c>
      <c r="AF35" t="inlineStr"/>
      <c r="AG35" t="inlineStr"/>
      <c r="AH35" t="inlineStr">
        <is>
          <t>["cannon"]</t>
        </is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fixed-triple</t>
        </is>
      </c>
      <c r="B36" t="inlineStr">
        <is>
          <t>carrier</t>
        </is>
      </c>
      <c r="C36" t="inlineStr">
        <is>
          <t>["gdi"]</t>
        </is>
      </c>
      <c r="D36" t="n">
        <v>0</v>
      </c>
      <c r="E36" t="n">
        <v>0</v>
      </c>
      <c r="F36" t="n">
        <v>3</v>
      </c>
      <c r="G36" t="n">
        <v>300</v>
      </c>
      <c r="H36" t="n">
        <v>1500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1</v>
      </c>
      <c r="AA36" t="n">
        <v>100</v>
      </c>
      <c r="AB36" t="n">
        <v>0</v>
      </c>
      <c r="AC36" t="n">
        <v>0</v>
      </c>
      <c r="AD36" t="inlineStr"/>
      <c r="AE36" t="inlineStr"/>
      <c r="AF36" t="inlineStr"/>
      <c r="AG36" t="inlineStr"/>
      <c r="AH36" t="inlineStr">
        <is>
          <t>["artillery"]</t>
        </is>
      </c>
      <c r="AI36" t="inlineStr"/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33</v>
      </c>
    </row>
    <row r="37">
      <c r="A37" t="inlineStr">
        <is>
          <t>twin-coil</t>
        </is>
      </c>
      <c r="B37" t="inlineStr">
        <is>
          <t>carrier</t>
        </is>
      </c>
      <c r="C37" t="inlineStr">
        <is>
          <t>["soviet"]</t>
        </is>
      </c>
      <c r="D37" t="n">
        <v>0</v>
      </c>
      <c r="E37" t="n">
        <v>0</v>
      </c>
      <c r="F37" t="n">
        <v>2</v>
      </c>
      <c r="G37" t="n">
        <v>200</v>
      </c>
      <c r="H37" t="n">
        <v>500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1</v>
      </c>
      <c r="AA37" t="n">
        <v>100</v>
      </c>
      <c r="AB37" t="n">
        <v>0</v>
      </c>
      <c r="AC37" t="n">
        <v>0</v>
      </c>
      <c r="AD37" t="inlineStr"/>
      <c r="AE37" t="inlineStr"/>
      <c r="AF37" t="inlineStr"/>
      <c r="AG37" t="inlineStr"/>
      <c r="AH37" t="inlineStr">
        <is>
          <t>["tesla"]</t>
        </is>
      </c>
      <c r="AI37" t="inlineStr"/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</v>
      </c>
    </row>
    <row r="38">
      <c r="A38" t="inlineStr">
        <is>
          <t>cannon</t>
        </is>
      </c>
      <c r="B38" t="inlineStr">
        <is>
          <t>weapon</t>
        </is>
      </c>
      <c r="C38" t="inlineStr">
        <is>
          <t>["china"]</t>
        </is>
      </c>
      <c r="D38" t="n">
        <v>0</v>
      </c>
      <c r="E38" t="n">
        <v>0</v>
      </c>
      <c r="F38" t="n">
        <v>1</v>
      </c>
      <c r="G38" t="n">
        <v>200</v>
      </c>
      <c r="H38" t="n">
        <v>500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inlineStr"/>
      <c r="AE38" t="inlineStr">
        <is>
          <t>CHBattlemasterCannon</t>
        </is>
      </c>
      <c r="AF38" t="inlineStr"/>
      <c r="AG38" t="inlineStr"/>
      <c r="AH38" t="inlineStr"/>
      <c r="AI38" t="inlineStr">
        <is>
          <t>["shell", "nuclear-shell"]</t>
        </is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artillery</t>
        </is>
      </c>
      <c r="B39" t="inlineStr">
        <is>
          <t>weapon</t>
        </is>
      </c>
      <c r="C39" t="inlineStr">
        <is>
          <t>["gdi"]</t>
        </is>
      </c>
      <c r="D39" t="n">
        <v>0</v>
      </c>
      <c r="E39" t="n">
        <v>0</v>
      </c>
      <c r="F39" t="n">
        <v>3</v>
      </c>
      <c r="G39" t="n">
        <v>300</v>
      </c>
      <c r="H39" t="n">
        <v>900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/>
      <c r="AE39" t="inlineStr">
        <is>
          <t>JuggernautGun</t>
        </is>
      </c>
      <c r="AF39" t="inlineStr"/>
      <c r="AG39" t="inlineStr"/>
      <c r="AH39" t="inlineStr"/>
      <c r="AI39" t="inlineStr">
        <is>
          <t>["artillery-shell", "emp-shell"]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tesla</t>
        </is>
      </c>
      <c r="B40" t="inlineStr">
        <is>
          <t>weapon</t>
        </is>
      </c>
      <c r="C40" t="inlineStr">
        <is>
          <t>["soviet"]</t>
        </is>
      </c>
      <c r="D40" t="n">
        <v>1</v>
      </c>
      <c r="E40" t="n">
        <v>0</v>
      </c>
      <c r="F40" t="n">
        <v>2</v>
      </c>
      <c r="G40" t="n">
        <v>350</v>
      </c>
      <c r="H40" t="n">
        <v>700</v>
      </c>
      <c r="I40" t="n">
        <v>50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/>
      <c r="AE40" t="inlineStr">
        <is>
          <t>TTankZapMK2</t>
        </is>
      </c>
      <c r="AF40" t="inlineStr"/>
      <c r="AG40" t="inlineStr"/>
      <c r="AH40" t="inlineStr"/>
      <c r="AI40" t="inlineStr">
        <is>
          <t>["discharge"]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shell</t>
        </is>
      </c>
      <c r="B41" t="inlineStr">
        <is>
          <t>ammunition</t>
        </is>
      </c>
      <c r="C41" t="inlineStr">
        <is>
          <t>["china"]</t>
        </is>
      </c>
      <c r="D41" t="n">
        <v>0</v>
      </c>
      <c r="E41" t="n">
        <v>0</v>
      </c>
      <c r="F41" t="n">
        <v>1</v>
      </c>
      <c r="G41" t="n">
        <v>50</v>
      </c>
      <c r="H41" t="n">
        <v>400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5000</v>
      </c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nuclear-shell</t>
        </is>
      </c>
      <c r="B42" t="inlineStr">
        <is>
          <t>ammunition</t>
        </is>
      </c>
      <c r="C42" t="inlineStr">
        <is>
          <t>["china"]</t>
        </is>
      </c>
      <c r="D42" t="n">
        <v>1</v>
      </c>
      <c r="E42" t="n">
        <v>1</v>
      </c>
      <c r="F42" t="n">
        <v>1</v>
      </c>
      <c r="G42" t="n">
        <v>350</v>
      </c>
      <c r="H42" t="n">
        <v>400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10000</v>
      </c>
      <c r="AD42" t="inlineStr">
        <is>
          <t>First fit: same mass, no additional electric load; +300 hardware offsets 1 CP. Radiation, falloff and recoil need engine composition, not just damage copying.</t>
        </is>
      </c>
      <c r="AE42" t="inlineStr">
        <is>
          <t>CHBattlemasterCannon.Nuclear_Shells</t>
        </is>
      </c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artillery-shell</t>
        </is>
      </c>
      <c r="B43" t="inlineStr">
        <is>
          <t>ammunition</t>
        </is>
      </c>
      <c r="C43" t="inlineStr">
        <is>
          <t>["gdi"]</t>
        </is>
      </c>
      <c r="D43" t="n">
        <v>0</v>
      </c>
      <c r="E43" t="n">
        <v>0</v>
      </c>
      <c r="F43" t="n">
        <v>3</v>
      </c>
      <c r="G43" t="n">
        <v>200</v>
      </c>
      <c r="H43" t="n">
        <v>1000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emp-shell</t>
        </is>
      </c>
      <c r="B44" t="inlineStr">
        <is>
          <t>ammunition</t>
        </is>
      </c>
      <c r="C44" t="inlineStr">
        <is>
          <t>["gdi"]</t>
        </is>
      </c>
      <c r="D44" t="n">
        <v>1</v>
      </c>
      <c r="E44" t="n">
        <v>1</v>
      </c>
      <c r="F44" t="n">
        <v>3</v>
      </c>
      <c r="G44" t="n">
        <v>300</v>
      </c>
      <c r="H44" t="n">
        <v>1000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/>
      <c r="AE44" t="inlineStr">
        <is>
          <t>JuggernautGun.Emp</t>
        </is>
      </c>
      <c r="AF44" t="inlineStr"/>
      <c r="AG44" t="inlineStr"/>
      <c r="AH44" t="inlineStr"/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discharge</t>
        </is>
      </c>
      <c r="B45" t="inlineStr">
        <is>
          <t>ammunition</t>
        </is>
      </c>
      <c r="C45" t="inlineStr">
        <is>
          <t>["soviet"]</t>
        </is>
      </c>
      <c r="D45" t="n">
        <v>0</v>
      </c>
      <c r="E45" t="n">
        <v>0</v>
      </c>
      <c r="F45" t="n">
        <v>2</v>
      </c>
      <c r="G45" t="n">
        <v>100</v>
      </c>
      <c r="H45" t="n">
        <v>200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Fixed payload-package mass, not physical shells; no duplicate Tesla electrical charge.</t>
        </is>
      </c>
      <c r="AE45" t="inlineStr"/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pdl</t>
        </is>
      </c>
      <c r="B46" t="inlineStr">
        <is>
          <t>equipment</t>
        </is>
      </c>
      <c r="C46" t="inlineStr">
        <is>
          <t>["china"]</t>
        </is>
      </c>
      <c r="D46" t="n">
        <v>1</v>
      </c>
      <c r="E46" t="n">
        <v>1</v>
      </c>
      <c r="F46" t="n">
        <v>3</v>
      </c>
      <c r="G46" t="n">
        <v>650</v>
      </c>
      <c r="H46" t="n">
        <v>300</v>
      </c>
      <c r="I46" t="n">
        <v>47</v>
      </c>
      <c r="J46" t="n">
        <v>0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/>
      <c r="AE46" t="inlineStr">
        <is>
          <t>^PointLaserDefenseSystem</t>
        </is>
      </c>
      <c r="AF46" t="inlineStr"/>
      <c r="AG46" t="inlineStr"/>
      <c r="AH46" t="inlineStr"/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Fraktionen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che3</t>
        </is>
      </c>
      <c r="B2" t="inlineStr">
        <is>
          <t>Tank Hunter</t>
        </is>
      </c>
      <c r="C2" t="inlineStr">
        <is>
          <t>china</t>
        </is>
      </c>
      <c r="D2" t="n">
        <v>300</v>
      </c>
      <c r="E2" t="n">
        <v>100</v>
      </c>
      <c r="F2" t="n">
        <v>1</v>
      </c>
      <c r="G2" t="n">
        <v>1</v>
      </c>
    </row>
    <row r="3">
      <c r="A3" t="inlineStr">
        <is>
          <t>che1</t>
        </is>
      </c>
      <c r="B3" t="inlineStr">
        <is>
          <t>Red Guard</t>
        </is>
      </c>
      <c r="C3" t="inlineStr">
        <is>
          <t>china</t>
        </is>
      </c>
      <c r="D3" t="n">
        <v>80</v>
      </c>
      <c r="E3" t="n">
        <v>100</v>
      </c>
      <c r="F3" t="n">
        <v>1</v>
      </c>
      <c r="G3" t="n">
        <v>1</v>
      </c>
    </row>
    <row r="4">
      <c r="A4" t="inlineStr">
        <is>
          <t>minigunner</t>
        </is>
      </c>
      <c r="B4" t="inlineStr">
        <is>
          <t>Minigunner</t>
        </is>
      </c>
      <c r="C4" t="inlineStr">
        <is>
          <t>china</t>
        </is>
      </c>
      <c r="D4" t="n">
        <v>200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Design</t>
        </is>
      </c>
      <c r="B1" s="1" t="inlineStr">
        <is>
          <t>Infanterie</t>
        </is>
      </c>
      <c r="C1" s="1" t="inlineStr">
        <is>
          <t>Anzahl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Overlord Bunker / mixed crew</t>
        </is>
      </c>
      <c r="B2" t="inlineStr">
        <is>
          <t>che3</t>
        </is>
      </c>
      <c r="C2" t="n">
        <v>2</v>
      </c>
      <c r="D2">
        <f>C2*VLOOKUP(B2,Infanterie!$A$2:$G$4,4,FALSE)</f>
        <v/>
      </c>
      <c r="E2">
        <f>C2*VLOOKUP(B2,Infanterie!$A$2:$G$4,5,FALSE)</f>
        <v/>
      </c>
      <c r="F2">
        <f>C2*VLOOKUP(B2,Infanterie!$A$2:$G$4,6,FALSE)</f>
        <v/>
      </c>
      <c r="G2">
        <f>IF(C2&gt;0,VLOOKUP(B2,Infanterie!$A$2:$G$4,7,FALSE),0)</f>
        <v/>
      </c>
    </row>
    <row r="3">
      <c r="A3" t="inlineStr">
        <is>
          <t>Overlord Bunker / mixed crew</t>
        </is>
      </c>
      <c r="B3" t="inlineStr">
        <is>
          <t>che1</t>
        </is>
      </c>
      <c r="C3" t="n">
        <v>2</v>
      </c>
      <c r="D3">
        <f>C3*VLOOKUP(B3,Infanterie!$A$2:$G$4,4,FALSE)</f>
        <v/>
      </c>
      <c r="E3">
        <f>C3*VLOOKUP(B3,Infanterie!$A$2:$G$4,5,FALSE)</f>
        <v/>
      </c>
      <c r="F3">
        <f>C3*VLOOKUP(B3,Infanterie!$A$2:$G$4,6,FALSE)</f>
        <v/>
      </c>
      <c r="G3">
        <f>IF(C3&gt;0,VLOOKUP(B3,Infanterie!$A$2:$G$4,7,FALSE),0)</f>
        <v/>
      </c>
    </row>
    <row r="4">
      <c r="A4" t="inlineStr">
        <is>
          <t>Overlord Bunker / partial crew</t>
        </is>
      </c>
      <c r="B4" t="inlineStr">
        <is>
          <t>minigunner</t>
        </is>
      </c>
      <c r="C4" t="n">
        <v>2</v>
      </c>
      <c r="D4">
        <f>C4*VLOOKUP(B4,Infanterie!$A$2:$G$4,4,FALSE)</f>
        <v/>
      </c>
      <c r="E4">
        <f>C4*VLOOKUP(B4,Infanterie!$A$2:$G$4,5,FALSE)</f>
        <v/>
      </c>
      <c r="F4">
        <f>C4*VLOOKUP(B4,Infanterie!$A$2:$G$4,6,FALSE)</f>
        <v/>
      </c>
      <c r="G4">
        <f>IF(C4&gt;0,VLOOKUP(B4,Infanterie!$A$2:$G$4,7,FALSE),0)</f>
        <v/>
      </c>
    </row>
    <row r="5">
      <c r="A5" t="inlineStr">
        <is>
          <t>Overlord Bunker</t>
        </is>
      </c>
      <c r="B5" t="inlineStr">
        <is>
          <t>che3</t>
        </is>
      </c>
      <c r="C5" t="n">
        <v>4</v>
      </c>
      <c r="D5">
        <f>C5*VLOOKUP(B5,Infanterie!$A$2:$G$4,4,FALSE)</f>
        <v/>
      </c>
      <c r="E5">
        <f>C5*VLOOKUP(B5,Infanterie!$A$2:$G$4,5,FALSE)</f>
        <v/>
      </c>
      <c r="F5">
        <f>C5*VLOOKUP(B5,Infanterie!$A$2:$G$4,6,FALSE)</f>
        <v/>
      </c>
      <c r="G5">
        <f>IF(C5&gt;0,VLOOKUP(B5,Infanterie!$A$2:$G$4,7,FALSE),0)</f>
        <v/>
      </c>
    </row>
    <row r="6">
      <c r="A6" t="inlineStr">
        <is>
          <t>Overlord Bunker PDL</t>
        </is>
      </c>
      <c r="B6" t="inlineStr">
        <is>
          <t>che3</t>
        </is>
      </c>
      <c r="C6" t="n">
        <v>4</v>
      </c>
      <c r="D6">
        <f>C6*VLOOKUP(B6,Infanterie!$A$2:$G$4,4,FALSE)</f>
        <v/>
      </c>
      <c r="E6">
        <f>C6*VLOOKUP(B6,Infanterie!$A$2:$G$4,5,FALSE)</f>
        <v/>
      </c>
      <c r="F6">
        <f>C6*VLOOKUP(B6,Infanterie!$A$2:$G$4,6,FALSE)</f>
        <v/>
      </c>
      <c r="G6">
        <f>IF(C6&gt;0,VLOOKUP(B6,Infanterie!$A$2:$G$4,7,FALSE),0)</f>
        <v/>
      </c>
    </row>
    <row r="7">
      <c r="A7" t="inlineStr">
        <is>
          <t>Overlord Bunker Reflector</t>
        </is>
      </c>
      <c r="B7" t="inlineStr">
        <is>
          <t>che3</t>
        </is>
      </c>
      <c r="C7" t="n">
        <v>4</v>
      </c>
      <c r="D7">
        <f>C7*VLOOKUP(B7,Infanterie!$A$2:$G$4,4,FALSE)</f>
        <v/>
      </c>
      <c r="E7">
        <f>C7*VLOOKUP(B7,Infanterie!$A$2:$G$4,5,FALSE)</f>
        <v/>
      </c>
      <c r="F7">
        <f>C7*VLOOKUP(B7,Infanterie!$A$2:$G$4,6,FALSE)</f>
        <v/>
      </c>
      <c r="G7">
        <f>IF(C7&gt;0,VLOOKUP(B7,Infanterie!$A$2:$G$4,7,FALSE),0)</f>
        <v/>
      </c>
    </row>
  </sheetData>
  <dataValidations count="2">
    <dataValidation sqref="B2:B7" showDropDown="0" showInputMessage="0" showErrorMessage="1" allowBlank="0" type="list">
      <formula1>InfantryIDs</formula1>
    </dataValidation>
    <dataValidation sqref="C2:C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6" customWidth="1" min="37" max="37"/>
    <col width="20" customWidth="1" min="38" max="38"/>
    <col width="27" customWidth="1" min="39" max="39"/>
    <col width="22" customWidth="1" min="40" max="40"/>
    <col width="16" customWidth="1" min="41" max="41"/>
    <col width="20" customWidth="1" min="42" max="42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  <c r="AF1" s="1" t="inlineStr">
        <is>
          <t>Aufsatztraeger</t>
        </is>
      </c>
      <c r="AG1" s="1" t="inlineStr">
        <is>
          <t>Aufsatzwaffe</t>
        </is>
      </c>
      <c r="AH1" s="1" t="inlineStr">
        <is>
          <t>Aufsatzmunition</t>
        </is>
      </c>
      <c r="AI1" s="1" t="inlineStr">
        <is>
          <t>Besatzungspreis</t>
        </is>
      </c>
      <c r="AJ1" s="1" t="inlineStr">
        <is>
          <t>Besatzungsmasse</t>
        </is>
      </c>
      <c r="AK1" s="1" t="inlineStr">
        <is>
          <t>Besatzungstech</t>
        </is>
      </c>
      <c r="AL1" s="1" t="inlineStr">
        <is>
          <t>Aufsatz Reichweite</t>
        </is>
      </c>
      <c r="AM1" s="1" t="inlineStr">
        <is>
          <t>Aufsatz Mindestreichweite</t>
        </is>
      </c>
      <c r="AN1" s="1" t="inlineStr">
        <is>
          <t>Aufsatz Reload Ticks</t>
        </is>
      </c>
      <c r="AO1" s="1" t="inlineStr">
        <is>
          <t>Aufsatz Salve</t>
        </is>
      </c>
      <c r="AP1" s="1" t="inlineStr">
        <is>
          <t>Aufsatz Rohschaden</t>
        </is>
      </c>
    </row>
    <row r="2">
      <c r="A2" t="inlineStr">
        <is>
          <t>Overlord Mortar Roof / draft</t>
        </is>
      </c>
      <c r="B2" t="inlineStr">
        <is>
          <t>china</t>
        </is>
      </c>
      <c r="C2" t="inlineStr">
        <is>
          <t>overlord-chassis</t>
        </is>
      </c>
      <c r="D2" t="inlineStr">
        <is>
          <t>diesel-heavy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heavy-twin-turret</t>
        </is>
      </c>
      <c r="H2" t="inlineStr">
        <is>
          <t>overlord-cannon</t>
        </is>
      </c>
      <c r="I2" t="inlineStr">
        <is>
          <t>heavy-shell</t>
        </is>
      </c>
      <c r="J2" t="inlineStr"/>
      <c r="K2" t="inlineStr"/>
      <c r="L2" t="inlineStr"/>
      <c r="M2">
        <f>IF(C2="",0,VLOOKUP(C2,Bausteine!$A$2:$AS$46,4,FALSE))+IF(D2="",0,VLOOKUP(D2,Bausteine!$A$2:$AS$46,4,FALSE))+IF(E2="",0,VLOOKUP(E2,Bausteine!$A$2:$AS$46,4,FALSE))+IF(F2="",0,VLOOKUP(F2,Bausteine!$A$2:$AS$46,4,FALSE))+IF(G2="",0,VLOOKUP(G2,Bausteine!$A$2:$AS$46,4,FALSE))+IF(H2="",0,VLOOKUP(H2,Bausteine!$A$2:$AS$46,4,FALSE))+IF(I2="",0,VLOOKUP(I2,Bausteine!$A$2:$AS$46,4,FALSE))+IF(J2="",0,VLOOKUP(J2,Bausteine!$A$2:$AS$46,4,FALSE))+IF(K2="",0,VLOOKUP(K2,Bausteine!$A$2:$AS$46,4,FALSE))+IF(L2="",0,VLOOKUP(L2,Bausteine!$A$2:$AS$46,4,FALSE))+IF(AC2="",0,VLOOKUP(AC2,Bausteine!$A$2:$AS$46,4,FALSE))+IF(AF2="",0,VLOOKUP(AF2,Bausteine!$A$2:$AS$46,4,FALSE))+IF(AG2="",0,VLOOKUP(AG2,Bausteine!$A$2:$AS$46,4,FALSE))+IF(AH2="",0,VLOOKUP(AH2,Bausteine!$A$2:$AS$46,4,FALSE))</f>
        <v/>
      </c>
      <c r="N2">
        <f>IF(C2="",0,VLOOKUP(C2,Bausteine!$A$2:$AS$46,5,FALSE))+IF(D2="",0,VLOOKUP(D2,Bausteine!$A$2:$AS$46,5,FALSE))+IF(E2="",0,VLOOKUP(E2,Bausteine!$A$2:$AS$46,5,FALSE))+IF(F2="",0,VLOOKUP(F2,Bausteine!$A$2:$AS$46,5,FALSE))+IF(G2="",0,VLOOKUP(G2,Bausteine!$A$2:$AS$46,5,FALSE))+IF(H2="",0,VLOOKUP(H2,Bausteine!$A$2:$AS$46,5,FALSE))+IF(I2="",0,VLOOKUP(I2,Bausteine!$A$2:$AS$46,5,FALSE))+IF(J2="",0,VLOOKUP(J2,Bausteine!$A$2:$AS$46,5,FALSE))+IF(K2="",0,VLOOKUP(K2,Bausteine!$A$2:$AS$46,5,FALSE))+IF(L2="",0,VLOOKUP(L2,Bausteine!$A$2:$AS$46,5,FALSE))+IF(AC2="",0,VLOOKUP(AC2,Bausteine!$A$2:$AS$46,5,FALSE))+IF(AF2="",0,VLOOKUP(AF2,Bausteine!$A$2:$AS$46,5,FALSE))+IF(AG2="",0,VLOOKUP(AG2,Bausteine!$A$2:$AS$46,5,FALSE))+IF(AH2="",0,VLOOKUP(AH2,Bausteine!$A$2:$AS$46,5,FALSE))</f>
        <v/>
      </c>
      <c r="O2">
        <f>MAX(IF(C2="",0,VLOOKUP(C2,Bausteine!$A$2:$AS$46,6,FALSE)),IF(D2="",0,VLOOKUP(D2,Bausteine!$A$2:$AS$46,6,FALSE)),IF(E2="",0,VLOOKUP(E2,Bausteine!$A$2:$AS$46,6,FALSE)),IF(F2="",0,VLOOKUP(F2,Bausteine!$A$2:$AS$46,6,FALSE)),IF(G2="",0,VLOOKUP(G2,Bausteine!$A$2:$AS$46,6,FALSE)),IF(H2="",0,VLOOKUP(H2,Bausteine!$A$2:$AS$46,6,FALSE)),IF(I2="",0,VLOOKUP(I2,Bausteine!$A$2:$AS$46,6,FALSE)),IF(J2="",0,VLOOKUP(J2,Bausteine!$A$2:$AS$46,6,FALSE)),IF(K2="",0,VLOOKUP(K2,Bausteine!$A$2:$AS$46,6,FALSE)),IF(L2="",0,VLOOKUP(L2,Bausteine!$A$2:$AS$46,6,FALSE)),IF(AC2="",0,VLOOKUP(AC2,Bausteine!$A$2:$AS$46,6,FALSE)),IF(AF2="",0,VLOOKUP(AF2,Bausteine!$A$2:$AS$46,6,FALSE)),IF(AG2="",0,VLOOKUP(AG2,Bausteine!$A$2:$AS$46,6,FALSE)),IF(AH2="",0,VLOOKUP(AH2,Bausteine!$A$2:$AS$46,6,FALSE)),AK2)</f>
        <v/>
      </c>
      <c r="P2">
        <f>IF(C2="",0,VLOOKUP(C2,Bausteine!$A$2:$AS$46,7,FALSE))*IF(F2="",0,VLOOKUP(F2,Bausteine!$A$2:$AS$46,17,FALSE))/100+IF(D2="",0,VLOOKUP(D2,Bausteine!$A$2:$AS$46,7,FALSE))+IF(E2="",0,VLOOKUP(E2,Bausteine!$A$2:$AS$46,7,FALSE))+IF(G2="",0,VLOOKUP(G2,Bausteine!$A$2:$AS$46,7,FALSE))+IF(H2="",0,VLOOKUP(H2,Bausteine!$A$2:$AS$46,7,FALSE))+IF(I2="",0,VLOOKUP(I2,Bausteine!$A$2:$AS$46,7,FALSE))+IF(J2="",0,VLOOKUP(J2,Bausteine!$A$2:$AS$46,7,FALSE))+IF(K2="",0,VLOOKUP(K2,Bausteine!$A$2:$AS$46,7,FALSE))+IF(L2="",0,VLOOKUP(L2,Bausteine!$A$2:$AS$46,7,FALSE))+IF(AC2="",0,VLOOKUP(AC2,Bausteine!$A$2:$AS$46,7,FALSE))+IF(AF2="",0,VLOOKUP(AF2,Bausteine!$A$2:$AS$46,7,FALSE))+IF(AG2="",0,VLOOKUP(AG2,Bausteine!$A$2:$AS$46,7,FALSE))+IF(AH2="",0,VLOOKUP(AH2,Bausteine!$A$2:$AS$46,7,FALSE))+AI2</f>
        <v/>
      </c>
      <c r="Q2">
        <f>N2*Parameter!$B$2</f>
        <v/>
      </c>
      <c r="R2">
        <f>AE2-Q2</f>
        <v/>
      </c>
      <c r="S2">
        <f>IF(C2="",0,VLOOKUP(C2,Bausteine!$A$2:$AS$46,13,FALSE))*IF(F2="",0,VLOOKUP(F2,Bausteine!$A$2:$AS$46,16,FALSE))/100</f>
        <v/>
      </c>
      <c r="T2">
        <f>IF(C2="",0,VLOOKUP(C2,Bausteine!$A$2:$AS$46,8,FALSE))*IF(F2="",0,VLOOKUP(F2,Bausteine!$A$2:$AS$46,15,FALSE))/100+IF(D2="",0,VLOOKUP(D2,Bausteine!$A$2:$AS$46,8,FALSE))+IF(E2="",0,VLOOKUP(E2,Bausteine!$A$2:$AS$46,8,FALSE))+IF(G2="",0,VLOOKUP(G2,Bausteine!$A$2:$AS$46,8,FALSE))+IF(H2="",0,VLOOKUP(H2,Bausteine!$A$2:$AS$46,8,FALSE))+IF(I2="",0,VLOOKUP(I2,Bausteine!$A$2:$AS$46,8,FALSE))+IF(J2="",0,VLOOKUP(J2,Bausteine!$A$2:$AS$46,8,FALSE))+IF(K2="",0,VLOOKUP(K2,Bausteine!$A$2:$AS$46,8,FALSE))+IF(L2="",0,VLOOKUP(L2,Bausteine!$A$2:$AS$46,8,FALSE))+IF(AC2="",0,VLOOKUP(AC2,Bausteine!$A$2:$AS$46,8,FALSE))+IF(AF2="",0,VLOOKUP(AF2,Bausteine!$A$2:$AS$46,8,FALSE))+IF(AG2="",0,VLOOKUP(AG2,Bausteine!$A$2:$AS$46,8,FALSE))+IF(AH2="",0,VLOOKUP(AH2,Bausteine!$A$2:$AS$46,8,FALSE))+AJ2</f>
        <v/>
      </c>
      <c r="U2">
        <f>IF(C2="",0,VLOOKUP(C2,Bausteine!$A$2:$AS$46,9,FALSE))+IF(D2="",0,VLOOKUP(D2,Bausteine!$A$2:$AS$46,9,FALSE))+IF(E2="",0,VLOOKUP(E2,Bausteine!$A$2:$AS$46,9,FALSE))+IF(F2="",0,VLOOKUP(F2,Bausteine!$A$2:$AS$46,9,FALSE))+IF(G2="",0,VLOOKUP(G2,Bausteine!$A$2:$AS$46,9,FALSE))+IF(H2="",0,VLOOKUP(H2,Bausteine!$A$2:$AS$46,9,FALSE))+IF(I2="",0,VLOOKUP(I2,Bausteine!$A$2:$AS$46,9,FALSE))+IF(J2="",0,VLOOKUP(J2,Bausteine!$A$2:$AS$46,9,FALSE))+IF(K2="",0,VLOOKUP(K2,Bausteine!$A$2:$AS$46,9,FALSE))+IF(L2="",0,VLOOKUP(L2,Bausteine!$A$2:$AS$46,9,FALSE))+IF(AC2="",0,VLOOKUP(AC2,Bausteine!$A$2:$AS$46,9,FALSE))+IF(AF2="",0,VLOOKUP(AF2,Bausteine!$A$2:$AS$46,9,FALSE))+IF(AG2="",0,VLOOKUP(AG2,Bausteine!$A$2:$AS$46,9,FALSE))+IF(AH2="",0,VLOOKUP(AH2,Bausteine!$A$2:$AS$46,9,FALSE))</f>
        <v/>
      </c>
      <c r="V2">
        <f>IF(D2="",0,VLOOKUP(D2,Bausteine!$A$2:$AS$46,10,FALSE))-U2/IF(E2="",0,VLOOKUP(E2,Bausteine!$A$2:$AS$46,11,FALSE))</f>
        <v/>
      </c>
      <c r="W2">
        <f>IF(Y2&lt;&gt;"OK","",ROUND(MIN(IF(C2="",0,VLOOKUP(C2,Bausteine!$A$2:$AS$46,21,FALSE)),IF(C2="",0,VLOOKUP(C2,Bausteine!$A$2:$AS$46,20,FALSE))*(V2/T2/(IF(C2="",0,VLOOKUP(C2,Bausteine!$A$2:$AS$46,19,FALSE))/IF(C2="",0,VLOOKUP(C2,Bausteine!$A$2:$AS$46,18,FALSE))))^Parameter!$B$3),0))</f>
        <v/>
      </c>
      <c r="X2">
        <f>IF(F2="",0,VLOOKUP(F2,Bausteine!$A$2:$AS$46,14,FALSE))</f>
        <v/>
      </c>
      <c r="Y2">
        <f>IFERROR(IF(OR(AD2&lt;=0,AD2&gt;1,R2&lt;=0,T2&lt;=0,V2&lt;=0,U2&gt;IF(E2="",0,VLOOKUP(E2,Bausteine!$A$2:$AS$46,12,FALSE)),T2&gt;IF(C2="",0,VLOOKUP(C2,Bausteine!$A$2:$AS$46,22,FALSE)),IF(E2="",0,VLOOKUP(E2,Bausteine!$A$2:$AS$46,11,FALSE))&lt;=0,IF(E2="",0,VLOOKUP(E2,Bausteine!$A$2:$AS$46,11,FALSE))&gt;1),"UNGUELTIG","OK"),"FEHLER")</f>
        <v/>
      </c>
      <c r="Z2" t="n">
        <v>2650</v>
      </c>
      <c r="AA2" t="n">
        <v>54</v>
      </c>
      <c r="AB2" t="inlineStr">
        <is>
          <t>OFFLINE DRAFT: existing artytur.shp, mount on Overlord not live-tested. Proposed 650-credit additional assembly, no CP. Main cannon retained. No legacy reference target.</t>
        </is>
      </c>
      <c r="AC2" t="inlineStr"/>
      <c r="AD2">
        <f>IF(AC2="",1,IF(AC2="",0,VLOOKUP(AC2,Bausteine!$A$2:$AS$46,37,FALSE))/100)</f>
        <v/>
      </c>
      <c r="AE2">
        <f>P2*AD2</f>
        <v/>
      </c>
      <c r="AF2" t="inlineStr">
        <is>
          <t>mortar-roof-carrier</t>
        </is>
      </c>
      <c r="AG2" t="inlineStr">
        <is>
          <t>roof-mortar</t>
        </is>
      </c>
      <c r="AH2" t="inlineStr">
        <is>
          <t>mortar-he</t>
        </is>
      </c>
      <c r="AI2">
        <f>SUMIF(Startbesatzung!$A$2:$A$7,A2,Startbesatzung!$D$2:$D$7)</f>
        <v/>
      </c>
      <c r="AJ2">
        <f>SUMIF(Startbesatzung!$A$2:$A$7,A2,Startbesatzung!$E$2:$E$7)</f>
        <v/>
      </c>
      <c r="AK2">
        <f>MAX(0,IF(Startbesatzung!A2=A2,Startbesatzung!G2,0),IF(Startbesatzung!A3=A2,Startbesatzung!G3,0),IF(Startbesatzung!A4=A2,Startbesatzung!G4,0),IF(Startbesatzung!A5=A2,Startbesatzung!G5,0),IF(Startbesatzung!A6=A2,Startbesatzung!G6,0),IF(Startbesatzung!A7=A2,Startbesatzung!G7,0))</f>
        <v/>
      </c>
      <c r="AL2">
        <f>IF(AF2="","",IF(IF(AH2="",0,VLOOKUP(AH2,Bausteine!$A$2:$AS$46,38,FALSE))&gt;0,IF(AH2="",0,VLOOKUP(AH2,Bausteine!$A$2:$AS$46,38,FALSE)),IF(AG2="",0,VLOOKUP(AG2,Bausteine!$A$2:$AS$46,28,FALSE))))</f>
        <v/>
      </c>
      <c r="AM2">
        <f>IF(AF2="","",IF(AG2="",0,VLOOKUP(AG2,Bausteine!$A$2:$AS$46,44,FALSE)))</f>
        <v/>
      </c>
      <c r="AN2">
        <f>IF(AF2="","",IF(AF2="",0,VLOOKUP(AF2,Bausteine!$A$2:$AS$46,27,FALSE)))</f>
        <v/>
      </c>
      <c r="AO2">
        <f>IF(AF2="","",IF(AF2="",0,VLOOKUP(AF2,Bausteine!$A$2:$AS$46,25,FALSE)))</f>
        <v/>
      </c>
      <c r="AP2">
        <f>IF(AF2="","",IF(AH2="",0,VLOOKUP(AH2,Bausteine!$A$2:$AS$46,29,FALSE)))</f>
        <v/>
      </c>
    </row>
    <row r="3">
      <c r="A3" t="inlineStr">
        <is>
          <t>Overlord Mortar Roof PDL / draft</t>
        </is>
      </c>
      <c r="B3" t="inlineStr">
        <is>
          <t>china</t>
        </is>
      </c>
      <c r="C3" t="inlineStr">
        <is>
          <t>overlord-chassis</t>
        </is>
      </c>
      <c r="D3" t="inlineStr">
        <is>
          <t>diesel-heavy-boost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heavy-twin-turret</t>
        </is>
      </c>
      <c r="H3" t="inlineStr">
        <is>
          <t>overlord-cannon</t>
        </is>
      </c>
      <c r="I3" t="inlineStr">
        <is>
          <t>heavy-shell</t>
        </is>
      </c>
      <c r="J3" t="inlineStr">
        <is>
          <t>pdl</t>
        </is>
      </c>
      <c r="K3" t="inlineStr"/>
      <c r="L3" t="inlineStr"/>
      <c r="M3">
        <f>IF(C3="",0,VLOOKUP(C3,Bausteine!$A$2:$AS$46,4,FALSE))+IF(D3="",0,VLOOKUP(D3,Bausteine!$A$2:$AS$46,4,FALSE))+IF(E3="",0,VLOOKUP(E3,Bausteine!$A$2:$AS$46,4,FALSE))+IF(F3="",0,VLOOKUP(F3,Bausteine!$A$2:$AS$46,4,FALSE))+IF(G3="",0,VLOOKUP(G3,Bausteine!$A$2:$AS$46,4,FALSE))+IF(H3="",0,VLOOKUP(H3,Bausteine!$A$2:$AS$46,4,FALSE))+IF(I3="",0,VLOOKUP(I3,Bausteine!$A$2:$AS$46,4,FALSE))+IF(J3="",0,VLOOKUP(J3,Bausteine!$A$2:$AS$46,4,FALSE))+IF(K3="",0,VLOOKUP(K3,Bausteine!$A$2:$AS$46,4,FALSE))+IF(L3="",0,VLOOKUP(L3,Bausteine!$A$2:$AS$46,4,FALSE))+IF(AC3="",0,VLOOKUP(AC3,Bausteine!$A$2:$AS$46,4,FALSE))+IF(AF3="",0,VLOOKUP(AF3,Bausteine!$A$2:$AS$46,4,FALSE))+IF(AG3="",0,VLOOKUP(AG3,Bausteine!$A$2:$AS$46,4,FALSE))+IF(AH3="",0,VLOOKUP(AH3,Bausteine!$A$2:$AS$46,4,FALSE))</f>
        <v/>
      </c>
      <c r="N3">
        <f>IF(C3="",0,VLOOKUP(C3,Bausteine!$A$2:$AS$46,5,FALSE))+IF(D3="",0,VLOOKUP(D3,Bausteine!$A$2:$AS$46,5,FALSE))+IF(E3="",0,VLOOKUP(E3,Bausteine!$A$2:$AS$46,5,FALSE))+IF(F3="",0,VLOOKUP(F3,Bausteine!$A$2:$AS$46,5,FALSE))+IF(G3="",0,VLOOKUP(G3,Bausteine!$A$2:$AS$46,5,FALSE))+IF(H3="",0,VLOOKUP(H3,Bausteine!$A$2:$AS$46,5,FALSE))+IF(I3="",0,VLOOKUP(I3,Bausteine!$A$2:$AS$46,5,FALSE))+IF(J3="",0,VLOOKUP(J3,Bausteine!$A$2:$AS$46,5,FALSE))+IF(K3="",0,VLOOKUP(K3,Bausteine!$A$2:$AS$46,5,FALSE))+IF(L3="",0,VLOOKUP(L3,Bausteine!$A$2:$AS$46,5,FALSE))+IF(AC3="",0,VLOOKUP(AC3,Bausteine!$A$2:$AS$46,5,FALSE))+IF(AF3="",0,VLOOKUP(AF3,Bausteine!$A$2:$AS$46,5,FALSE))+IF(AG3="",0,VLOOKUP(AG3,Bausteine!$A$2:$AS$46,5,FALSE))+IF(AH3="",0,VLOOKUP(AH3,Bausteine!$A$2:$AS$46,5,FALSE))</f>
        <v/>
      </c>
      <c r="O3">
        <f>MAX(IF(C3="",0,VLOOKUP(C3,Bausteine!$A$2:$AS$46,6,FALSE)),IF(D3="",0,VLOOKUP(D3,Bausteine!$A$2:$AS$46,6,FALSE)),IF(E3="",0,VLOOKUP(E3,Bausteine!$A$2:$AS$46,6,FALSE)),IF(F3="",0,VLOOKUP(F3,Bausteine!$A$2:$AS$46,6,FALSE)),IF(G3="",0,VLOOKUP(G3,Bausteine!$A$2:$AS$46,6,FALSE)),IF(H3="",0,VLOOKUP(H3,Bausteine!$A$2:$AS$46,6,FALSE)),IF(I3="",0,VLOOKUP(I3,Bausteine!$A$2:$AS$46,6,FALSE)),IF(J3="",0,VLOOKUP(J3,Bausteine!$A$2:$AS$46,6,FALSE)),IF(K3="",0,VLOOKUP(K3,Bausteine!$A$2:$AS$46,6,FALSE)),IF(L3="",0,VLOOKUP(L3,Bausteine!$A$2:$AS$46,6,FALSE)),IF(AC3="",0,VLOOKUP(AC3,Bausteine!$A$2:$AS$46,6,FALSE)),IF(AF3="",0,VLOOKUP(AF3,Bausteine!$A$2:$AS$46,6,FALSE)),IF(AG3="",0,VLOOKUP(AG3,Bausteine!$A$2:$AS$46,6,FALSE)),IF(AH3="",0,VLOOKUP(AH3,Bausteine!$A$2:$AS$46,6,FALSE)),AK3)</f>
        <v/>
      </c>
      <c r="P3">
        <f>IF(C3="",0,VLOOKUP(C3,Bausteine!$A$2:$AS$46,7,FALSE))*IF(F3="",0,VLOOKUP(F3,Bausteine!$A$2:$AS$46,17,FALSE))/100+IF(D3="",0,VLOOKUP(D3,Bausteine!$A$2:$AS$46,7,FALSE))+IF(E3="",0,VLOOKUP(E3,Bausteine!$A$2:$AS$46,7,FALSE))+IF(G3="",0,VLOOKUP(G3,Bausteine!$A$2:$AS$46,7,FALSE))+IF(H3="",0,VLOOKUP(H3,Bausteine!$A$2:$AS$46,7,FALSE))+IF(I3="",0,VLOOKUP(I3,Bausteine!$A$2:$AS$46,7,FALSE))+IF(J3="",0,VLOOKUP(J3,Bausteine!$A$2:$AS$46,7,FALSE))+IF(K3="",0,VLOOKUP(K3,Bausteine!$A$2:$AS$46,7,FALSE))+IF(L3="",0,VLOOKUP(L3,Bausteine!$A$2:$AS$46,7,FALSE))+IF(AC3="",0,VLOOKUP(AC3,Bausteine!$A$2:$AS$46,7,FALSE))+IF(AF3="",0,VLOOKUP(AF3,Bausteine!$A$2:$AS$46,7,FALSE))+IF(AG3="",0,VLOOKUP(AG3,Bausteine!$A$2:$AS$46,7,FALSE))+IF(AH3="",0,VLOOKUP(AH3,Bausteine!$A$2:$AS$46,7,FALSE))+AI3</f>
        <v/>
      </c>
      <c r="Q3">
        <f>N3*Parameter!$B$2</f>
        <v/>
      </c>
      <c r="R3">
        <f>AE3-Q3</f>
        <v/>
      </c>
      <c r="S3">
        <f>IF(C3="",0,VLOOKUP(C3,Bausteine!$A$2:$AS$46,13,FALSE))*IF(F3="",0,VLOOKUP(F3,Bausteine!$A$2:$AS$46,16,FALSE))/100</f>
        <v/>
      </c>
      <c r="T3">
        <f>IF(C3="",0,VLOOKUP(C3,Bausteine!$A$2:$AS$46,8,FALSE))*IF(F3="",0,VLOOKUP(F3,Bausteine!$A$2:$AS$46,15,FALSE))/100+IF(D3="",0,VLOOKUP(D3,Bausteine!$A$2:$AS$46,8,FALSE))+IF(E3="",0,VLOOKUP(E3,Bausteine!$A$2:$AS$46,8,FALSE))+IF(G3="",0,VLOOKUP(G3,Bausteine!$A$2:$AS$46,8,FALSE))+IF(H3="",0,VLOOKUP(H3,Bausteine!$A$2:$AS$46,8,FALSE))+IF(I3="",0,VLOOKUP(I3,Bausteine!$A$2:$AS$46,8,FALSE))+IF(J3="",0,VLOOKUP(J3,Bausteine!$A$2:$AS$46,8,FALSE))+IF(K3="",0,VLOOKUP(K3,Bausteine!$A$2:$AS$46,8,FALSE))+IF(L3="",0,VLOOKUP(L3,Bausteine!$A$2:$AS$46,8,FALSE))+IF(AC3="",0,VLOOKUP(AC3,Bausteine!$A$2:$AS$46,8,FALSE))+IF(AF3="",0,VLOOKUP(AF3,Bausteine!$A$2:$AS$46,8,FALSE))+IF(AG3="",0,VLOOKUP(AG3,Bausteine!$A$2:$AS$46,8,FALSE))+IF(AH3="",0,VLOOKUP(AH3,Bausteine!$A$2:$AS$46,8,FALSE))+AJ3</f>
        <v/>
      </c>
      <c r="U3">
        <f>IF(C3="",0,VLOOKUP(C3,Bausteine!$A$2:$AS$46,9,FALSE))+IF(D3="",0,VLOOKUP(D3,Bausteine!$A$2:$AS$46,9,FALSE))+IF(E3="",0,VLOOKUP(E3,Bausteine!$A$2:$AS$46,9,FALSE))+IF(F3="",0,VLOOKUP(F3,Bausteine!$A$2:$AS$46,9,FALSE))+IF(G3="",0,VLOOKUP(G3,Bausteine!$A$2:$AS$46,9,FALSE))+IF(H3="",0,VLOOKUP(H3,Bausteine!$A$2:$AS$46,9,FALSE))+IF(I3="",0,VLOOKUP(I3,Bausteine!$A$2:$AS$46,9,FALSE))+IF(J3="",0,VLOOKUP(J3,Bausteine!$A$2:$AS$46,9,FALSE))+IF(K3="",0,VLOOKUP(K3,Bausteine!$A$2:$AS$46,9,FALSE))+IF(L3="",0,VLOOKUP(L3,Bausteine!$A$2:$AS$46,9,FALSE))+IF(AC3="",0,VLOOKUP(AC3,Bausteine!$A$2:$AS$46,9,FALSE))+IF(AF3="",0,VLOOKUP(AF3,Bausteine!$A$2:$AS$46,9,FALSE))+IF(AG3="",0,VLOOKUP(AG3,Bausteine!$A$2:$AS$46,9,FALSE))+IF(AH3="",0,VLOOKUP(AH3,Bausteine!$A$2:$AS$46,9,FALSE))</f>
        <v/>
      </c>
      <c r="V3">
        <f>IF(D3="",0,VLOOKUP(D3,Bausteine!$A$2:$AS$46,10,FALSE))-U3/IF(E3="",0,VLOOKUP(E3,Bausteine!$A$2:$AS$46,11,FALSE))</f>
        <v/>
      </c>
      <c r="W3">
        <f>IF(Y3&lt;&gt;"OK","",ROUND(MIN(IF(C3="",0,VLOOKUP(C3,Bausteine!$A$2:$AS$46,21,FALSE)),IF(C3="",0,VLOOKUP(C3,Bausteine!$A$2:$AS$46,20,FALSE))*(V3/T3/(IF(C3="",0,VLOOKUP(C3,Bausteine!$A$2:$AS$46,19,FALSE))/IF(C3="",0,VLOOKUP(C3,Bausteine!$A$2:$AS$46,18,FALSE))))^Parameter!$B$3),0))</f>
        <v/>
      </c>
      <c r="X3">
        <f>IF(F3="",0,VLOOKUP(F3,Bausteine!$A$2:$AS$46,14,FALSE))</f>
        <v/>
      </c>
      <c r="Y3">
        <f>IFERROR(IF(OR(AD3&lt;=0,AD3&gt;1,R3&lt;=0,T3&lt;=0,V3&lt;=0,U3&gt;IF(E3="",0,VLOOKUP(E3,Bausteine!$A$2:$AS$46,12,FALSE)),T3&gt;IF(C3="",0,VLOOKUP(C3,Bausteine!$A$2:$AS$46,22,FALSE)),IF(E3="",0,VLOOKUP(E3,Bausteine!$A$2:$AS$46,11,FALSE))&lt;=0,IF(E3="",0,VLOOKUP(E3,Bausteine!$A$2:$AS$46,11,FALSE))&gt;1),"UNGUELTIG","OK"),"FEHLER")</f>
        <v/>
      </c>
      <c r="Z3" t="n">
        <v>3300</v>
      </c>
      <c r="AA3" t="n">
        <v>55</v>
      </c>
      <c r="AB3" t="inlineStr">
        <is>
          <t>OFFLINE DRAFT: unverified mounting; shared standard PDL and heavy-drive upgrade unchanged.</t>
        </is>
      </c>
      <c r="AC3" t="inlineStr"/>
      <c r="AD3">
        <f>IF(AC3="",1,IF(AC3="",0,VLOOKUP(AC3,Bausteine!$A$2:$AS$46,37,FALSE))/100)</f>
        <v/>
      </c>
      <c r="AE3">
        <f>P3*AD3</f>
        <v/>
      </c>
      <c r="AF3" t="inlineStr">
        <is>
          <t>mortar-roof-carrier</t>
        </is>
      </c>
      <c r="AG3" t="inlineStr">
        <is>
          <t>roof-mortar</t>
        </is>
      </c>
      <c r="AH3" t="inlineStr">
        <is>
          <t>mortar-he</t>
        </is>
      </c>
      <c r="AI3">
        <f>SUMIF(Startbesatzung!$A$2:$A$7,A3,Startbesatzung!$D$2:$D$7)</f>
        <v/>
      </c>
      <c r="AJ3">
        <f>SUMIF(Startbesatzung!$A$2:$A$7,A3,Startbesatzung!$E$2:$E$7)</f>
        <v/>
      </c>
      <c r="AK3">
        <f>MAX(0,IF(Startbesatzung!A2=A3,Startbesatzung!G2,0),IF(Startbesatzung!A3=A3,Startbesatzung!G3,0),IF(Startbesatzung!A4=A3,Startbesatzung!G4,0),IF(Startbesatzung!A5=A3,Startbesatzung!G5,0),IF(Startbesatzung!A6=A3,Startbesatzung!G6,0),IF(Startbesatzung!A7=A3,Startbesatzung!G7,0))</f>
        <v/>
      </c>
      <c r="AL3">
        <f>IF(AF3="","",IF(IF(AH3="",0,VLOOKUP(AH3,Bausteine!$A$2:$AS$46,38,FALSE))&gt;0,IF(AH3="",0,VLOOKUP(AH3,Bausteine!$A$2:$AS$46,38,FALSE)),IF(AG3="",0,VLOOKUP(AG3,Bausteine!$A$2:$AS$46,28,FALSE))))</f>
        <v/>
      </c>
      <c r="AM3">
        <f>IF(AF3="","",IF(AG3="",0,VLOOKUP(AG3,Bausteine!$A$2:$AS$46,44,FALSE)))</f>
        <v/>
      </c>
      <c r="AN3">
        <f>IF(AF3="","",IF(AF3="",0,VLOOKUP(AF3,Bausteine!$A$2:$AS$46,27,FALSE)))</f>
        <v/>
      </c>
      <c r="AO3">
        <f>IF(AF3="","",IF(AF3="",0,VLOOKUP(AF3,Bausteine!$A$2:$AS$46,25,FALSE)))</f>
        <v/>
      </c>
      <c r="AP3">
        <f>IF(AF3="","",IF(AH3="",0,VLOOKUP(AH3,Bausteine!$A$2:$AS$46,29,FALSE)))</f>
        <v/>
      </c>
    </row>
    <row r="4">
      <c r="A4" t="inlineStr">
        <is>
          <t>Overlord Mortar Roof Reflector / draft</t>
        </is>
      </c>
      <c r="B4" t="inlineStr">
        <is>
          <t>china</t>
        </is>
      </c>
      <c r="C4" t="inlineStr">
        <is>
          <t>overlord-chassis</t>
        </is>
      </c>
      <c r="D4" t="inlineStr">
        <is>
          <t>diesel-heavy-boost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heavy-twin-turret</t>
        </is>
      </c>
      <c r="H4" t="inlineStr">
        <is>
          <t>overlord-cannon</t>
        </is>
      </c>
      <c r="I4" t="inlineStr">
        <is>
          <t>heavy-shell</t>
        </is>
      </c>
      <c r="J4" t="inlineStr"/>
      <c r="K4" t="inlineStr"/>
      <c r="L4" t="inlineStr"/>
      <c r="M4">
        <f>IF(C4="",0,VLOOKUP(C4,Bausteine!$A$2:$AS$46,4,FALSE))+IF(D4="",0,VLOOKUP(D4,Bausteine!$A$2:$AS$46,4,FALSE))+IF(E4="",0,VLOOKUP(E4,Bausteine!$A$2:$AS$46,4,FALSE))+IF(F4="",0,VLOOKUP(F4,Bausteine!$A$2:$AS$46,4,FALSE))+IF(G4="",0,VLOOKUP(G4,Bausteine!$A$2:$AS$46,4,FALSE))+IF(H4="",0,VLOOKUP(H4,Bausteine!$A$2:$AS$46,4,FALSE))+IF(I4="",0,VLOOKUP(I4,Bausteine!$A$2:$AS$46,4,FALSE))+IF(J4="",0,VLOOKUP(J4,Bausteine!$A$2:$AS$46,4,FALSE))+IF(K4="",0,VLOOKUP(K4,Bausteine!$A$2:$AS$46,4,FALSE))+IF(L4="",0,VLOOKUP(L4,Bausteine!$A$2:$AS$46,4,FALSE))+IF(AC4="",0,VLOOKUP(AC4,Bausteine!$A$2:$AS$46,4,FALSE))+IF(AF4="",0,VLOOKUP(AF4,Bausteine!$A$2:$AS$46,4,FALSE))+IF(AG4="",0,VLOOKUP(AG4,Bausteine!$A$2:$AS$46,4,FALSE))+IF(AH4="",0,VLOOKUP(AH4,Bausteine!$A$2:$AS$46,4,FALSE))</f>
        <v/>
      </c>
      <c r="N4">
        <f>IF(C4="",0,VLOOKUP(C4,Bausteine!$A$2:$AS$46,5,FALSE))+IF(D4="",0,VLOOKUP(D4,Bausteine!$A$2:$AS$46,5,FALSE))+IF(E4="",0,VLOOKUP(E4,Bausteine!$A$2:$AS$46,5,FALSE))+IF(F4="",0,VLOOKUP(F4,Bausteine!$A$2:$AS$46,5,FALSE))+IF(G4="",0,VLOOKUP(G4,Bausteine!$A$2:$AS$46,5,FALSE))+IF(H4="",0,VLOOKUP(H4,Bausteine!$A$2:$AS$46,5,FALSE))+IF(I4="",0,VLOOKUP(I4,Bausteine!$A$2:$AS$46,5,FALSE))+IF(J4="",0,VLOOKUP(J4,Bausteine!$A$2:$AS$46,5,FALSE))+IF(K4="",0,VLOOKUP(K4,Bausteine!$A$2:$AS$46,5,FALSE))+IF(L4="",0,VLOOKUP(L4,Bausteine!$A$2:$AS$46,5,FALSE))+IF(AC4="",0,VLOOKUP(AC4,Bausteine!$A$2:$AS$46,5,FALSE))+IF(AF4="",0,VLOOKUP(AF4,Bausteine!$A$2:$AS$46,5,FALSE))+IF(AG4="",0,VLOOKUP(AG4,Bausteine!$A$2:$AS$46,5,FALSE))+IF(AH4="",0,VLOOKUP(AH4,Bausteine!$A$2:$AS$46,5,FALSE))</f>
        <v/>
      </c>
      <c r="O4">
        <f>MAX(IF(C4="",0,VLOOKUP(C4,Bausteine!$A$2:$AS$46,6,FALSE)),IF(D4="",0,VLOOKUP(D4,Bausteine!$A$2:$AS$46,6,FALSE)),IF(E4="",0,VLOOKUP(E4,Bausteine!$A$2:$AS$46,6,FALSE)),IF(F4="",0,VLOOKUP(F4,Bausteine!$A$2:$AS$46,6,FALSE)),IF(G4="",0,VLOOKUP(G4,Bausteine!$A$2:$AS$46,6,FALSE)),IF(H4="",0,VLOOKUP(H4,Bausteine!$A$2:$AS$46,6,FALSE)),IF(I4="",0,VLOOKUP(I4,Bausteine!$A$2:$AS$46,6,FALSE)),IF(J4="",0,VLOOKUP(J4,Bausteine!$A$2:$AS$46,6,FALSE)),IF(K4="",0,VLOOKUP(K4,Bausteine!$A$2:$AS$46,6,FALSE)),IF(L4="",0,VLOOKUP(L4,Bausteine!$A$2:$AS$46,6,FALSE)),IF(AC4="",0,VLOOKUP(AC4,Bausteine!$A$2:$AS$46,6,FALSE)),IF(AF4="",0,VLOOKUP(AF4,Bausteine!$A$2:$AS$46,6,FALSE)),IF(AG4="",0,VLOOKUP(AG4,Bausteine!$A$2:$AS$46,6,FALSE)),IF(AH4="",0,VLOOKUP(AH4,Bausteine!$A$2:$AS$46,6,FALSE)),AK4)</f>
        <v/>
      </c>
      <c r="P4">
        <f>IF(C4="",0,VLOOKUP(C4,Bausteine!$A$2:$AS$46,7,FALSE))*IF(F4="",0,VLOOKUP(F4,Bausteine!$A$2:$AS$46,17,FALSE))/100+IF(D4="",0,VLOOKUP(D4,Bausteine!$A$2:$AS$46,7,FALSE))+IF(E4="",0,VLOOKUP(E4,Bausteine!$A$2:$AS$46,7,FALSE))+IF(G4="",0,VLOOKUP(G4,Bausteine!$A$2:$AS$46,7,FALSE))+IF(H4="",0,VLOOKUP(H4,Bausteine!$A$2:$AS$46,7,FALSE))+IF(I4="",0,VLOOKUP(I4,Bausteine!$A$2:$AS$46,7,FALSE))+IF(J4="",0,VLOOKUP(J4,Bausteine!$A$2:$AS$46,7,FALSE))+IF(K4="",0,VLOOKUP(K4,Bausteine!$A$2:$AS$46,7,FALSE))+IF(L4="",0,VLOOKUP(L4,Bausteine!$A$2:$AS$46,7,FALSE))+IF(AC4="",0,VLOOKUP(AC4,Bausteine!$A$2:$AS$46,7,FALSE))+IF(AF4="",0,VLOOKUP(AF4,Bausteine!$A$2:$AS$46,7,FALSE))+IF(AG4="",0,VLOOKUP(AG4,Bausteine!$A$2:$AS$46,7,FALSE))+IF(AH4="",0,VLOOKUP(AH4,Bausteine!$A$2:$AS$46,7,FALSE))+AI4</f>
        <v/>
      </c>
      <c r="Q4">
        <f>N4*Parameter!$B$2</f>
        <v/>
      </c>
      <c r="R4">
        <f>AE4-Q4</f>
        <v/>
      </c>
      <c r="S4">
        <f>IF(C4="",0,VLOOKUP(C4,Bausteine!$A$2:$AS$46,13,FALSE))*IF(F4="",0,VLOOKUP(F4,Bausteine!$A$2:$AS$46,16,FALSE))/100</f>
        <v/>
      </c>
      <c r="T4">
        <f>IF(C4="",0,VLOOKUP(C4,Bausteine!$A$2:$AS$46,8,FALSE))*IF(F4="",0,VLOOKUP(F4,Bausteine!$A$2:$AS$46,15,FALSE))/100+IF(D4="",0,VLOOKUP(D4,Bausteine!$A$2:$AS$46,8,FALSE))+IF(E4="",0,VLOOKUP(E4,Bausteine!$A$2:$AS$46,8,FALSE))+IF(G4="",0,VLOOKUP(G4,Bausteine!$A$2:$AS$46,8,FALSE))+IF(H4="",0,VLOOKUP(H4,Bausteine!$A$2:$AS$46,8,FALSE))+IF(I4="",0,VLOOKUP(I4,Bausteine!$A$2:$AS$46,8,FALSE))+IF(J4="",0,VLOOKUP(J4,Bausteine!$A$2:$AS$46,8,FALSE))+IF(K4="",0,VLOOKUP(K4,Bausteine!$A$2:$AS$46,8,FALSE))+IF(L4="",0,VLOOKUP(L4,Bausteine!$A$2:$AS$46,8,FALSE))+IF(AC4="",0,VLOOKUP(AC4,Bausteine!$A$2:$AS$46,8,FALSE))+IF(AF4="",0,VLOOKUP(AF4,Bausteine!$A$2:$AS$46,8,FALSE))+IF(AG4="",0,VLOOKUP(AG4,Bausteine!$A$2:$AS$46,8,FALSE))+IF(AH4="",0,VLOOKUP(AH4,Bausteine!$A$2:$AS$46,8,FALSE))+AJ4</f>
        <v/>
      </c>
      <c r="U4">
        <f>IF(C4="",0,VLOOKUP(C4,Bausteine!$A$2:$AS$46,9,FALSE))+IF(D4="",0,VLOOKUP(D4,Bausteine!$A$2:$AS$46,9,FALSE))+IF(E4="",0,VLOOKUP(E4,Bausteine!$A$2:$AS$46,9,FALSE))+IF(F4="",0,VLOOKUP(F4,Bausteine!$A$2:$AS$46,9,FALSE))+IF(G4="",0,VLOOKUP(G4,Bausteine!$A$2:$AS$46,9,FALSE))+IF(H4="",0,VLOOKUP(H4,Bausteine!$A$2:$AS$46,9,FALSE))+IF(I4="",0,VLOOKUP(I4,Bausteine!$A$2:$AS$46,9,FALSE))+IF(J4="",0,VLOOKUP(J4,Bausteine!$A$2:$AS$46,9,FALSE))+IF(K4="",0,VLOOKUP(K4,Bausteine!$A$2:$AS$46,9,FALSE))+IF(L4="",0,VLOOKUP(L4,Bausteine!$A$2:$AS$46,9,FALSE))+IF(AC4="",0,VLOOKUP(AC4,Bausteine!$A$2:$AS$46,9,FALSE))+IF(AF4="",0,VLOOKUP(AF4,Bausteine!$A$2:$AS$46,9,FALSE))+IF(AG4="",0,VLOOKUP(AG4,Bausteine!$A$2:$AS$46,9,FALSE))+IF(AH4="",0,VLOOKUP(AH4,Bausteine!$A$2:$AS$46,9,FALSE))</f>
        <v/>
      </c>
      <c r="V4">
        <f>IF(D4="",0,VLOOKUP(D4,Bausteine!$A$2:$AS$46,10,FALSE))-U4/IF(E4="",0,VLOOKUP(E4,Bausteine!$A$2:$AS$46,11,FALSE))</f>
        <v/>
      </c>
      <c r="W4">
        <f>IF(Y4&lt;&gt;"OK","",ROUND(MIN(IF(C4="",0,VLOOKUP(C4,Bausteine!$A$2:$AS$46,21,FALSE)),IF(C4="",0,VLOOKUP(C4,Bausteine!$A$2:$AS$46,20,FALSE))*(V4/T4/(IF(C4="",0,VLOOKUP(C4,Bausteine!$A$2:$AS$46,19,FALSE))/IF(C4="",0,VLOOKUP(C4,Bausteine!$A$2:$AS$46,18,FALSE))))^Parameter!$B$3),0))</f>
        <v/>
      </c>
      <c r="X4">
        <f>IF(F4="",0,VLOOKUP(F4,Bausteine!$A$2:$AS$46,14,FALSE))</f>
        <v/>
      </c>
      <c r="Y4">
        <f>IFERROR(IF(OR(AD4&lt;=0,AD4&gt;1,R4&lt;=0,T4&lt;=0,V4&lt;=0,U4&gt;IF(E4="",0,VLOOKUP(E4,Bausteine!$A$2:$AS$46,12,FALSE)),T4&gt;IF(C4="",0,VLOOKUP(C4,Bausteine!$A$2:$AS$46,22,FALSE)),IF(E4="",0,VLOOKUP(E4,Bausteine!$A$2:$AS$46,11,FALSE))&lt;=0,IF(E4="",0,VLOOKUP(E4,Bausteine!$A$2:$AS$46,11,FALSE))&gt;1),"UNGUELTIG","OK"),"FEHLER")</f>
        <v/>
      </c>
      <c r="Z4" t="n">
        <v>2650</v>
      </c>
      <c r="AA4" t="n">
        <v>55</v>
      </c>
      <c r="AB4" t="inlineStr">
        <is>
          <t>OFFLINE DRAFT: unverified mounting; reflector power budget and global CP credit unchanged.</t>
        </is>
      </c>
      <c r="AC4" t="inlineStr"/>
      <c r="AD4">
        <f>IF(AC4="",1,IF(AC4="",0,VLOOKUP(AC4,Bausteine!$A$2:$AS$46,37,FALSE))/100)</f>
        <v/>
      </c>
      <c r="AE4">
        <f>P4*AD4</f>
        <v/>
      </c>
      <c r="AF4" t="inlineStr">
        <is>
          <t>mortar-roof-carrier</t>
        </is>
      </c>
      <c r="AG4" t="inlineStr">
        <is>
          <t>roof-mortar</t>
        </is>
      </c>
      <c r="AH4" t="inlineStr">
        <is>
          <t>mortar-he</t>
        </is>
      </c>
      <c r="AI4">
        <f>SUMIF(Startbesatzung!$A$2:$A$7,A4,Startbesatzung!$D$2:$D$7)</f>
        <v/>
      </c>
      <c r="AJ4">
        <f>SUMIF(Startbesatzung!$A$2:$A$7,A4,Startbesatzung!$E$2:$E$7)</f>
        <v/>
      </c>
      <c r="AK4">
        <f>MAX(0,IF(Startbesatzung!A2=A4,Startbesatzung!G2,0),IF(Startbesatzung!A3=A4,Startbesatzung!G3,0),IF(Startbesatzung!A4=A4,Startbesatzung!G4,0),IF(Startbesatzung!A5=A4,Startbesatzung!G5,0),IF(Startbesatzung!A6=A4,Startbesatzung!G6,0),IF(Startbesatzung!A7=A4,Startbesatzung!G7,0))</f>
        <v/>
      </c>
      <c r="AL4">
        <f>IF(AF4="","",IF(IF(AH4="",0,VLOOKUP(AH4,Bausteine!$A$2:$AS$46,38,FALSE))&gt;0,IF(AH4="",0,VLOOKUP(AH4,Bausteine!$A$2:$AS$46,38,FALSE)),IF(AG4="",0,VLOOKUP(AG4,Bausteine!$A$2:$AS$46,28,FALSE))))</f>
        <v/>
      </c>
      <c r="AM4">
        <f>IF(AF4="","",IF(AG4="",0,VLOOKUP(AG4,Bausteine!$A$2:$AS$46,44,FALSE)))</f>
        <v/>
      </c>
      <c r="AN4">
        <f>IF(AF4="","",IF(AF4="",0,VLOOKUP(AF4,Bausteine!$A$2:$AS$46,27,FALSE)))</f>
        <v/>
      </c>
      <c r="AO4">
        <f>IF(AF4="","",IF(AF4="",0,VLOOKUP(AF4,Bausteine!$A$2:$AS$46,25,FALSE)))</f>
        <v/>
      </c>
      <c r="AP4">
        <f>IF(AF4="","",IF(AH4="",0,VLOOKUP(AH4,Bausteine!$A$2:$AS$46,29,FALSE)))</f>
        <v/>
      </c>
    </row>
    <row r="5">
      <c r="A5" t="inlineStr">
        <is>
          <t>Overlord Flame Roof / draft</t>
        </is>
      </c>
      <c r="B5" t="inlineStr">
        <is>
          <t>china</t>
        </is>
      </c>
      <c r="C5" t="inlineStr">
        <is>
          <t>overlord-chassis</t>
        </is>
      </c>
      <c r="D5" t="inlineStr">
        <is>
          <t>diesel-heavy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heavy-twin-turret</t>
        </is>
      </c>
      <c r="H5" t="inlineStr">
        <is>
          <t>overlord-cannon</t>
        </is>
      </c>
      <c r="I5" t="inlineStr">
        <is>
          <t>heavy-shell</t>
        </is>
      </c>
      <c r="J5" t="inlineStr"/>
      <c r="K5" t="inlineStr"/>
      <c r="L5" t="inlineStr"/>
      <c r="M5">
        <f>IF(C5="",0,VLOOKUP(C5,Bausteine!$A$2:$AS$46,4,FALSE))+IF(D5="",0,VLOOKUP(D5,Bausteine!$A$2:$AS$46,4,FALSE))+IF(E5="",0,VLOOKUP(E5,Bausteine!$A$2:$AS$46,4,FALSE))+IF(F5="",0,VLOOKUP(F5,Bausteine!$A$2:$AS$46,4,FALSE))+IF(G5="",0,VLOOKUP(G5,Bausteine!$A$2:$AS$46,4,FALSE))+IF(H5="",0,VLOOKUP(H5,Bausteine!$A$2:$AS$46,4,FALSE))+IF(I5="",0,VLOOKUP(I5,Bausteine!$A$2:$AS$46,4,FALSE))+IF(J5="",0,VLOOKUP(J5,Bausteine!$A$2:$AS$46,4,FALSE))+IF(K5="",0,VLOOKUP(K5,Bausteine!$A$2:$AS$46,4,FALSE))+IF(L5="",0,VLOOKUP(L5,Bausteine!$A$2:$AS$46,4,FALSE))+IF(AC5="",0,VLOOKUP(AC5,Bausteine!$A$2:$AS$46,4,FALSE))+IF(AF5="",0,VLOOKUP(AF5,Bausteine!$A$2:$AS$46,4,FALSE))+IF(AG5="",0,VLOOKUP(AG5,Bausteine!$A$2:$AS$46,4,FALSE))+IF(AH5="",0,VLOOKUP(AH5,Bausteine!$A$2:$AS$46,4,FALSE))</f>
        <v/>
      </c>
      <c r="N5">
        <f>IF(C5="",0,VLOOKUP(C5,Bausteine!$A$2:$AS$46,5,FALSE))+IF(D5="",0,VLOOKUP(D5,Bausteine!$A$2:$AS$46,5,FALSE))+IF(E5="",0,VLOOKUP(E5,Bausteine!$A$2:$AS$46,5,FALSE))+IF(F5="",0,VLOOKUP(F5,Bausteine!$A$2:$AS$46,5,FALSE))+IF(G5="",0,VLOOKUP(G5,Bausteine!$A$2:$AS$46,5,FALSE))+IF(H5="",0,VLOOKUP(H5,Bausteine!$A$2:$AS$46,5,FALSE))+IF(I5="",0,VLOOKUP(I5,Bausteine!$A$2:$AS$46,5,FALSE))+IF(J5="",0,VLOOKUP(J5,Bausteine!$A$2:$AS$46,5,FALSE))+IF(K5="",0,VLOOKUP(K5,Bausteine!$A$2:$AS$46,5,FALSE))+IF(L5="",0,VLOOKUP(L5,Bausteine!$A$2:$AS$46,5,FALSE))+IF(AC5="",0,VLOOKUP(AC5,Bausteine!$A$2:$AS$46,5,FALSE))+IF(AF5="",0,VLOOKUP(AF5,Bausteine!$A$2:$AS$46,5,FALSE))+IF(AG5="",0,VLOOKUP(AG5,Bausteine!$A$2:$AS$46,5,FALSE))+IF(AH5="",0,VLOOKUP(AH5,Bausteine!$A$2:$AS$46,5,FALSE))</f>
        <v/>
      </c>
      <c r="O5">
        <f>MAX(IF(C5="",0,VLOOKUP(C5,Bausteine!$A$2:$AS$46,6,FALSE)),IF(D5="",0,VLOOKUP(D5,Bausteine!$A$2:$AS$46,6,FALSE)),IF(E5="",0,VLOOKUP(E5,Bausteine!$A$2:$AS$46,6,FALSE)),IF(F5="",0,VLOOKUP(F5,Bausteine!$A$2:$AS$46,6,FALSE)),IF(G5="",0,VLOOKUP(G5,Bausteine!$A$2:$AS$46,6,FALSE)),IF(H5="",0,VLOOKUP(H5,Bausteine!$A$2:$AS$46,6,FALSE)),IF(I5="",0,VLOOKUP(I5,Bausteine!$A$2:$AS$46,6,FALSE)),IF(J5="",0,VLOOKUP(J5,Bausteine!$A$2:$AS$46,6,FALSE)),IF(K5="",0,VLOOKUP(K5,Bausteine!$A$2:$AS$46,6,FALSE)),IF(L5="",0,VLOOKUP(L5,Bausteine!$A$2:$AS$46,6,FALSE)),IF(AC5="",0,VLOOKUP(AC5,Bausteine!$A$2:$AS$46,6,FALSE)),IF(AF5="",0,VLOOKUP(AF5,Bausteine!$A$2:$AS$46,6,FALSE)),IF(AG5="",0,VLOOKUP(AG5,Bausteine!$A$2:$AS$46,6,FALSE)),IF(AH5="",0,VLOOKUP(AH5,Bausteine!$A$2:$AS$46,6,FALSE)),AK5)</f>
        <v/>
      </c>
      <c r="P5">
        <f>IF(C5="",0,VLOOKUP(C5,Bausteine!$A$2:$AS$46,7,FALSE))*IF(F5="",0,VLOOKUP(F5,Bausteine!$A$2:$AS$46,17,FALSE))/100+IF(D5="",0,VLOOKUP(D5,Bausteine!$A$2:$AS$46,7,FALSE))+IF(E5="",0,VLOOKUP(E5,Bausteine!$A$2:$AS$46,7,FALSE))+IF(G5="",0,VLOOKUP(G5,Bausteine!$A$2:$AS$46,7,FALSE))+IF(H5="",0,VLOOKUP(H5,Bausteine!$A$2:$AS$46,7,FALSE))+IF(I5="",0,VLOOKUP(I5,Bausteine!$A$2:$AS$46,7,FALSE))+IF(J5="",0,VLOOKUP(J5,Bausteine!$A$2:$AS$46,7,FALSE))+IF(K5="",0,VLOOKUP(K5,Bausteine!$A$2:$AS$46,7,FALSE))+IF(L5="",0,VLOOKUP(L5,Bausteine!$A$2:$AS$46,7,FALSE))+IF(AC5="",0,VLOOKUP(AC5,Bausteine!$A$2:$AS$46,7,FALSE))+IF(AF5="",0,VLOOKUP(AF5,Bausteine!$A$2:$AS$46,7,FALSE))+IF(AG5="",0,VLOOKUP(AG5,Bausteine!$A$2:$AS$46,7,FALSE))+IF(AH5="",0,VLOOKUP(AH5,Bausteine!$A$2:$AS$46,7,FALSE))+AI5</f>
        <v/>
      </c>
      <c r="Q5">
        <f>N5*Parameter!$B$2</f>
        <v/>
      </c>
      <c r="R5">
        <f>AE5-Q5</f>
        <v/>
      </c>
      <c r="S5">
        <f>IF(C5="",0,VLOOKUP(C5,Bausteine!$A$2:$AS$46,13,FALSE))*IF(F5="",0,VLOOKUP(F5,Bausteine!$A$2:$AS$46,16,FALSE))/100</f>
        <v/>
      </c>
      <c r="T5">
        <f>IF(C5="",0,VLOOKUP(C5,Bausteine!$A$2:$AS$46,8,FALSE))*IF(F5="",0,VLOOKUP(F5,Bausteine!$A$2:$AS$46,15,FALSE))/100+IF(D5="",0,VLOOKUP(D5,Bausteine!$A$2:$AS$46,8,FALSE))+IF(E5="",0,VLOOKUP(E5,Bausteine!$A$2:$AS$46,8,FALSE))+IF(G5="",0,VLOOKUP(G5,Bausteine!$A$2:$AS$46,8,FALSE))+IF(H5="",0,VLOOKUP(H5,Bausteine!$A$2:$AS$46,8,FALSE))+IF(I5="",0,VLOOKUP(I5,Bausteine!$A$2:$AS$46,8,FALSE))+IF(J5="",0,VLOOKUP(J5,Bausteine!$A$2:$AS$46,8,FALSE))+IF(K5="",0,VLOOKUP(K5,Bausteine!$A$2:$AS$46,8,FALSE))+IF(L5="",0,VLOOKUP(L5,Bausteine!$A$2:$AS$46,8,FALSE))+IF(AC5="",0,VLOOKUP(AC5,Bausteine!$A$2:$AS$46,8,FALSE))+IF(AF5="",0,VLOOKUP(AF5,Bausteine!$A$2:$AS$46,8,FALSE))+IF(AG5="",0,VLOOKUP(AG5,Bausteine!$A$2:$AS$46,8,FALSE))+IF(AH5="",0,VLOOKUP(AH5,Bausteine!$A$2:$AS$46,8,FALSE))+AJ5</f>
        <v/>
      </c>
      <c r="U5">
        <f>IF(C5="",0,VLOOKUP(C5,Bausteine!$A$2:$AS$46,9,FALSE))+IF(D5="",0,VLOOKUP(D5,Bausteine!$A$2:$AS$46,9,FALSE))+IF(E5="",0,VLOOKUP(E5,Bausteine!$A$2:$AS$46,9,FALSE))+IF(F5="",0,VLOOKUP(F5,Bausteine!$A$2:$AS$46,9,FALSE))+IF(G5="",0,VLOOKUP(G5,Bausteine!$A$2:$AS$46,9,FALSE))+IF(H5="",0,VLOOKUP(H5,Bausteine!$A$2:$AS$46,9,FALSE))+IF(I5="",0,VLOOKUP(I5,Bausteine!$A$2:$AS$46,9,FALSE))+IF(J5="",0,VLOOKUP(J5,Bausteine!$A$2:$AS$46,9,FALSE))+IF(K5="",0,VLOOKUP(K5,Bausteine!$A$2:$AS$46,9,FALSE))+IF(L5="",0,VLOOKUP(L5,Bausteine!$A$2:$AS$46,9,FALSE))+IF(AC5="",0,VLOOKUP(AC5,Bausteine!$A$2:$AS$46,9,FALSE))+IF(AF5="",0,VLOOKUP(AF5,Bausteine!$A$2:$AS$46,9,FALSE))+IF(AG5="",0,VLOOKUP(AG5,Bausteine!$A$2:$AS$46,9,FALSE))+IF(AH5="",0,VLOOKUP(AH5,Bausteine!$A$2:$AS$46,9,FALSE))</f>
        <v/>
      </c>
      <c r="V5">
        <f>IF(D5="",0,VLOOKUP(D5,Bausteine!$A$2:$AS$46,10,FALSE))-U5/IF(E5="",0,VLOOKUP(E5,Bausteine!$A$2:$AS$46,11,FALSE))</f>
        <v/>
      </c>
      <c r="W5">
        <f>IF(Y5&lt;&gt;"OK","",ROUND(MIN(IF(C5="",0,VLOOKUP(C5,Bausteine!$A$2:$AS$46,21,FALSE)),IF(C5="",0,VLOOKUP(C5,Bausteine!$A$2:$AS$46,20,FALSE))*(V5/T5/(IF(C5="",0,VLOOKUP(C5,Bausteine!$A$2:$AS$46,19,FALSE))/IF(C5="",0,VLOOKUP(C5,Bausteine!$A$2:$AS$46,18,FALSE))))^Parameter!$B$3),0))</f>
        <v/>
      </c>
      <c r="X5">
        <f>IF(F5="",0,VLOOKUP(F5,Bausteine!$A$2:$AS$46,14,FALSE))</f>
        <v/>
      </c>
      <c r="Y5">
        <f>IFERROR(IF(OR(AD5&lt;=0,AD5&gt;1,R5&lt;=0,T5&lt;=0,V5&lt;=0,U5&gt;IF(E5="",0,VLOOKUP(E5,Bausteine!$A$2:$AS$46,12,FALSE)),T5&gt;IF(C5="",0,VLOOKUP(C5,Bausteine!$A$2:$AS$46,22,FALSE)),IF(E5="",0,VLOOKUP(E5,Bausteine!$A$2:$AS$46,11,FALSE))&lt;=0,IF(E5="",0,VLOOKUP(E5,Bausteine!$A$2:$AS$46,11,FALSE))&gt;1),"UNGUELTIG","OK"),"FEHLER")</f>
        <v/>
      </c>
      <c r="Z5" t="n">
        <v>2250</v>
      </c>
      <c r="AA5" t="n">
        <v>55</v>
      </c>
      <c r="AB5" t="inlineStr">
        <is>
          <t>OFFLINE DRAFT: chdragontur.shp has 32 separate facings; Overlord offsets, palette, scale, muzzle and animations NOT live-tested. Reuses existing flame parts without price changes; no original vehicle target.</t>
        </is>
      </c>
      <c r="AC5" t="inlineStr"/>
      <c r="AD5">
        <f>IF(AC5="",1,IF(AC5="",0,VLOOKUP(AC5,Bausteine!$A$2:$AS$46,37,FALSE))/100)</f>
        <v/>
      </c>
      <c r="AE5">
        <f>P5*AD5</f>
        <v/>
      </c>
      <c r="AF5" t="inlineStr">
        <is>
          <t>flame-turret</t>
        </is>
      </c>
      <c r="AG5" t="inlineStr">
        <is>
          <t>dragon-flamer</t>
        </is>
      </c>
      <c r="AH5" t="inlineStr">
        <is>
          <t>flame-fuel</t>
        </is>
      </c>
      <c r="AI5">
        <f>SUMIF(Startbesatzung!$A$2:$A$7,A5,Startbesatzung!$D$2:$D$7)</f>
        <v/>
      </c>
      <c r="AJ5">
        <f>SUMIF(Startbesatzung!$A$2:$A$7,A5,Startbesatzung!$E$2:$E$7)</f>
        <v/>
      </c>
      <c r="AK5">
        <f>MAX(0,IF(Startbesatzung!A2=A5,Startbesatzung!G2,0),IF(Startbesatzung!A3=A5,Startbesatzung!G3,0),IF(Startbesatzung!A4=A5,Startbesatzung!G4,0),IF(Startbesatzung!A5=A5,Startbesatzung!G5,0),IF(Startbesatzung!A6=A5,Startbesatzung!G6,0),IF(Startbesatzung!A7=A5,Startbesatzung!G7,0))</f>
        <v/>
      </c>
      <c r="AL5">
        <f>IF(AF5="","",IF(IF(AH5="",0,VLOOKUP(AH5,Bausteine!$A$2:$AS$46,38,FALSE))&gt;0,IF(AH5="",0,VLOOKUP(AH5,Bausteine!$A$2:$AS$46,38,FALSE)),IF(AG5="",0,VLOOKUP(AG5,Bausteine!$A$2:$AS$46,28,FALSE))))</f>
        <v/>
      </c>
      <c r="AM5">
        <f>IF(AF5="","",IF(AG5="",0,VLOOKUP(AG5,Bausteine!$A$2:$AS$46,44,FALSE)))</f>
        <v/>
      </c>
      <c r="AN5">
        <f>IF(AF5="","",IF(AF5="",0,VLOOKUP(AF5,Bausteine!$A$2:$AS$46,27,FALSE)))</f>
        <v/>
      </c>
      <c r="AO5">
        <f>IF(AF5="","",IF(AF5="",0,VLOOKUP(AF5,Bausteine!$A$2:$AS$46,25,FALSE)))</f>
        <v/>
      </c>
      <c r="AP5">
        <f>IF(AF5="","",IF(AH5="",0,VLOOKUP(AH5,Bausteine!$A$2:$AS$46,29,FALSE)))</f>
        <v/>
      </c>
    </row>
    <row r="6">
      <c r="A6" t="inlineStr">
        <is>
          <t>Overlord Flame Roof PDL / draft</t>
        </is>
      </c>
      <c r="B6" t="inlineStr">
        <is>
          <t>china</t>
        </is>
      </c>
      <c r="C6" t="inlineStr">
        <is>
          <t>overlord-chassis</t>
        </is>
      </c>
      <c r="D6" t="inlineStr">
        <is>
          <t>diesel-heavy-boost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heavy-twin-turret</t>
        </is>
      </c>
      <c r="H6" t="inlineStr">
        <is>
          <t>overlord-cannon</t>
        </is>
      </c>
      <c r="I6" t="inlineStr">
        <is>
          <t>heavy-shell</t>
        </is>
      </c>
      <c r="J6" t="inlineStr">
        <is>
          <t>pdl</t>
        </is>
      </c>
      <c r="K6" t="inlineStr"/>
      <c r="L6" t="inlineStr"/>
      <c r="M6">
        <f>IF(C6="",0,VLOOKUP(C6,Bausteine!$A$2:$AS$46,4,FALSE))+IF(D6="",0,VLOOKUP(D6,Bausteine!$A$2:$AS$46,4,FALSE))+IF(E6="",0,VLOOKUP(E6,Bausteine!$A$2:$AS$46,4,FALSE))+IF(F6="",0,VLOOKUP(F6,Bausteine!$A$2:$AS$46,4,FALSE))+IF(G6="",0,VLOOKUP(G6,Bausteine!$A$2:$AS$46,4,FALSE))+IF(H6="",0,VLOOKUP(H6,Bausteine!$A$2:$AS$46,4,FALSE))+IF(I6="",0,VLOOKUP(I6,Bausteine!$A$2:$AS$46,4,FALSE))+IF(J6="",0,VLOOKUP(J6,Bausteine!$A$2:$AS$46,4,FALSE))+IF(K6="",0,VLOOKUP(K6,Bausteine!$A$2:$AS$46,4,FALSE))+IF(L6="",0,VLOOKUP(L6,Bausteine!$A$2:$AS$46,4,FALSE))+IF(AC6="",0,VLOOKUP(AC6,Bausteine!$A$2:$AS$46,4,FALSE))+IF(AF6="",0,VLOOKUP(AF6,Bausteine!$A$2:$AS$46,4,FALSE))+IF(AG6="",0,VLOOKUP(AG6,Bausteine!$A$2:$AS$46,4,FALSE))+IF(AH6="",0,VLOOKUP(AH6,Bausteine!$A$2:$AS$46,4,FALSE))</f>
        <v/>
      </c>
      <c r="N6">
        <f>IF(C6="",0,VLOOKUP(C6,Bausteine!$A$2:$AS$46,5,FALSE))+IF(D6="",0,VLOOKUP(D6,Bausteine!$A$2:$AS$46,5,FALSE))+IF(E6="",0,VLOOKUP(E6,Bausteine!$A$2:$AS$46,5,FALSE))+IF(F6="",0,VLOOKUP(F6,Bausteine!$A$2:$AS$46,5,FALSE))+IF(G6="",0,VLOOKUP(G6,Bausteine!$A$2:$AS$46,5,FALSE))+IF(H6="",0,VLOOKUP(H6,Bausteine!$A$2:$AS$46,5,FALSE))+IF(I6="",0,VLOOKUP(I6,Bausteine!$A$2:$AS$46,5,FALSE))+IF(J6="",0,VLOOKUP(J6,Bausteine!$A$2:$AS$46,5,FALSE))+IF(K6="",0,VLOOKUP(K6,Bausteine!$A$2:$AS$46,5,FALSE))+IF(L6="",0,VLOOKUP(L6,Bausteine!$A$2:$AS$46,5,FALSE))+IF(AC6="",0,VLOOKUP(AC6,Bausteine!$A$2:$AS$46,5,FALSE))+IF(AF6="",0,VLOOKUP(AF6,Bausteine!$A$2:$AS$46,5,FALSE))+IF(AG6="",0,VLOOKUP(AG6,Bausteine!$A$2:$AS$46,5,FALSE))+IF(AH6="",0,VLOOKUP(AH6,Bausteine!$A$2:$AS$46,5,FALSE))</f>
        <v/>
      </c>
      <c r="O6">
        <f>MAX(IF(C6="",0,VLOOKUP(C6,Bausteine!$A$2:$AS$46,6,FALSE)),IF(D6="",0,VLOOKUP(D6,Bausteine!$A$2:$AS$46,6,FALSE)),IF(E6="",0,VLOOKUP(E6,Bausteine!$A$2:$AS$46,6,FALSE)),IF(F6="",0,VLOOKUP(F6,Bausteine!$A$2:$AS$46,6,FALSE)),IF(G6="",0,VLOOKUP(G6,Bausteine!$A$2:$AS$46,6,FALSE)),IF(H6="",0,VLOOKUP(H6,Bausteine!$A$2:$AS$46,6,FALSE)),IF(I6="",0,VLOOKUP(I6,Bausteine!$A$2:$AS$46,6,FALSE)),IF(J6="",0,VLOOKUP(J6,Bausteine!$A$2:$AS$46,6,FALSE)),IF(K6="",0,VLOOKUP(K6,Bausteine!$A$2:$AS$46,6,FALSE)),IF(L6="",0,VLOOKUP(L6,Bausteine!$A$2:$AS$46,6,FALSE)),IF(AC6="",0,VLOOKUP(AC6,Bausteine!$A$2:$AS$46,6,FALSE)),IF(AF6="",0,VLOOKUP(AF6,Bausteine!$A$2:$AS$46,6,FALSE)),IF(AG6="",0,VLOOKUP(AG6,Bausteine!$A$2:$AS$46,6,FALSE)),IF(AH6="",0,VLOOKUP(AH6,Bausteine!$A$2:$AS$46,6,FALSE)),AK6)</f>
        <v/>
      </c>
      <c r="P6">
        <f>IF(C6="",0,VLOOKUP(C6,Bausteine!$A$2:$AS$46,7,FALSE))*IF(F6="",0,VLOOKUP(F6,Bausteine!$A$2:$AS$46,17,FALSE))/100+IF(D6="",0,VLOOKUP(D6,Bausteine!$A$2:$AS$46,7,FALSE))+IF(E6="",0,VLOOKUP(E6,Bausteine!$A$2:$AS$46,7,FALSE))+IF(G6="",0,VLOOKUP(G6,Bausteine!$A$2:$AS$46,7,FALSE))+IF(H6="",0,VLOOKUP(H6,Bausteine!$A$2:$AS$46,7,FALSE))+IF(I6="",0,VLOOKUP(I6,Bausteine!$A$2:$AS$46,7,FALSE))+IF(J6="",0,VLOOKUP(J6,Bausteine!$A$2:$AS$46,7,FALSE))+IF(K6="",0,VLOOKUP(K6,Bausteine!$A$2:$AS$46,7,FALSE))+IF(L6="",0,VLOOKUP(L6,Bausteine!$A$2:$AS$46,7,FALSE))+IF(AC6="",0,VLOOKUP(AC6,Bausteine!$A$2:$AS$46,7,FALSE))+IF(AF6="",0,VLOOKUP(AF6,Bausteine!$A$2:$AS$46,7,FALSE))+IF(AG6="",0,VLOOKUP(AG6,Bausteine!$A$2:$AS$46,7,FALSE))+IF(AH6="",0,VLOOKUP(AH6,Bausteine!$A$2:$AS$46,7,FALSE))+AI6</f>
        <v/>
      </c>
      <c r="Q6">
        <f>N6*Parameter!$B$2</f>
        <v/>
      </c>
      <c r="R6">
        <f>AE6-Q6</f>
        <v/>
      </c>
      <c r="S6">
        <f>IF(C6="",0,VLOOKUP(C6,Bausteine!$A$2:$AS$46,13,FALSE))*IF(F6="",0,VLOOKUP(F6,Bausteine!$A$2:$AS$46,16,FALSE))/100</f>
        <v/>
      </c>
      <c r="T6">
        <f>IF(C6="",0,VLOOKUP(C6,Bausteine!$A$2:$AS$46,8,FALSE))*IF(F6="",0,VLOOKUP(F6,Bausteine!$A$2:$AS$46,15,FALSE))/100+IF(D6="",0,VLOOKUP(D6,Bausteine!$A$2:$AS$46,8,FALSE))+IF(E6="",0,VLOOKUP(E6,Bausteine!$A$2:$AS$46,8,FALSE))+IF(G6="",0,VLOOKUP(G6,Bausteine!$A$2:$AS$46,8,FALSE))+IF(H6="",0,VLOOKUP(H6,Bausteine!$A$2:$AS$46,8,FALSE))+IF(I6="",0,VLOOKUP(I6,Bausteine!$A$2:$AS$46,8,FALSE))+IF(J6="",0,VLOOKUP(J6,Bausteine!$A$2:$AS$46,8,FALSE))+IF(K6="",0,VLOOKUP(K6,Bausteine!$A$2:$AS$46,8,FALSE))+IF(L6="",0,VLOOKUP(L6,Bausteine!$A$2:$AS$46,8,FALSE))+IF(AC6="",0,VLOOKUP(AC6,Bausteine!$A$2:$AS$46,8,FALSE))+IF(AF6="",0,VLOOKUP(AF6,Bausteine!$A$2:$AS$46,8,FALSE))+IF(AG6="",0,VLOOKUP(AG6,Bausteine!$A$2:$AS$46,8,FALSE))+IF(AH6="",0,VLOOKUP(AH6,Bausteine!$A$2:$AS$46,8,FALSE))+AJ6</f>
        <v/>
      </c>
      <c r="U6">
        <f>IF(C6="",0,VLOOKUP(C6,Bausteine!$A$2:$AS$46,9,FALSE))+IF(D6="",0,VLOOKUP(D6,Bausteine!$A$2:$AS$46,9,FALSE))+IF(E6="",0,VLOOKUP(E6,Bausteine!$A$2:$AS$46,9,FALSE))+IF(F6="",0,VLOOKUP(F6,Bausteine!$A$2:$AS$46,9,FALSE))+IF(G6="",0,VLOOKUP(G6,Bausteine!$A$2:$AS$46,9,FALSE))+IF(H6="",0,VLOOKUP(H6,Bausteine!$A$2:$AS$46,9,FALSE))+IF(I6="",0,VLOOKUP(I6,Bausteine!$A$2:$AS$46,9,FALSE))+IF(J6="",0,VLOOKUP(J6,Bausteine!$A$2:$AS$46,9,FALSE))+IF(K6="",0,VLOOKUP(K6,Bausteine!$A$2:$AS$46,9,FALSE))+IF(L6="",0,VLOOKUP(L6,Bausteine!$A$2:$AS$46,9,FALSE))+IF(AC6="",0,VLOOKUP(AC6,Bausteine!$A$2:$AS$46,9,FALSE))+IF(AF6="",0,VLOOKUP(AF6,Bausteine!$A$2:$AS$46,9,FALSE))+IF(AG6="",0,VLOOKUP(AG6,Bausteine!$A$2:$AS$46,9,FALSE))+IF(AH6="",0,VLOOKUP(AH6,Bausteine!$A$2:$AS$46,9,FALSE))</f>
        <v/>
      </c>
      <c r="V6">
        <f>IF(D6="",0,VLOOKUP(D6,Bausteine!$A$2:$AS$46,10,FALSE))-U6/IF(E6="",0,VLOOKUP(E6,Bausteine!$A$2:$AS$46,11,FALSE))</f>
        <v/>
      </c>
      <c r="W6">
        <f>IF(Y6&lt;&gt;"OK","",ROUND(MIN(IF(C6="",0,VLOOKUP(C6,Bausteine!$A$2:$AS$46,21,FALSE)),IF(C6="",0,VLOOKUP(C6,Bausteine!$A$2:$AS$46,20,FALSE))*(V6/T6/(IF(C6="",0,VLOOKUP(C6,Bausteine!$A$2:$AS$46,19,FALSE))/IF(C6="",0,VLOOKUP(C6,Bausteine!$A$2:$AS$46,18,FALSE))))^Parameter!$B$3),0))</f>
        <v/>
      </c>
      <c r="X6">
        <f>IF(F6="",0,VLOOKUP(F6,Bausteine!$A$2:$AS$46,14,FALSE))</f>
        <v/>
      </c>
      <c r="Y6">
        <f>IFERROR(IF(OR(AD6&lt;=0,AD6&gt;1,R6&lt;=0,T6&lt;=0,V6&lt;=0,U6&gt;IF(E6="",0,VLOOKUP(E6,Bausteine!$A$2:$AS$46,12,FALSE)),T6&gt;IF(C6="",0,VLOOKUP(C6,Bausteine!$A$2:$AS$46,22,FALSE)),IF(E6="",0,VLOOKUP(E6,Bausteine!$A$2:$AS$46,11,FALSE))&lt;=0,IF(E6="",0,VLOOKUP(E6,Bausteine!$A$2:$AS$46,11,FALSE))&gt;1),"UNGUELTIG","OK"),"FEHLER")</f>
        <v/>
      </c>
      <c r="Z6" t="n">
        <v>2900</v>
      </c>
      <c r="AA6" t="n">
        <v>55</v>
      </c>
      <c r="AB6" t="inlineStr">
        <is>
          <t>OFFLINE DRAFT: unverified roof artwork. Existing PDL and flame parts, no special rebate. Main gun and auxiliary fire names must be composed safely.</t>
        </is>
      </c>
      <c r="AC6" t="inlineStr"/>
      <c r="AD6">
        <f>IF(AC6="",1,IF(AC6="",0,VLOOKUP(AC6,Bausteine!$A$2:$AS$46,37,FALSE))/100)</f>
        <v/>
      </c>
      <c r="AE6">
        <f>P6*AD6</f>
        <v/>
      </c>
      <c r="AF6" t="inlineStr">
        <is>
          <t>flame-turret</t>
        </is>
      </c>
      <c r="AG6" t="inlineStr">
        <is>
          <t>dragon-flamer</t>
        </is>
      </c>
      <c r="AH6" t="inlineStr">
        <is>
          <t>flame-fuel</t>
        </is>
      </c>
      <c r="AI6">
        <f>SUMIF(Startbesatzung!$A$2:$A$7,A6,Startbesatzung!$D$2:$D$7)</f>
        <v/>
      </c>
      <c r="AJ6">
        <f>SUMIF(Startbesatzung!$A$2:$A$7,A6,Startbesatzung!$E$2:$E$7)</f>
        <v/>
      </c>
      <c r="AK6">
        <f>MAX(0,IF(Startbesatzung!A2=A6,Startbesatzung!G2,0),IF(Startbesatzung!A3=A6,Startbesatzung!G3,0),IF(Startbesatzung!A4=A6,Startbesatzung!G4,0),IF(Startbesatzung!A5=A6,Startbesatzung!G5,0),IF(Startbesatzung!A6=A6,Startbesatzung!G6,0),IF(Startbesatzung!A7=A6,Startbesatzung!G7,0))</f>
        <v/>
      </c>
      <c r="AL6">
        <f>IF(AF6="","",IF(IF(AH6="",0,VLOOKUP(AH6,Bausteine!$A$2:$AS$46,38,FALSE))&gt;0,IF(AH6="",0,VLOOKUP(AH6,Bausteine!$A$2:$AS$46,38,FALSE)),IF(AG6="",0,VLOOKUP(AG6,Bausteine!$A$2:$AS$46,28,FALSE))))</f>
        <v/>
      </c>
      <c r="AM6">
        <f>IF(AF6="","",IF(AG6="",0,VLOOKUP(AG6,Bausteine!$A$2:$AS$46,44,FALSE)))</f>
        <v/>
      </c>
      <c r="AN6">
        <f>IF(AF6="","",IF(AF6="",0,VLOOKUP(AF6,Bausteine!$A$2:$AS$46,27,FALSE)))</f>
        <v/>
      </c>
      <c r="AO6">
        <f>IF(AF6="","",IF(AF6="",0,VLOOKUP(AF6,Bausteine!$A$2:$AS$46,25,FALSE)))</f>
        <v/>
      </c>
      <c r="AP6">
        <f>IF(AF6="","",IF(AH6="",0,VLOOKUP(AH6,Bausteine!$A$2:$AS$46,29,FALSE)))</f>
        <v/>
      </c>
    </row>
    <row r="7">
      <c r="A7" t="inlineStr">
        <is>
          <t>Overlord Flame Roof Reflector / draft</t>
        </is>
      </c>
      <c r="B7" t="inlineStr">
        <is>
          <t>china</t>
        </is>
      </c>
      <c r="C7" t="inlineStr">
        <is>
          <t>overlord-chassis</t>
        </is>
      </c>
      <c r="D7" t="inlineStr">
        <is>
          <t>diesel-heavy-boost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heavy-twin-turret</t>
        </is>
      </c>
      <c r="H7" t="inlineStr">
        <is>
          <t>overlord-cannon</t>
        </is>
      </c>
      <c r="I7" t="inlineStr">
        <is>
          <t>heavy-shell</t>
        </is>
      </c>
      <c r="J7" t="inlineStr"/>
      <c r="K7" t="inlineStr"/>
      <c r="L7" t="inlineStr"/>
      <c r="M7">
        <f>IF(C7="",0,VLOOKUP(C7,Bausteine!$A$2:$AS$46,4,FALSE))+IF(D7="",0,VLOOKUP(D7,Bausteine!$A$2:$AS$46,4,FALSE))+IF(E7="",0,VLOOKUP(E7,Bausteine!$A$2:$AS$46,4,FALSE))+IF(F7="",0,VLOOKUP(F7,Bausteine!$A$2:$AS$46,4,FALSE))+IF(G7="",0,VLOOKUP(G7,Bausteine!$A$2:$AS$46,4,FALSE))+IF(H7="",0,VLOOKUP(H7,Bausteine!$A$2:$AS$46,4,FALSE))+IF(I7="",0,VLOOKUP(I7,Bausteine!$A$2:$AS$46,4,FALSE))+IF(J7="",0,VLOOKUP(J7,Bausteine!$A$2:$AS$46,4,FALSE))+IF(K7="",0,VLOOKUP(K7,Bausteine!$A$2:$AS$46,4,FALSE))+IF(L7="",0,VLOOKUP(L7,Bausteine!$A$2:$AS$46,4,FALSE))+IF(AC7="",0,VLOOKUP(AC7,Bausteine!$A$2:$AS$46,4,FALSE))+IF(AF7="",0,VLOOKUP(AF7,Bausteine!$A$2:$AS$46,4,FALSE))+IF(AG7="",0,VLOOKUP(AG7,Bausteine!$A$2:$AS$46,4,FALSE))+IF(AH7="",0,VLOOKUP(AH7,Bausteine!$A$2:$AS$46,4,FALSE))</f>
        <v/>
      </c>
      <c r="N7">
        <f>IF(C7="",0,VLOOKUP(C7,Bausteine!$A$2:$AS$46,5,FALSE))+IF(D7="",0,VLOOKUP(D7,Bausteine!$A$2:$AS$46,5,FALSE))+IF(E7="",0,VLOOKUP(E7,Bausteine!$A$2:$AS$46,5,FALSE))+IF(F7="",0,VLOOKUP(F7,Bausteine!$A$2:$AS$46,5,FALSE))+IF(G7="",0,VLOOKUP(G7,Bausteine!$A$2:$AS$46,5,FALSE))+IF(H7="",0,VLOOKUP(H7,Bausteine!$A$2:$AS$46,5,FALSE))+IF(I7="",0,VLOOKUP(I7,Bausteine!$A$2:$AS$46,5,FALSE))+IF(J7="",0,VLOOKUP(J7,Bausteine!$A$2:$AS$46,5,FALSE))+IF(K7="",0,VLOOKUP(K7,Bausteine!$A$2:$AS$46,5,FALSE))+IF(L7="",0,VLOOKUP(L7,Bausteine!$A$2:$AS$46,5,FALSE))+IF(AC7="",0,VLOOKUP(AC7,Bausteine!$A$2:$AS$46,5,FALSE))+IF(AF7="",0,VLOOKUP(AF7,Bausteine!$A$2:$AS$46,5,FALSE))+IF(AG7="",0,VLOOKUP(AG7,Bausteine!$A$2:$AS$46,5,FALSE))+IF(AH7="",0,VLOOKUP(AH7,Bausteine!$A$2:$AS$46,5,FALSE))</f>
        <v/>
      </c>
      <c r="O7">
        <f>MAX(IF(C7="",0,VLOOKUP(C7,Bausteine!$A$2:$AS$46,6,FALSE)),IF(D7="",0,VLOOKUP(D7,Bausteine!$A$2:$AS$46,6,FALSE)),IF(E7="",0,VLOOKUP(E7,Bausteine!$A$2:$AS$46,6,FALSE)),IF(F7="",0,VLOOKUP(F7,Bausteine!$A$2:$AS$46,6,FALSE)),IF(G7="",0,VLOOKUP(G7,Bausteine!$A$2:$AS$46,6,FALSE)),IF(H7="",0,VLOOKUP(H7,Bausteine!$A$2:$AS$46,6,FALSE)),IF(I7="",0,VLOOKUP(I7,Bausteine!$A$2:$AS$46,6,FALSE)),IF(J7="",0,VLOOKUP(J7,Bausteine!$A$2:$AS$46,6,FALSE)),IF(K7="",0,VLOOKUP(K7,Bausteine!$A$2:$AS$46,6,FALSE)),IF(L7="",0,VLOOKUP(L7,Bausteine!$A$2:$AS$46,6,FALSE)),IF(AC7="",0,VLOOKUP(AC7,Bausteine!$A$2:$AS$46,6,FALSE)),IF(AF7="",0,VLOOKUP(AF7,Bausteine!$A$2:$AS$46,6,FALSE)),IF(AG7="",0,VLOOKUP(AG7,Bausteine!$A$2:$AS$46,6,FALSE)),IF(AH7="",0,VLOOKUP(AH7,Bausteine!$A$2:$AS$46,6,FALSE)),AK7)</f>
        <v/>
      </c>
      <c r="P7">
        <f>IF(C7="",0,VLOOKUP(C7,Bausteine!$A$2:$AS$46,7,FALSE))*IF(F7="",0,VLOOKUP(F7,Bausteine!$A$2:$AS$46,17,FALSE))/100+IF(D7="",0,VLOOKUP(D7,Bausteine!$A$2:$AS$46,7,FALSE))+IF(E7="",0,VLOOKUP(E7,Bausteine!$A$2:$AS$46,7,FALSE))+IF(G7="",0,VLOOKUP(G7,Bausteine!$A$2:$AS$46,7,FALSE))+IF(H7="",0,VLOOKUP(H7,Bausteine!$A$2:$AS$46,7,FALSE))+IF(I7="",0,VLOOKUP(I7,Bausteine!$A$2:$AS$46,7,FALSE))+IF(J7="",0,VLOOKUP(J7,Bausteine!$A$2:$AS$46,7,FALSE))+IF(K7="",0,VLOOKUP(K7,Bausteine!$A$2:$AS$46,7,FALSE))+IF(L7="",0,VLOOKUP(L7,Bausteine!$A$2:$AS$46,7,FALSE))+IF(AC7="",0,VLOOKUP(AC7,Bausteine!$A$2:$AS$46,7,FALSE))+IF(AF7="",0,VLOOKUP(AF7,Bausteine!$A$2:$AS$46,7,FALSE))+IF(AG7="",0,VLOOKUP(AG7,Bausteine!$A$2:$AS$46,7,FALSE))+IF(AH7="",0,VLOOKUP(AH7,Bausteine!$A$2:$AS$46,7,FALSE))+AI7</f>
        <v/>
      </c>
      <c r="Q7">
        <f>N7*Parameter!$B$2</f>
        <v/>
      </c>
      <c r="R7">
        <f>AE7-Q7</f>
        <v/>
      </c>
      <c r="S7">
        <f>IF(C7="",0,VLOOKUP(C7,Bausteine!$A$2:$AS$46,13,FALSE))*IF(F7="",0,VLOOKUP(F7,Bausteine!$A$2:$AS$46,16,FALSE))/100</f>
        <v/>
      </c>
      <c r="T7">
        <f>IF(C7="",0,VLOOKUP(C7,Bausteine!$A$2:$AS$46,8,FALSE))*IF(F7="",0,VLOOKUP(F7,Bausteine!$A$2:$AS$46,15,FALSE))/100+IF(D7="",0,VLOOKUP(D7,Bausteine!$A$2:$AS$46,8,FALSE))+IF(E7="",0,VLOOKUP(E7,Bausteine!$A$2:$AS$46,8,FALSE))+IF(G7="",0,VLOOKUP(G7,Bausteine!$A$2:$AS$46,8,FALSE))+IF(H7="",0,VLOOKUP(H7,Bausteine!$A$2:$AS$46,8,FALSE))+IF(I7="",0,VLOOKUP(I7,Bausteine!$A$2:$AS$46,8,FALSE))+IF(J7="",0,VLOOKUP(J7,Bausteine!$A$2:$AS$46,8,FALSE))+IF(K7="",0,VLOOKUP(K7,Bausteine!$A$2:$AS$46,8,FALSE))+IF(L7="",0,VLOOKUP(L7,Bausteine!$A$2:$AS$46,8,FALSE))+IF(AC7="",0,VLOOKUP(AC7,Bausteine!$A$2:$AS$46,8,FALSE))+IF(AF7="",0,VLOOKUP(AF7,Bausteine!$A$2:$AS$46,8,FALSE))+IF(AG7="",0,VLOOKUP(AG7,Bausteine!$A$2:$AS$46,8,FALSE))+IF(AH7="",0,VLOOKUP(AH7,Bausteine!$A$2:$AS$46,8,FALSE))+AJ7</f>
        <v/>
      </c>
      <c r="U7">
        <f>IF(C7="",0,VLOOKUP(C7,Bausteine!$A$2:$AS$46,9,FALSE))+IF(D7="",0,VLOOKUP(D7,Bausteine!$A$2:$AS$46,9,FALSE))+IF(E7="",0,VLOOKUP(E7,Bausteine!$A$2:$AS$46,9,FALSE))+IF(F7="",0,VLOOKUP(F7,Bausteine!$A$2:$AS$46,9,FALSE))+IF(G7="",0,VLOOKUP(G7,Bausteine!$A$2:$AS$46,9,FALSE))+IF(H7="",0,VLOOKUP(H7,Bausteine!$A$2:$AS$46,9,FALSE))+IF(I7="",0,VLOOKUP(I7,Bausteine!$A$2:$AS$46,9,FALSE))+IF(J7="",0,VLOOKUP(J7,Bausteine!$A$2:$AS$46,9,FALSE))+IF(K7="",0,VLOOKUP(K7,Bausteine!$A$2:$AS$46,9,FALSE))+IF(L7="",0,VLOOKUP(L7,Bausteine!$A$2:$AS$46,9,FALSE))+IF(AC7="",0,VLOOKUP(AC7,Bausteine!$A$2:$AS$46,9,FALSE))+IF(AF7="",0,VLOOKUP(AF7,Bausteine!$A$2:$AS$46,9,FALSE))+IF(AG7="",0,VLOOKUP(AG7,Bausteine!$A$2:$AS$46,9,FALSE))+IF(AH7="",0,VLOOKUP(AH7,Bausteine!$A$2:$AS$46,9,FALSE))</f>
        <v/>
      </c>
      <c r="V7">
        <f>IF(D7="",0,VLOOKUP(D7,Bausteine!$A$2:$AS$46,10,FALSE))-U7/IF(E7="",0,VLOOKUP(E7,Bausteine!$A$2:$AS$46,11,FALSE))</f>
        <v/>
      </c>
      <c r="W7">
        <f>IF(Y7&lt;&gt;"OK","",ROUND(MIN(IF(C7="",0,VLOOKUP(C7,Bausteine!$A$2:$AS$46,21,FALSE)),IF(C7="",0,VLOOKUP(C7,Bausteine!$A$2:$AS$46,20,FALSE))*(V7/T7/(IF(C7="",0,VLOOKUP(C7,Bausteine!$A$2:$AS$46,19,FALSE))/IF(C7="",0,VLOOKUP(C7,Bausteine!$A$2:$AS$46,18,FALSE))))^Parameter!$B$3),0))</f>
        <v/>
      </c>
      <c r="X7">
        <f>IF(F7="",0,VLOOKUP(F7,Bausteine!$A$2:$AS$46,14,FALSE))</f>
        <v/>
      </c>
      <c r="Y7">
        <f>IFERROR(IF(OR(AD7&lt;=0,AD7&gt;1,R7&lt;=0,T7&lt;=0,V7&lt;=0,U7&gt;IF(E7="",0,VLOOKUP(E7,Bausteine!$A$2:$AS$46,12,FALSE)),T7&gt;IF(C7="",0,VLOOKUP(C7,Bausteine!$A$2:$AS$46,22,FALSE)),IF(E7="",0,VLOOKUP(E7,Bausteine!$A$2:$AS$46,11,FALSE))&lt;=0,IF(E7="",0,VLOOKUP(E7,Bausteine!$A$2:$AS$46,11,FALSE))&gt;1),"UNGUELTIG","OK"),"FEHLER")</f>
        <v/>
      </c>
      <c r="Z7" t="n">
        <v>2250</v>
      </c>
      <c r="AA7" t="n">
        <v>55</v>
      </c>
      <c r="AB7" t="inlineStr">
        <is>
          <t>OFFLINE DRAFT: unverified roof artwork. Ordinary flame loadout already has lingering fire effects; no new ammunition compiler is implemented.</t>
        </is>
      </c>
      <c r="AC7" t="inlineStr"/>
      <c r="AD7">
        <f>IF(AC7="",1,IF(AC7="",0,VLOOKUP(AC7,Bausteine!$A$2:$AS$46,37,FALSE))/100)</f>
        <v/>
      </c>
      <c r="AE7">
        <f>P7*AD7</f>
        <v/>
      </c>
      <c r="AF7" t="inlineStr">
        <is>
          <t>flame-turret</t>
        </is>
      </c>
      <c r="AG7" t="inlineStr">
        <is>
          <t>dragon-flamer</t>
        </is>
      </c>
      <c r="AH7" t="inlineStr">
        <is>
          <t>flame-fuel</t>
        </is>
      </c>
      <c r="AI7">
        <f>SUMIF(Startbesatzung!$A$2:$A$7,A7,Startbesatzung!$D$2:$D$7)</f>
        <v/>
      </c>
      <c r="AJ7">
        <f>SUMIF(Startbesatzung!$A$2:$A$7,A7,Startbesatzung!$E$2:$E$7)</f>
        <v/>
      </c>
      <c r="AK7">
        <f>MAX(0,IF(Startbesatzung!A2=A7,Startbesatzung!G2,0),IF(Startbesatzung!A3=A7,Startbesatzung!G3,0),IF(Startbesatzung!A4=A7,Startbesatzung!G4,0),IF(Startbesatzung!A5=A7,Startbesatzung!G5,0),IF(Startbesatzung!A6=A7,Startbesatzung!G6,0),IF(Startbesatzung!A7=A7,Startbesatzung!G7,0))</f>
        <v/>
      </c>
      <c r="AL7">
        <f>IF(AF7="","",IF(IF(AH7="",0,VLOOKUP(AH7,Bausteine!$A$2:$AS$46,38,FALSE))&gt;0,IF(AH7="",0,VLOOKUP(AH7,Bausteine!$A$2:$AS$46,38,FALSE)),IF(AG7="",0,VLOOKUP(AG7,Bausteine!$A$2:$AS$46,28,FALSE))))</f>
        <v/>
      </c>
      <c r="AM7">
        <f>IF(AF7="","",IF(AG7="",0,VLOOKUP(AG7,Bausteine!$A$2:$AS$46,44,FALSE)))</f>
        <v/>
      </c>
      <c r="AN7">
        <f>IF(AF7="","",IF(AF7="",0,VLOOKUP(AF7,Bausteine!$A$2:$AS$46,27,FALSE)))</f>
        <v/>
      </c>
      <c r="AO7">
        <f>IF(AF7="","",IF(AF7="",0,VLOOKUP(AF7,Bausteine!$A$2:$AS$46,25,FALSE)))</f>
        <v/>
      </c>
      <c r="AP7">
        <f>IF(AF7="","",IF(AH7="",0,VLOOKUP(AH7,Bausteine!$A$2:$AS$46,29,FALSE)))</f>
        <v/>
      </c>
    </row>
    <row r="8">
      <c r="A8" t="inlineStr">
        <is>
          <t>Overlord Gatling</t>
        </is>
      </c>
      <c r="B8" t="inlineStr">
        <is>
          <t>china</t>
        </is>
      </c>
      <c r="C8" t="inlineStr">
        <is>
          <t>overlord-chassis</t>
        </is>
      </c>
      <c r="D8" t="inlineStr">
        <is>
          <t>diesel-heavy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heavy-twin-turret</t>
        </is>
      </c>
      <c r="H8" t="inlineStr">
        <is>
          <t>overlord-cannon</t>
        </is>
      </c>
      <c r="I8" t="inlineStr">
        <is>
          <t>heavy-shell</t>
        </is>
      </c>
      <c r="J8" t="inlineStr"/>
      <c r="K8" t="inlineStr"/>
      <c r="L8" t="inlineStr"/>
      <c r="M8">
        <f>IF(C8="",0,VLOOKUP(C8,Bausteine!$A$2:$AS$46,4,FALSE))+IF(D8="",0,VLOOKUP(D8,Bausteine!$A$2:$AS$46,4,FALSE))+IF(E8="",0,VLOOKUP(E8,Bausteine!$A$2:$AS$46,4,FALSE))+IF(F8="",0,VLOOKUP(F8,Bausteine!$A$2:$AS$46,4,FALSE))+IF(G8="",0,VLOOKUP(G8,Bausteine!$A$2:$AS$46,4,FALSE))+IF(H8="",0,VLOOKUP(H8,Bausteine!$A$2:$AS$46,4,FALSE))+IF(I8="",0,VLOOKUP(I8,Bausteine!$A$2:$AS$46,4,FALSE))+IF(J8="",0,VLOOKUP(J8,Bausteine!$A$2:$AS$46,4,FALSE))+IF(K8="",0,VLOOKUP(K8,Bausteine!$A$2:$AS$46,4,FALSE))+IF(L8="",0,VLOOKUP(L8,Bausteine!$A$2:$AS$46,4,FALSE))+IF(AC8="",0,VLOOKUP(AC8,Bausteine!$A$2:$AS$46,4,FALSE))+IF(AF8="",0,VLOOKUP(AF8,Bausteine!$A$2:$AS$46,4,FALSE))+IF(AG8="",0,VLOOKUP(AG8,Bausteine!$A$2:$AS$46,4,FALSE))+IF(AH8="",0,VLOOKUP(AH8,Bausteine!$A$2:$AS$46,4,FALSE))</f>
        <v/>
      </c>
      <c r="N8">
        <f>IF(C8="",0,VLOOKUP(C8,Bausteine!$A$2:$AS$46,5,FALSE))+IF(D8="",0,VLOOKUP(D8,Bausteine!$A$2:$AS$46,5,FALSE))+IF(E8="",0,VLOOKUP(E8,Bausteine!$A$2:$AS$46,5,FALSE))+IF(F8="",0,VLOOKUP(F8,Bausteine!$A$2:$AS$46,5,FALSE))+IF(G8="",0,VLOOKUP(G8,Bausteine!$A$2:$AS$46,5,FALSE))+IF(H8="",0,VLOOKUP(H8,Bausteine!$A$2:$AS$46,5,FALSE))+IF(I8="",0,VLOOKUP(I8,Bausteine!$A$2:$AS$46,5,FALSE))+IF(J8="",0,VLOOKUP(J8,Bausteine!$A$2:$AS$46,5,FALSE))+IF(K8="",0,VLOOKUP(K8,Bausteine!$A$2:$AS$46,5,FALSE))+IF(L8="",0,VLOOKUP(L8,Bausteine!$A$2:$AS$46,5,FALSE))+IF(AC8="",0,VLOOKUP(AC8,Bausteine!$A$2:$AS$46,5,FALSE))+IF(AF8="",0,VLOOKUP(AF8,Bausteine!$A$2:$AS$46,5,FALSE))+IF(AG8="",0,VLOOKUP(AG8,Bausteine!$A$2:$AS$46,5,FALSE))+IF(AH8="",0,VLOOKUP(AH8,Bausteine!$A$2:$AS$46,5,FALSE))</f>
        <v/>
      </c>
      <c r="O8">
        <f>MAX(IF(C8="",0,VLOOKUP(C8,Bausteine!$A$2:$AS$46,6,FALSE)),IF(D8="",0,VLOOKUP(D8,Bausteine!$A$2:$AS$46,6,FALSE)),IF(E8="",0,VLOOKUP(E8,Bausteine!$A$2:$AS$46,6,FALSE)),IF(F8="",0,VLOOKUP(F8,Bausteine!$A$2:$AS$46,6,FALSE)),IF(G8="",0,VLOOKUP(G8,Bausteine!$A$2:$AS$46,6,FALSE)),IF(H8="",0,VLOOKUP(H8,Bausteine!$A$2:$AS$46,6,FALSE)),IF(I8="",0,VLOOKUP(I8,Bausteine!$A$2:$AS$46,6,FALSE)),IF(J8="",0,VLOOKUP(J8,Bausteine!$A$2:$AS$46,6,FALSE)),IF(K8="",0,VLOOKUP(K8,Bausteine!$A$2:$AS$46,6,FALSE)),IF(L8="",0,VLOOKUP(L8,Bausteine!$A$2:$AS$46,6,FALSE)),IF(AC8="",0,VLOOKUP(AC8,Bausteine!$A$2:$AS$46,6,FALSE)),IF(AF8="",0,VLOOKUP(AF8,Bausteine!$A$2:$AS$46,6,FALSE)),IF(AG8="",0,VLOOKUP(AG8,Bausteine!$A$2:$AS$46,6,FALSE)),IF(AH8="",0,VLOOKUP(AH8,Bausteine!$A$2:$AS$46,6,FALSE)),AK8)</f>
        <v/>
      </c>
      <c r="P8">
        <f>IF(C8="",0,VLOOKUP(C8,Bausteine!$A$2:$AS$46,7,FALSE))*IF(F8="",0,VLOOKUP(F8,Bausteine!$A$2:$AS$46,17,FALSE))/100+IF(D8="",0,VLOOKUP(D8,Bausteine!$A$2:$AS$46,7,FALSE))+IF(E8="",0,VLOOKUP(E8,Bausteine!$A$2:$AS$46,7,FALSE))+IF(G8="",0,VLOOKUP(G8,Bausteine!$A$2:$AS$46,7,FALSE))+IF(H8="",0,VLOOKUP(H8,Bausteine!$A$2:$AS$46,7,FALSE))+IF(I8="",0,VLOOKUP(I8,Bausteine!$A$2:$AS$46,7,FALSE))+IF(J8="",0,VLOOKUP(J8,Bausteine!$A$2:$AS$46,7,FALSE))+IF(K8="",0,VLOOKUP(K8,Bausteine!$A$2:$AS$46,7,FALSE))+IF(L8="",0,VLOOKUP(L8,Bausteine!$A$2:$AS$46,7,FALSE))+IF(AC8="",0,VLOOKUP(AC8,Bausteine!$A$2:$AS$46,7,FALSE))+IF(AF8="",0,VLOOKUP(AF8,Bausteine!$A$2:$AS$46,7,FALSE))+IF(AG8="",0,VLOOKUP(AG8,Bausteine!$A$2:$AS$46,7,FALSE))+IF(AH8="",0,VLOOKUP(AH8,Bausteine!$A$2:$AS$46,7,FALSE))+AI8</f>
        <v/>
      </c>
      <c r="Q8">
        <f>N8*Parameter!$B$2</f>
        <v/>
      </c>
      <c r="R8">
        <f>AE8-Q8</f>
        <v/>
      </c>
      <c r="S8">
        <f>IF(C8="",0,VLOOKUP(C8,Bausteine!$A$2:$AS$46,13,FALSE))*IF(F8="",0,VLOOKUP(F8,Bausteine!$A$2:$AS$46,16,FALSE))/100</f>
        <v/>
      </c>
      <c r="T8">
        <f>IF(C8="",0,VLOOKUP(C8,Bausteine!$A$2:$AS$46,8,FALSE))*IF(F8="",0,VLOOKUP(F8,Bausteine!$A$2:$AS$46,15,FALSE))/100+IF(D8="",0,VLOOKUP(D8,Bausteine!$A$2:$AS$46,8,FALSE))+IF(E8="",0,VLOOKUP(E8,Bausteine!$A$2:$AS$46,8,FALSE))+IF(G8="",0,VLOOKUP(G8,Bausteine!$A$2:$AS$46,8,FALSE))+IF(H8="",0,VLOOKUP(H8,Bausteine!$A$2:$AS$46,8,FALSE))+IF(I8="",0,VLOOKUP(I8,Bausteine!$A$2:$AS$46,8,FALSE))+IF(J8="",0,VLOOKUP(J8,Bausteine!$A$2:$AS$46,8,FALSE))+IF(K8="",0,VLOOKUP(K8,Bausteine!$A$2:$AS$46,8,FALSE))+IF(L8="",0,VLOOKUP(L8,Bausteine!$A$2:$AS$46,8,FALSE))+IF(AC8="",0,VLOOKUP(AC8,Bausteine!$A$2:$AS$46,8,FALSE))+IF(AF8="",0,VLOOKUP(AF8,Bausteine!$A$2:$AS$46,8,FALSE))+IF(AG8="",0,VLOOKUP(AG8,Bausteine!$A$2:$AS$46,8,FALSE))+IF(AH8="",0,VLOOKUP(AH8,Bausteine!$A$2:$AS$46,8,FALSE))+AJ8</f>
        <v/>
      </c>
      <c r="U8">
        <f>IF(C8="",0,VLOOKUP(C8,Bausteine!$A$2:$AS$46,9,FALSE))+IF(D8="",0,VLOOKUP(D8,Bausteine!$A$2:$AS$46,9,FALSE))+IF(E8="",0,VLOOKUP(E8,Bausteine!$A$2:$AS$46,9,FALSE))+IF(F8="",0,VLOOKUP(F8,Bausteine!$A$2:$AS$46,9,FALSE))+IF(G8="",0,VLOOKUP(G8,Bausteine!$A$2:$AS$46,9,FALSE))+IF(H8="",0,VLOOKUP(H8,Bausteine!$A$2:$AS$46,9,FALSE))+IF(I8="",0,VLOOKUP(I8,Bausteine!$A$2:$AS$46,9,FALSE))+IF(J8="",0,VLOOKUP(J8,Bausteine!$A$2:$AS$46,9,FALSE))+IF(K8="",0,VLOOKUP(K8,Bausteine!$A$2:$AS$46,9,FALSE))+IF(L8="",0,VLOOKUP(L8,Bausteine!$A$2:$AS$46,9,FALSE))+IF(AC8="",0,VLOOKUP(AC8,Bausteine!$A$2:$AS$46,9,FALSE))+IF(AF8="",0,VLOOKUP(AF8,Bausteine!$A$2:$AS$46,9,FALSE))+IF(AG8="",0,VLOOKUP(AG8,Bausteine!$A$2:$AS$46,9,FALSE))+IF(AH8="",0,VLOOKUP(AH8,Bausteine!$A$2:$AS$46,9,FALSE))</f>
        <v/>
      </c>
      <c r="V8">
        <f>IF(D8="",0,VLOOKUP(D8,Bausteine!$A$2:$AS$46,10,FALSE))-U8/IF(E8="",0,VLOOKUP(E8,Bausteine!$A$2:$AS$46,11,FALSE))</f>
        <v/>
      </c>
      <c r="W8">
        <f>IF(Y8&lt;&gt;"OK","",ROUND(MIN(IF(C8="",0,VLOOKUP(C8,Bausteine!$A$2:$AS$46,21,FALSE)),IF(C8="",0,VLOOKUP(C8,Bausteine!$A$2:$AS$46,20,FALSE))*(V8/T8/(IF(C8="",0,VLOOKUP(C8,Bausteine!$A$2:$AS$46,19,FALSE))/IF(C8="",0,VLOOKUP(C8,Bausteine!$A$2:$AS$46,18,FALSE))))^Parameter!$B$3),0))</f>
        <v/>
      </c>
      <c r="X8">
        <f>IF(F8="",0,VLOOKUP(F8,Bausteine!$A$2:$AS$46,14,FALSE))</f>
        <v/>
      </c>
      <c r="Y8">
        <f>IFERROR(IF(OR(AD8&lt;=0,AD8&gt;1,R8&lt;=0,T8&lt;=0,V8&lt;=0,U8&gt;IF(E8="",0,VLOOKUP(E8,Bausteine!$A$2:$AS$46,12,FALSE)),T8&gt;IF(C8="",0,VLOOKUP(C8,Bausteine!$A$2:$AS$46,22,FALSE)),IF(E8="",0,VLOOKUP(E8,Bausteine!$A$2:$AS$46,11,FALSE))&lt;=0,IF(E8="",0,VLOOKUP(E8,Bausteine!$A$2:$AS$46,11,FALSE))&gt;1),"UNGUELTIG","OK"),"FEHLER")</f>
        <v/>
      </c>
      <c r="Z8" t="n">
        <v>2000</v>
      </c>
      <c r="AA8" t="n">
        <v>54</v>
      </c>
      <c r="AB8" t="inlineStr">
        <is>
          <t>Separate roof carrier; retains main cannon. Gatling spin-up and sensors reuse existing templates.</t>
        </is>
      </c>
      <c r="AC8" t="inlineStr"/>
      <c r="AD8">
        <f>IF(AC8="",1,IF(AC8="",0,VLOOKUP(AC8,Bausteine!$A$2:$AS$46,37,FALSE))/100)</f>
        <v/>
      </c>
      <c r="AE8">
        <f>P8*AD8</f>
        <v/>
      </c>
      <c r="AF8" t="inlineStr">
        <is>
          <t>gatling-roof-carrier</t>
        </is>
      </c>
      <c r="AG8" t="inlineStr">
        <is>
          <t>gatling-gun</t>
        </is>
      </c>
      <c r="AH8" t="inlineStr">
        <is>
          <t>gatling-rounds</t>
        </is>
      </c>
      <c r="AI8">
        <f>SUMIF(Startbesatzung!$A$2:$A$7,A8,Startbesatzung!$D$2:$D$7)</f>
        <v/>
      </c>
      <c r="AJ8">
        <f>SUMIF(Startbesatzung!$A$2:$A$7,A8,Startbesatzung!$E$2:$E$7)</f>
        <v/>
      </c>
      <c r="AK8">
        <f>MAX(0,IF(Startbesatzung!A2=A8,Startbesatzung!G2,0),IF(Startbesatzung!A3=A8,Startbesatzung!G3,0),IF(Startbesatzung!A4=A8,Startbesatzung!G4,0),IF(Startbesatzung!A5=A8,Startbesatzung!G5,0),IF(Startbesatzung!A6=A8,Startbesatzung!G6,0),IF(Startbesatzung!A7=A8,Startbesatzung!G7,0))</f>
        <v/>
      </c>
      <c r="AL8">
        <f>IF(AF8="","",IF(IF(AH8="",0,VLOOKUP(AH8,Bausteine!$A$2:$AS$46,38,FALSE))&gt;0,IF(AH8="",0,VLOOKUP(AH8,Bausteine!$A$2:$AS$46,38,FALSE)),IF(AG8="",0,VLOOKUP(AG8,Bausteine!$A$2:$AS$46,28,FALSE))))</f>
        <v/>
      </c>
      <c r="AM8">
        <f>IF(AF8="","",IF(AG8="",0,VLOOKUP(AG8,Bausteine!$A$2:$AS$46,44,FALSE)))</f>
        <v/>
      </c>
      <c r="AN8">
        <f>IF(AF8="","",IF(AF8="",0,VLOOKUP(AF8,Bausteine!$A$2:$AS$46,27,FALSE)))</f>
        <v/>
      </c>
      <c r="AO8">
        <f>IF(AF8="","",IF(AF8="",0,VLOOKUP(AF8,Bausteine!$A$2:$AS$46,25,FALSE)))</f>
        <v/>
      </c>
      <c r="AP8">
        <f>IF(AF8="","",IF(AH8="",0,VLOOKUP(AH8,Bausteine!$A$2:$AS$46,29,FALSE)))</f>
        <v/>
      </c>
    </row>
    <row r="9">
      <c r="A9" t="inlineStr">
        <is>
          <t>Overlord Gatling PDL</t>
        </is>
      </c>
      <c r="B9" t="inlineStr">
        <is>
          <t>china</t>
        </is>
      </c>
      <c r="C9" t="inlineStr">
        <is>
          <t>overlord-chassis</t>
        </is>
      </c>
      <c r="D9" t="inlineStr">
        <is>
          <t>diesel-heavy-boost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heavy-twin-turret</t>
        </is>
      </c>
      <c r="H9" t="inlineStr">
        <is>
          <t>overlord-cannon</t>
        </is>
      </c>
      <c r="I9" t="inlineStr">
        <is>
          <t>heavy-shell</t>
        </is>
      </c>
      <c r="J9" t="inlineStr">
        <is>
          <t>pdl</t>
        </is>
      </c>
      <c r="K9" t="inlineStr"/>
      <c r="L9" t="inlineStr"/>
      <c r="M9">
        <f>IF(C9="",0,VLOOKUP(C9,Bausteine!$A$2:$AS$46,4,FALSE))+IF(D9="",0,VLOOKUP(D9,Bausteine!$A$2:$AS$46,4,FALSE))+IF(E9="",0,VLOOKUP(E9,Bausteine!$A$2:$AS$46,4,FALSE))+IF(F9="",0,VLOOKUP(F9,Bausteine!$A$2:$AS$46,4,FALSE))+IF(G9="",0,VLOOKUP(G9,Bausteine!$A$2:$AS$46,4,FALSE))+IF(H9="",0,VLOOKUP(H9,Bausteine!$A$2:$AS$46,4,FALSE))+IF(I9="",0,VLOOKUP(I9,Bausteine!$A$2:$AS$46,4,FALSE))+IF(J9="",0,VLOOKUP(J9,Bausteine!$A$2:$AS$46,4,FALSE))+IF(K9="",0,VLOOKUP(K9,Bausteine!$A$2:$AS$46,4,FALSE))+IF(L9="",0,VLOOKUP(L9,Bausteine!$A$2:$AS$46,4,FALSE))+IF(AC9="",0,VLOOKUP(AC9,Bausteine!$A$2:$AS$46,4,FALSE))+IF(AF9="",0,VLOOKUP(AF9,Bausteine!$A$2:$AS$46,4,FALSE))+IF(AG9="",0,VLOOKUP(AG9,Bausteine!$A$2:$AS$46,4,FALSE))+IF(AH9="",0,VLOOKUP(AH9,Bausteine!$A$2:$AS$46,4,FALSE))</f>
        <v/>
      </c>
      <c r="N9">
        <f>IF(C9="",0,VLOOKUP(C9,Bausteine!$A$2:$AS$46,5,FALSE))+IF(D9="",0,VLOOKUP(D9,Bausteine!$A$2:$AS$46,5,FALSE))+IF(E9="",0,VLOOKUP(E9,Bausteine!$A$2:$AS$46,5,FALSE))+IF(F9="",0,VLOOKUP(F9,Bausteine!$A$2:$AS$46,5,FALSE))+IF(G9="",0,VLOOKUP(G9,Bausteine!$A$2:$AS$46,5,FALSE))+IF(H9="",0,VLOOKUP(H9,Bausteine!$A$2:$AS$46,5,FALSE))+IF(I9="",0,VLOOKUP(I9,Bausteine!$A$2:$AS$46,5,FALSE))+IF(J9="",0,VLOOKUP(J9,Bausteine!$A$2:$AS$46,5,FALSE))+IF(K9="",0,VLOOKUP(K9,Bausteine!$A$2:$AS$46,5,FALSE))+IF(L9="",0,VLOOKUP(L9,Bausteine!$A$2:$AS$46,5,FALSE))+IF(AC9="",0,VLOOKUP(AC9,Bausteine!$A$2:$AS$46,5,FALSE))+IF(AF9="",0,VLOOKUP(AF9,Bausteine!$A$2:$AS$46,5,FALSE))+IF(AG9="",0,VLOOKUP(AG9,Bausteine!$A$2:$AS$46,5,FALSE))+IF(AH9="",0,VLOOKUP(AH9,Bausteine!$A$2:$AS$46,5,FALSE))</f>
        <v/>
      </c>
      <c r="O9">
        <f>MAX(IF(C9="",0,VLOOKUP(C9,Bausteine!$A$2:$AS$46,6,FALSE)),IF(D9="",0,VLOOKUP(D9,Bausteine!$A$2:$AS$46,6,FALSE)),IF(E9="",0,VLOOKUP(E9,Bausteine!$A$2:$AS$46,6,FALSE)),IF(F9="",0,VLOOKUP(F9,Bausteine!$A$2:$AS$46,6,FALSE)),IF(G9="",0,VLOOKUP(G9,Bausteine!$A$2:$AS$46,6,FALSE)),IF(H9="",0,VLOOKUP(H9,Bausteine!$A$2:$AS$46,6,FALSE)),IF(I9="",0,VLOOKUP(I9,Bausteine!$A$2:$AS$46,6,FALSE)),IF(J9="",0,VLOOKUP(J9,Bausteine!$A$2:$AS$46,6,FALSE)),IF(K9="",0,VLOOKUP(K9,Bausteine!$A$2:$AS$46,6,FALSE)),IF(L9="",0,VLOOKUP(L9,Bausteine!$A$2:$AS$46,6,FALSE)),IF(AC9="",0,VLOOKUP(AC9,Bausteine!$A$2:$AS$46,6,FALSE)),IF(AF9="",0,VLOOKUP(AF9,Bausteine!$A$2:$AS$46,6,FALSE)),IF(AG9="",0,VLOOKUP(AG9,Bausteine!$A$2:$AS$46,6,FALSE)),IF(AH9="",0,VLOOKUP(AH9,Bausteine!$A$2:$AS$46,6,FALSE)),AK9)</f>
        <v/>
      </c>
      <c r="P9">
        <f>IF(C9="",0,VLOOKUP(C9,Bausteine!$A$2:$AS$46,7,FALSE))*IF(F9="",0,VLOOKUP(F9,Bausteine!$A$2:$AS$46,17,FALSE))/100+IF(D9="",0,VLOOKUP(D9,Bausteine!$A$2:$AS$46,7,FALSE))+IF(E9="",0,VLOOKUP(E9,Bausteine!$A$2:$AS$46,7,FALSE))+IF(G9="",0,VLOOKUP(G9,Bausteine!$A$2:$AS$46,7,FALSE))+IF(H9="",0,VLOOKUP(H9,Bausteine!$A$2:$AS$46,7,FALSE))+IF(I9="",0,VLOOKUP(I9,Bausteine!$A$2:$AS$46,7,FALSE))+IF(J9="",0,VLOOKUP(J9,Bausteine!$A$2:$AS$46,7,FALSE))+IF(K9="",0,VLOOKUP(K9,Bausteine!$A$2:$AS$46,7,FALSE))+IF(L9="",0,VLOOKUP(L9,Bausteine!$A$2:$AS$46,7,FALSE))+IF(AC9="",0,VLOOKUP(AC9,Bausteine!$A$2:$AS$46,7,FALSE))+IF(AF9="",0,VLOOKUP(AF9,Bausteine!$A$2:$AS$46,7,FALSE))+IF(AG9="",0,VLOOKUP(AG9,Bausteine!$A$2:$AS$46,7,FALSE))+IF(AH9="",0,VLOOKUP(AH9,Bausteine!$A$2:$AS$46,7,FALSE))+AI9</f>
        <v/>
      </c>
      <c r="Q9">
        <f>N9*Parameter!$B$2</f>
        <v/>
      </c>
      <c r="R9">
        <f>AE9-Q9</f>
        <v/>
      </c>
      <c r="S9">
        <f>IF(C9="",0,VLOOKUP(C9,Bausteine!$A$2:$AS$46,13,FALSE))*IF(F9="",0,VLOOKUP(F9,Bausteine!$A$2:$AS$46,16,FALSE))/100</f>
        <v/>
      </c>
      <c r="T9">
        <f>IF(C9="",0,VLOOKUP(C9,Bausteine!$A$2:$AS$46,8,FALSE))*IF(F9="",0,VLOOKUP(F9,Bausteine!$A$2:$AS$46,15,FALSE))/100+IF(D9="",0,VLOOKUP(D9,Bausteine!$A$2:$AS$46,8,FALSE))+IF(E9="",0,VLOOKUP(E9,Bausteine!$A$2:$AS$46,8,FALSE))+IF(G9="",0,VLOOKUP(G9,Bausteine!$A$2:$AS$46,8,FALSE))+IF(H9="",0,VLOOKUP(H9,Bausteine!$A$2:$AS$46,8,FALSE))+IF(I9="",0,VLOOKUP(I9,Bausteine!$A$2:$AS$46,8,FALSE))+IF(J9="",0,VLOOKUP(J9,Bausteine!$A$2:$AS$46,8,FALSE))+IF(K9="",0,VLOOKUP(K9,Bausteine!$A$2:$AS$46,8,FALSE))+IF(L9="",0,VLOOKUP(L9,Bausteine!$A$2:$AS$46,8,FALSE))+IF(AC9="",0,VLOOKUP(AC9,Bausteine!$A$2:$AS$46,8,FALSE))+IF(AF9="",0,VLOOKUP(AF9,Bausteine!$A$2:$AS$46,8,FALSE))+IF(AG9="",0,VLOOKUP(AG9,Bausteine!$A$2:$AS$46,8,FALSE))+IF(AH9="",0,VLOOKUP(AH9,Bausteine!$A$2:$AS$46,8,FALSE))+AJ9</f>
        <v/>
      </c>
      <c r="U9">
        <f>IF(C9="",0,VLOOKUP(C9,Bausteine!$A$2:$AS$46,9,FALSE))+IF(D9="",0,VLOOKUP(D9,Bausteine!$A$2:$AS$46,9,FALSE))+IF(E9="",0,VLOOKUP(E9,Bausteine!$A$2:$AS$46,9,FALSE))+IF(F9="",0,VLOOKUP(F9,Bausteine!$A$2:$AS$46,9,FALSE))+IF(G9="",0,VLOOKUP(G9,Bausteine!$A$2:$AS$46,9,FALSE))+IF(H9="",0,VLOOKUP(H9,Bausteine!$A$2:$AS$46,9,FALSE))+IF(I9="",0,VLOOKUP(I9,Bausteine!$A$2:$AS$46,9,FALSE))+IF(J9="",0,VLOOKUP(J9,Bausteine!$A$2:$AS$46,9,FALSE))+IF(K9="",0,VLOOKUP(K9,Bausteine!$A$2:$AS$46,9,FALSE))+IF(L9="",0,VLOOKUP(L9,Bausteine!$A$2:$AS$46,9,FALSE))+IF(AC9="",0,VLOOKUP(AC9,Bausteine!$A$2:$AS$46,9,FALSE))+IF(AF9="",0,VLOOKUP(AF9,Bausteine!$A$2:$AS$46,9,FALSE))+IF(AG9="",0,VLOOKUP(AG9,Bausteine!$A$2:$AS$46,9,FALSE))+IF(AH9="",0,VLOOKUP(AH9,Bausteine!$A$2:$AS$46,9,FALSE))</f>
        <v/>
      </c>
      <c r="V9">
        <f>IF(D9="",0,VLOOKUP(D9,Bausteine!$A$2:$AS$46,10,FALSE))-U9/IF(E9="",0,VLOOKUP(E9,Bausteine!$A$2:$AS$46,11,FALSE))</f>
        <v/>
      </c>
      <c r="W9">
        <f>IF(Y9&lt;&gt;"OK","",ROUND(MIN(IF(C9="",0,VLOOKUP(C9,Bausteine!$A$2:$AS$46,21,FALSE)),IF(C9="",0,VLOOKUP(C9,Bausteine!$A$2:$AS$46,20,FALSE))*(V9/T9/(IF(C9="",0,VLOOKUP(C9,Bausteine!$A$2:$AS$46,19,FALSE))/IF(C9="",0,VLOOKUP(C9,Bausteine!$A$2:$AS$46,18,FALSE))))^Parameter!$B$3),0))</f>
        <v/>
      </c>
      <c r="X9">
        <f>IF(F9="",0,VLOOKUP(F9,Bausteine!$A$2:$AS$46,14,FALSE))</f>
        <v/>
      </c>
      <c r="Y9">
        <f>IFERROR(IF(OR(AD9&lt;=0,AD9&gt;1,R9&lt;=0,T9&lt;=0,V9&lt;=0,U9&gt;IF(E9="",0,VLOOKUP(E9,Bausteine!$A$2:$AS$46,12,FALSE)),T9&gt;IF(C9="",0,VLOOKUP(C9,Bausteine!$A$2:$AS$46,22,FALSE)),IF(E9="",0,VLOOKUP(E9,Bausteine!$A$2:$AS$46,11,FALSE))&lt;=0,IF(E9="",0,VLOOKUP(E9,Bausteine!$A$2:$AS$46,11,FALSE))&gt;1),"UNGUELTIG","OK"),"FEHLER")</f>
        <v/>
      </c>
      <c r="Z9" t="n">
        <v>2650</v>
      </c>
      <c r="AA9" t="n">
        <v>55</v>
      </c>
      <c r="AB9" t="inlineStr"/>
      <c r="AC9" t="inlineStr"/>
      <c r="AD9">
        <f>IF(AC9="",1,IF(AC9="",0,VLOOKUP(AC9,Bausteine!$A$2:$AS$46,37,FALSE))/100)</f>
        <v/>
      </c>
      <c r="AE9">
        <f>P9*AD9</f>
        <v/>
      </c>
      <c r="AF9" t="inlineStr">
        <is>
          <t>gatling-roof-carrier</t>
        </is>
      </c>
      <c r="AG9" t="inlineStr">
        <is>
          <t>gatling-gun</t>
        </is>
      </c>
      <c r="AH9" t="inlineStr">
        <is>
          <t>gatling-rounds</t>
        </is>
      </c>
      <c r="AI9">
        <f>SUMIF(Startbesatzung!$A$2:$A$7,A9,Startbesatzung!$D$2:$D$7)</f>
        <v/>
      </c>
      <c r="AJ9">
        <f>SUMIF(Startbesatzung!$A$2:$A$7,A9,Startbesatzung!$E$2:$E$7)</f>
        <v/>
      </c>
      <c r="AK9">
        <f>MAX(0,IF(Startbesatzung!A2=A9,Startbesatzung!G2,0),IF(Startbesatzung!A3=A9,Startbesatzung!G3,0),IF(Startbesatzung!A4=A9,Startbesatzung!G4,0),IF(Startbesatzung!A5=A9,Startbesatzung!G5,0),IF(Startbesatzung!A6=A9,Startbesatzung!G6,0),IF(Startbesatzung!A7=A9,Startbesatzung!G7,0))</f>
        <v/>
      </c>
      <c r="AL9">
        <f>IF(AF9="","",IF(IF(AH9="",0,VLOOKUP(AH9,Bausteine!$A$2:$AS$46,38,FALSE))&gt;0,IF(AH9="",0,VLOOKUP(AH9,Bausteine!$A$2:$AS$46,38,FALSE)),IF(AG9="",0,VLOOKUP(AG9,Bausteine!$A$2:$AS$46,28,FALSE))))</f>
        <v/>
      </c>
      <c r="AM9">
        <f>IF(AF9="","",IF(AG9="",0,VLOOKUP(AG9,Bausteine!$A$2:$AS$46,44,FALSE)))</f>
        <v/>
      </c>
      <c r="AN9">
        <f>IF(AF9="","",IF(AF9="",0,VLOOKUP(AF9,Bausteine!$A$2:$AS$46,27,FALSE)))</f>
        <v/>
      </c>
      <c r="AO9">
        <f>IF(AF9="","",IF(AF9="",0,VLOOKUP(AF9,Bausteine!$A$2:$AS$46,25,FALSE)))</f>
        <v/>
      </c>
      <c r="AP9">
        <f>IF(AF9="","",IF(AH9="",0,VLOOKUP(AH9,Bausteine!$A$2:$AS$46,29,FALSE)))</f>
        <v/>
      </c>
    </row>
    <row r="10">
      <c r="A10" t="inlineStr">
        <is>
          <t>Overlord Gatling Reflector</t>
        </is>
      </c>
      <c r="B10" t="inlineStr">
        <is>
          <t>china</t>
        </is>
      </c>
      <c r="C10" t="inlineStr">
        <is>
          <t>overlord-chassis</t>
        </is>
      </c>
      <c r="D10" t="inlineStr">
        <is>
          <t>diesel-heavy-boost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heavy-twin-turret</t>
        </is>
      </c>
      <c r="H10" t="inlineStr">
        <is>
          <t>overlord-cannon</t>
        </is>
      </c>
      <c r="I10" t="inlineStr">
        <is>
          <t>heavy-shell</t>
        </is>
      </c>
      <c r="J10" t="inlineStr"/>
      <c r="K10" t="inlineStr"/>
      <c r="L10" t="inlineStr"/>
      <c r="M10">
        <f>IF(C10="",0,VLOOKUP(C10,Bausteine!$A$2:$AS$46,4,FALSE))+IF(D10="",0,VLOOKUP(D10,Bausteine!$A$2:$AS$46,4,FALSE))+IF(E10="",0,VLOOKUP(E10,Bausteine!$A$2:$AS$46,4,FALSE))+IF(F10="",0,VLOOKUP(F10,Bausteine!$A$2:$AS$46,4,FALSE))+IF(G10="",0,VLOOKUP(G10,Bausteine!$A$2:$AS$46,4,FALSE))+IF(H10="",0,VLOOKUP(H10,Bausteine!$A$2:$AS$46,4,FALSE))+IF(I10="",0,VLOOKUP(I10,Bausteine!$A$2:$AS$46,4,FALSE))+IF(J10="",0,VLOOKUP(J10,Bausteine!$A$2:$AS$46,4,FALSE))+IF(K10="",0,VLOOKUP(K10,Bausteine!$A$2:$AS$46,4,FALSE))+IF(L10="",0,VLOOKUP(L10,Bausteine!$A$2:$AS$46,4,FALSE))+IF(AC10="",0,VLOOKUP(AC10,Bausteine!$A$2:$AS$46,4,FALSE))+IF(AF10="",0,VLOOKUP(AF10,Bausteine!$A$2:$AS$46,4,FALSE))+IF(AG10="",0,VLOOKUP(AG10,Bausteine!$A$2:$AS$46,4,FALSE))+IF(AH10="",0,VLOOKUP(AH10,Bausteine!$A$2:$AS$46,4,FALSE))</f>
        <v/>
      </c>
      <c r="N10">
        <f>IF(C10="",0,VLOOKUP(C10,Bausteine!$A$2:$AS$46,5,FALSE))+IF(D10="",0,VLOOKUP(D10,Bausteine!$A$2:$AS$46,5,FALSE))+IF(E10="",0,VLOOKUP(E10,Bausteine!$A$2:$AS$46,5,FALSE))+IF(F10="",0,VLOOKUP(F10,Bausteine!$A$2:$AS$46,5,FALSE))+IF(G10="",0,VLOOKUP(G10,Bausteine!$A$2:$AS$46,5,FALSE))+IF(H10="",0,VLOOKUP(H10,Bausteine!$A$2:$AS$46,5,FALSE))+IF(I10="",0,VLOOKUP(I10,Bausteine!$A$2:$AS$46,5,FALSE))+IF(J10="",0,VLOOKUP(J10,Bausteine!$A$2:$AS$46,5,FALSE))+IF(K10="",0,VLOOKUP(K10,Bausteine!$A$2:$AS$46,5,FALSE))+IF(L10="",0,VLOOKUP(L10,Bausteine!$A$2:$AS$46,5,FALSE))+IF(AC10="",0,VLOOKUP(AC10,Bausteine!$A$2:$AS$46,5,FALSE))+IF(AF10="",0,VLOOKUP(AF10,Bausteine!$A$2:$AS$46,5,FALSE))+IF(AG10="",0,VLOOKUP(AG10,Bausteine!$A$2:$AS$46,5,FALSE))+IF(AH10="",0,VLOOKUP(AH10,Bausteine!$A$2:$AS$46,5,FALSE))</f>
        <v/>
      </c>
      <c r="O10">
        <f>MAX(IF(C10="",0,VLOOKUP(C10,Bausteine!$A$2:$AS$46,6,FALSE)),IF(D10="",0,VLOOKUP(D10,Bausteine!$A$2:$AS$46,6,FALSE)),IF(E10="",0,VLOOKUP(E10,Bausteine!$A$2:$AS$46,6,FALSE)),IF(F10="",0,VLOOKUP(F10,Bausteine!$A$2:$AS$46,6,FALSE)),IF(G10="",0,VLOOKUP(G10,Bausteine!$A$2:$AS$46,6,FALSE)),IF(H10="",0,VLOOKUP(H10,Bausteine!$A$2:$AS$46,6,FALSE)),IF(I10="",0,VLOOKUP(I10,Bausteine!$A$2:$AS$46,6,FALSE)),IF(J10="",0,VLOOKUP(J10,Bausteine!$A$2:$AS$46,6,FALSE)),IF(K10="",0,VLOOKUP(K10,Bausteine!$A$2:$AS$46,6,FALSE)),IF(L10="",0,VLOOKUP(L10,Bausteine!$A$2:$AS$46,6,FALSE)),IF(AC10="",0,VLOOKUP(AC10,Bausteine!$A$2:$AS$46,6,FALSE)),IF(AF10="",0,VLOOKUP(AF10,Bausteine!$A$2:$AS$46,6,FALSE)),IF(AG10="",0,VLOOKUP(AG10,Bausteine!$A$2:$AS$46,6,FALSE)),IF(AH10="",0,VLOOKUP(AH10,Bausteine!$A$2:$AS$46,6,FALSE)),AK10)</f>
        <v/>
      </c>
      <c r="P10">
        <f>IF(C10="",0,VLOOKUP(C10,Bausteine!$A$2:$AS$46,7,FALSE))*IF(F10="",0,VLOOKUP(F10,Bausteine!$A$2:$AS$46,17,FALSE))/100+IF(D10="",0,VLOOKUP(D10,Bausteine!$A$2:$AS$46,7,FALSE))+IF(E10="",0,VLOOKUP(E10,Bausteine!$A$2:$AS$46,7,FALSE))+IF(G10="",0,VLOOKUP(G10,Bausteine!$A$2:$AS$46,7,FALSE))+IF(H10="",0,VLOOKUP(H10,Bausteine!$A$2:$AS$46,7,FALSE))+IF(I10="",0,VLOOKUP(I10,Bausteine!$A$2:$AS$46,7,FALSE))+IF(J10="",0,VLOOKUP(J10,Bausteine!$A$2:$AS$46,7,FALSE))+IF(K10="",0,VLOOKUP(K10,Bausteine!$A$2:$AS$46,7,FALSE))+IF(L10="",0,VLOOKUP(L10,Bausteine!$A$2:$AS$46,7,FALSE))+IF(AC10="",0,VLOOKUP(AC10,Bausteine!$A$2:$AS$46,7,FALSE))+IF(AF10="",0,VLOOKUP(AF10,Bausteine!$A$2:$AS$46,7,FALSE))+IF(AG10="",0,VLOOKUP(AG10,Bausteine!$A$2:$AS$46,7,FALSE))+IF(AH10="",0,VLOOKUP(AH10,Bausteine!$A$2:$AS$46,7,FALSE))+AI10</f>
        <v/>
      </c>
      <c r="Q10">
        <f>N10*Parameter!$B$2</f>
        <v/>
      </c>
      <c r="R10">
        <f>AE10-Q10</f>
        <v/>
      </c>
      <c r="S10">
        <f>IF(C10="",0,VLOOKUP(C10,Bausteine!$A$2:$AS$46,13,FALSE))*IF(F10="",0,VLOOKUP(F10,Bausteine!$A$2:$AS$46,16,FALSE))/100</f>
        <v/>
      </c>
      <c r="T10">
        <f>IF(C10="",0,VLOOKUP(C10,Bausteine!$A$2:$AS$46,8,FALSE))*IF(F10="",0,VLOOKUP(F10,Bausteine!$A$2:$AS$46,15,FALSE))/100+IF(D10="",0,VLOOKUP(D10,Bausteine!$A$2:$AS$46,8,FALSE))+IF(E10="",0,VLOOKUP(E10,Bausteine!$A$2:$AS$46,8,FALSE))+IF(G10="",0,VLOOKUP(G10,Bausteine!$A$2:$AS$46,8,FALSE))+IF(H10="",0,VLOOKUP(H10,Bausteine!$A$2:$AS$46,8,FALSE))+IF(I10="",0,VLOOKUP(I10,Bausteine!$A$2:$AS$46,8,FALSE))+IF(J10="",0,VLOOKUP(J10,Bausteine!$A$2:$AS$46,8,FALSE))+IF(K10="",0,VLOOKUP(K10,Bausteine!$A$2:$AS$46,8,FALSE))+IF(L10="",0,VLOOKUP(L10,Bausteine!$A$2:$AS$46,8,FALSE))+IF(AC10="",0,VLOOKUP(AC10,Bausteine!$A$2:$AS$46,8,FALSE))+IF(AF10="",0,VLOOKUP(AF10,Bausteine!$A$2:$AS$46,8,FALSE))+IF(AG10="",0,VLOOKUP(AG10,Bausteine!$A$2:$AS$46,8,FALSE))+IF(AH10="",0,VLOOKUP(AH10,Bausteine!$A$2:$AS$46,8,FALSE))+AJ10</f>
        <v/>
      </c>
      <c r="U10">
        <f>IF(C10="",0,VLOOKUP(C10,Bausteine!$A$2:$AS$46,9,FALSE))+IF(D10="",0,VLOOKUP(D10,Bausteine!$A$2:$AS$46,9,FALSE))+IF(E10="",0,VLOOKUP(E10,Bausteine!$A$2:$AS$46,9,FALSE))+IF(F10="",0,VLOOKUP(F10,Bausteine!$A$2:$AS$46,9,FALSE))+IF(G10="",0,VLOOKUP(G10,Bausteine!$A$2:$AS$46,9,FALSE))+IF(H10="",0,VLOOKUP(H10,Bausteine!$A$2:$AS$46,9,FALSE))+IF(I10="",0,VLOOKUP(I10,Bausteine!$A$2:$AS$46,9,FALSE))+IF(J10="",0,VLOOKUP(J10,Bausteine!$A$2:$AS$46,9,FALSE))+IF(K10="",0,VLOOKUP(K10,Bausteine!$A$2:$AS$46,9,FALSE))+IF(L10="",0,VLOOKUP(L10,Bausteine!$A$2:$AS$46,9,FALSE))+IF(AC10="",0,VLOOKUP(AC10,Bausteine!$A$2:$AS$46,9,FALSE))+IF(AF10="",0,VLOOKUP(AF10,Bausteine!$A$2:$AS$46,9,FALSE))+IF(AG10="",0,VLOOKUP(AG10,Bausteine!$A$2:$AS$46,9,FALSE))+IF(AH10="",0,VLOOKUP(AH10,Bausteine!$A$2:$AS$46,9,FALSE))</f>
        <v/>
      </c>
      <c r="V10">
        <f>IF(D10="",0,VLOOKUP(D10,Bausteine!$A$2:$AS$46,10,FALSE))-U10/IF(E10="",0,VLOOKUP(E10,Bausteine!$A$2:$AS$46,11,FALSE))</f>
        <v/>
      </c>
      <c r="W10">
        <f>IF(Y10&lt;&gt;"OK","",ROUND(MIN(IF(C10="",0,VLOOKUP(C10,Bausteine!$A$2:$AS$46,21,FALSE)),IF(C10="",0,VLOOKUP(C10,Bausteine!$A$2:$AS$46,20,FALSE))*(V10/T10/(IF(C10="",0,VLOOKUP(C10,Bausteine!$A$2:$AS$46,19,FALSE))/IF(C10="",0,VLOOKUP(C10,Bausteine!$A$2:$AS$46,18,FALSE))))^Parameter!$B$3),0))</f>
        <v/>
      </c>
      <c r="X10">
        <f>IF(F10="",0,VLOOKUP(F10,Bausteine!$A$2:$AS$46,14,FALSE))</f>
        <v/>
      </c>
      <c r="Y10">
        <f>IFERROR(IF(OR(AD10&lt;=0,AD10&gt;1,R10&lt;=0,T10&lt;=0,V10&lt;=0,U10&gt;IF(E10="",0,VLOOKUP(E10,Bausteine!$A$2:$AS$46,12,FALSE)),T10&gt;IF(C10="",0,VLOOKUP(C10,Bausteine!$A$2:$AS$46,22,FALSE)),IF(E10="",0,VLOOKUP(E10,Bausteine!$A$2:$AS$46,11,FALSE))&lt;=0,IF(E10="",0,VLOOKUP(E10,Bausteine!$A$2:$AS$46,11,FALSE))&gt;1),"UNGUELTIG","OK"),"FEHLER")</f>
        <v/>
      </c>
      <c r="Z10" t="n">
        <v>2000</v>
      </c>
      <c r="AA10" t="n">
        <v>55</v>
      </c>
      <c r="AB10" t="inlineStr"/>
      <c r="AC10" t="inlineStr"/>
      <c r="AD10">
        <f>IF(AC10="",1,IF(AC10="",0,VLOOKUP(AC10,Bausteine!$A$2:$AS$46,37,FALSE))/100)</f>
        <v/>
      </c>
      <c r="AE10">
        <f>P10*AD10</f>
        <v/>
      </c>
      <c r="AF10" t="inlineStr">
        <is>
          <t>gatling-roof-carrier</t>
        </is>
      </c>
      <c r="AG10" t="inlineStr">
        <is>
          <t>gatling-gun</t>
        </is>
      </c>
      <c r="AH10" t="inlineStr">
        <is>
          <t>gatling-rounds</t>
        </is>
      </c>
      <c r="AI10">
        <f>SUMIF(Startbesatzung!$A$2:$A$7,A10,Startbesatzung!$D$2:$D$7)</f>
        <v/>
      </c>
      <c r="AJ10">
        <f>SUMIF(Startbesatzung!$A$2:$A$7,A10,Startbesatzung!$E$2:$E$7)</f>
        <v/>
      </c>
      <c r="AK10">
        <f>MAX(0,IF(Startbesatzung!A2=A10,Startbesatzung!G2,0),IF(Startbesatzung!A3=A10,Startbesatzung!G3,0),IF(Startbesatzung!A4=A10,Startbesatzung!G4,0),IF(Startbesatzung!A5=A10,Startbesatzung!G5,0),IF(Startbesatzung!A6=A10,Startbesatzung!G6,0),IF(Startbesatzung!A7=A10,Startbesatzung!G7,0))</f>
        <v/>
      </c>
      <c r="AL10">
        <f>IF(AF10="","",IF(IF(AH10="",0,VLOOKUP(AH10,Bausteine!$A$2:$AS$46,38,FALSE))&gt;0,IF(AH10="",0,VLOOKUP(AH10,Bausteine!$A$2:$AS$46,38,FALSE)),IF(AG10="",0,VLOOKUP(AG10,Bausteine!$A$2:$AS$46,28,FALSE))))</f>
        <v/>
      </c>
      <c r="AM10">
        <f>IF(AF10="","",IF(AG10="",0,VLOOKUP(AG10,Bausteine!$A$2:$AS$46,44,FALSE)))</f>
        <v/>
      </c>
      <c r="AN10">
        <f>IF(AF10="","",IF(AF10="",0,VLOOKUP(AF10,Bausteine!$A$2:$AS$46,27,FALSE)))</f>
        <v/>
      </c>
      <c r="AO10">
        <f>IF(AF10="","",IF(AF10="",0,VLOOKUP(AF10,Bausteine!$A$2:$AS$46,25,FALSE)))</f>
        <v/>
      </c>
      <c r="AP10">
        <f>IF(AF10="","",IF(AH10="",0,VLOOKUP(AH10,Bausteine!$A$2:$AS$46,29,FALSE)))</f>
        <v/>
      </c>
    </row>
    <row r="11">
      <c r="A11" t="inlineStr">
        <is>
          <t>Overlord Bunker / mixed crew</t>
        </is>
      </c>
      <c r="B11" t="inlineStr">
        <is>
          <t>china</t>
        </is>
      </c>
      <c r="C11" t="inlineStr">
        <is>
          <t>overlord-chassis</t>
        </is>
      </c>
      <c r="D11" t="inlineStr">
        <is>
          <t>diesel-heavy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heavy-twin-turret</t>
        </is>
      </c>
      <c r="H11" t="inlineStr">
        <is>
          <t>overlord-cannon</t>
        </is>
      </c>
      <c r="I11" t="inlineStr">
        <is>
          <t>heavy-shell</t>
        </is>
      </c>
      <c r="J11" t="inlineStr">
        <is>
          <t>firing-bunker</t>
        </is>
      </c>
      <c r="K11" t="inlineStr"/>
      <c r="L11" t="inlineStr"/>
      <c r="M11">
        <f>IF(C11="",0,VLOOKUP(C11,Bausteine!$A$2:$AS$46,4,FALSE))+IF(D11="",0,VLOOKUP(D11,Bausteine!$A$2:$AS$46,4,FALSE))+IF(E11="",0,VLOOKUP(E11,Bausteine!$A$2:$AS$46,4,FALSE))+IF(F11="",0,VLOOKUP(F11,Bausteine!$A$2:$AS$46,4,FALSE))+IF(G11="",0,VLOOKUP(G11,Bausteine!$A$2:$AS$46,4,FALSE))+IF(H11="",0,VLOOKUP(H11,Bausteine!$A$2:$AS$46,4,FALSE))+IF(I11="",0,VLOOKUP(I11,Bausteine!$A$2:$AS$46,4,FALSE))+IF(J11="",0,VLOOKUP(J11,Bausteine!$A$2:$AS$46,4,FALSE))+IF(K11="",0,VLOOKUP(K11,Bausteine!$A$2:$AS$46,4,FALSE))+IF(L11="",0,VLOOKUP(L11,Bausteine!$A$2:$AS$46,4,FALSE))+IF(AC11="",0,VLOOKUP(AC11,Bausteine!$A$2:$AS$46,4,FALSE))+IF(AF11="",0,VLOOKUP(AF11,Bausteine!$A$2:$AS$46,4,FALSE))+IF(AG11="",0,VLOOKUP(AG11,Bausteine!$A$2:$AS$46,4,FALSE))+IF(AH11="",0,VLOOKUP(AH11,Bausteine!$A$2:$AS$46,4,FALSE))</f>
        <v/>
      </c>
      <c r="N11">
        <f>IF(C11="",0,VLOOKUP(C11,Bausteine!$A$2:$AS$46,5,FALSE))+IF(D11="",0,VLOOKUP(D11,Bausteine!$A$2:$AS$46,5,FALSE))+IF(E11="",0,VLOOKUP(E11,Bausteine!$A$2:$AS$46,5,FALSE))+IF(F11="",0,VLOOKUP(F11,Bausteine!$A$2:$AS$46,5,FALSE))+IF(G11="",0,VLOOKUP(G11,Bausteine!$A$2:$AS$46,5,FALSE))+IF(H11="",0,VLOOKUP(H11,Bausteine!$A$2:$AS$46,5,FALSE))+IF(I11="",0,VLOOKUP(I11,Bausteine!$A$2:$AS$46,5,FALSE))+IF(J11="",0,VLOOKUP(J11,Bausteine!$A$2:$AS$46,5,FALSE))+IF(K11="",0,VLOOKUP(K11,Bausteine!$A$2:$AS$46,5,FALSE))+IF(L11="",0,VLOOKUP(L11,Bausteine!$A$2:$AS$46,5,FALSE))+IF(AC11="",0,VLOOKUP(AC11,Bausteine!$A$2:$AS$46,5,FALSE))+IF(AF11="",0,VLOOKUP(AF11,Bausteine!$A$2:$AS$46,5,FALSE))+IF(AG11="",0,VLOOKUP(AG11,Bausteine!$A$2:$AS$46,5,FALSE))+IF(AH11="",0,VLOOKUP(AH11,Bausteine!$A$2:$AS$46,5,FALSE))</f>
        <v/>
      </c>
      <c r="O11">
        <f>MAX(IF(C11="",0,VLOOKUP(C11,Bausteine!$A$2:$AS$46,6,FALSE)),IF(D11="",0,VLOOKUP(D11,Bausteine!$A$2:$AS$46,6,FALSE)),IF(E11="",0,VLOOKUP(E11,Bausteine!$A$2:$AS$46,6,FALSE)),IF(F11="",0,VLOOKUP(F11,Bausteine!$A$2:$AS$46,6,FALSE)),IF(G11="",0,VLOOKUP(G11,Bausteine!$A$2:$AS$46,6,FALSE)),IF(H11="",0,VLOOKUP(H11,Bausteine!$A$2:$AS$46,6,FALSE)),IF(I11="",0,VLOOKUP(I11,Bausteine!$A$2:$AS$46,6,FALSE)),IF(J11="",0,VLOOKUP(J11,Bausteine!$A$2:$AS$46,6,FALSE)),IF(K11="",0,VLOOKUP(K11,Bausteine!$A$2:$AS$46,6,FALSE)),IF(L11="",0,VLOOKUP(L11,Bausteine!$A$2:$AS$46,6,FALSE)),IF(AC11="",0,VLOOKUP(AC11,Bausteine!$A$2:$AS$46,6,FALSE)),IF(AF11="",0,VLOOKUP(AF11,Bausteine!$A$2:$AS$46,6,FALSE)),IF(AG11="",0,VLOOKUP(AG11,Bausteine!$A$2:$AS$46,6,FALSE)),IF(AH11="",0,VLOOKUP(AH11,Bausteine!$A$2:$AS$46,6,FALSE)),AK11)</f>
        <v/>
      </c>
      <c r="P11">
        <f>IF(C11="",0,VLOOKUP(C11,Bausteine!$A$2:$AS$46,7,FALSE))*IF(F11="",0,VLOOKUP(F11,Bausteine!$A$2:$AS$46,17,FALSE))/100+IF(D11="",0,VLOOKUP(D11,Bausteine!$A$2:$AS$46,7,FALSE))+IF(E11="",0,VLOOKUP(E11,Bausteine!$A$2:$AS$46,7,FALSE))+IF(G11="",0,VLOOKUP(G11,Bausteine!$A$2:$AS$46,7,FALSE))+IF(H11="",0,VLOOKUP(H11,Bausteine!$A$2:$AS$46,7,FALSE))+IF(I11="",0,VLOOKUP(I11,Bausteine!$A$2:$AS$46,7,FALSE))+IF(J11="",0,VLOOKUP(J11,Bausteine!$A$2:$AS$46,7,FALSE))+IF(K11="",0,VLOOKUP(K11,Bausteine!$A$2:$AS$46,7,FALSE))+IF(L11="",0,VLOOKUP(L11,Bausteine!$A$2:$AS$46,7,FALSE))+IF(AC11="",0,VLOOKUP(AC11,Bausteine!$A$2:$AS$46,7,FALSE))+IF(AF11="",0,VLOOKUP(AF11,Bausteine!$A$2:$AS$46,7,FALSE))+IF(AG11="",0,VLOOKUP(AG11,Bausteine!$A$2:$AS$46,7,FALSE))+IF(AH11="",0,VLOOKUP(AH11,Bausteine!$A$2:$AS$46,7,FALSE))+AI11</f>
        <v/>
      </c>
      <c r="Q11">
        <f>N11*Parameter!$B$2</f>
        <v/>
      </c>
      <c r="R11">
        <f>AE11-Q11</f>
        <v/>
      </c>
      <c r="S11">
        <f>IF(C11="",0,VLOOKUP(C11,Bausteine!$A$2:$AS$46,13,FALSE))*IF(F11="",0,VLOOKUP(F11,Bausteine!$A$2:$AS$46,16,FALSE))/100</f>
        <v/>
      </c>
      <c r="T11">
        <f>IF(C11="",0,VLOOKUP(C11,Bausteine!$A$2:$AS$46,8,FALSE))*IF(F11="",0,VLOOKUP(F11,Bausteine!$A$2:$AS$46,15,FALSE))/100+IF(D11="",0,VLOOKUP(D11,Bausteine!$A$2:$AS$46,8,FALSE))+IF(E11="",0,VLOOKUP(E11,Bausteine!$A$2:$AS$46,8,FALSE))+IF(G11="",0,VLOOKUP(G11,Bausteine!$A$2:$AS$46,8,FALSE))+IF(H11="",0,VLOOKUP(H11,Bausteine!$A$2:$AS$46,8,FALSE))+IF(I11="",0,VLOOKUP(I11,Bausteine!$A$2:$AS$46,8,FALSE))+IF(J11="",0,VLOOKUP(J11,Bausteine!$A$2:$AS$46,8,FALSE))+IF(K11="",0,VLOOKUP(K11,Bausteine!$A$2:$AS$46,8,FALSE))+IF(L11="",0,VLOOKUP(L11,Bausteine!$A$2:$AS$46,8,FALSE))+IF(AC11="",0,VLOOKUP(AC11,Bausteine!$A$2:$AS$46,8,FALSE))+IF(AF11="",0,VLOOKUP(AF11,Bausteine!$A$2:$AS$46,8,FALSE))+IF(AG11="",0,VLOOKUP(AG11,Bausteine!$A$2:$AS$46,8,FALSE))+IF(AH11="",0,VLOOKUP(AH11,Bausteine!$A$2:$AS$46,8,FALSE))+AJ11</f>
        <v/>
      </c>
      <c r="U11">
        <f>IF(C11="",0,VLOOKUP(C11,Bausteine!$A$2:$AS$46,9,FALSE))+IF(D11="",0,VLOOKUP(D11,Bausteine!$A$2:$AS$46,9,FALSE))+IF(E11="",0,VLOOKUP(E11,Bausteine!$A$2:$AS$46,9,FALSE))+IF(F11="",0,VLOOKUP(F11,Bausteine!$A$2:$AS$46,9,FALSE))+IF(G11="",0,VLOOKUP(G11,Bausteine!$A$2:$AS$46,9,FALSE))+IF(H11="",0,VLOOKUP(H11,Bausteine!$A$2:$AS$46,9,FALSE))+IF(I11="",0,VLOOKUP(I11,Bausteine!$A$2:$AS$46,9,FALSE))+IF(J11="",0,VLOOKUP(J11,Bausteine!$A$2:$AS$46,9,FALSE))+IF(K11="",0,VLOOKUP(K11,Bausteine!$A$2:$AS$46,9,FALSE))+IF(L11="",0,VLOOKUP(L11,Bausteine!$A$2:$AS$46,9,FALSE))+IF(AC11="",0,VLOOKUP(AC11,Bausteine!$A$2:$AS$46,9,FALSE))+IF(AF11="",0,VLOOKUP(AF11,Bausteine!$A$2:$AS$46,9,FALSE))+IF(AG11="",0,VLOOKUP(AG11,Bausteine!$A$2:$AS$46,9,FALSE))+IF(AH11="",0,VLOOKUP(AH11,Bausteine!$A$2:$AS$46,9,FALSE))</f>
        <v/>
      </c>
      <c r="V11">
        <f>IF(D11="",0,VLOOKUP(D11,Bausteine!$A$2:$AS$46,10,FALSE))-U11/IF(E11="",0,VLOOKUP(E11,Bausteine!$A$2:$AS$46,11,FALSE))</f>
        <v/>
      </c>
      <c r="W11">
        <f>IF(Y11&lt;&gt;"OK","",ROUND(MIN(IF(C11="",0,VLOOKUP(C11,Bausteine!$A$2:$AS$46,21,FALSE)),IF(C11="",0,VLOOKUP(C11,Bausteine!$A$2:$AS$46,20,FALSE))*(V11/T11/(IF(C11="",0,VLOOKUP(C11,Bausteine!$A$2:$AS$46,19,FALSE))/IF(C11="",0,VLOOKUP(C11,Bausteine!$A$2:$AS$46,18,FALSE))))^Parameter!$B$3),0))</f>
        <v/>
      </c>
      <c r="X11">
        <f>IF(F11="",0,VLOOKUP(F11,Bausteine!$A$2:$AS$46,14,FALSE))</f>
        <v/>
      </c>
      <c r="Y11">
        <f>IFERROR(IF(OR(AD11&lt;=0,AD11&gt;1,R11&lt;=0,T11&lt;=0,V11&lt;=0,U11&gt;IF(E11="",0,VLOOKUP(E11,Bausteine!$A$2:$AS$46,12,FALSE)),T11&gt;IF(C11="",0,VLOOKUP(C11,Bausteine!$A$2:$AS$46,22,FALSE)),IF(E11="",0,VLOOKUP(E11,Bausteine!$A$2:$AS$46,11,FALSE))&lt;=0,IF(E11="",0,VLOOKUP(E11,Bausteine!$A$2:$AS$46,11,FALSE))&gt;1),"UNGUELTIG","OK"),"FEHLER")</f>
        <v/>
      </c>
      <c r="Z11" t="n">
        <v>2560</v>
      </c>
      <c r="AA11" t="n">
        <v>55</v>
      </c>
      <c r="AB11" t="inlineStr">
        <is>
          <t>New combination, not a legacy reference.</t>
        </is>
      </c>
      <c r="AC11" t="inlineStr"/>
      <c r="AD11">
        <f>IF(AC11="",1,IF(AC11="",0,VLOOKUP(AC11,Bausteine!$A$2:$AS$46,37,FALSE))/100)</f>
        <v/>
      </c>
      <c r="AE11">
        <f>P11*AD11</f>
        <v/>
      </c>
      <c r="AF11" t="inlineStr"/>
      <c r="AG11" t="inlineStr"/>
      <c r="AH11" t="inlineStr"/>
      <c r="AI11">
        <f>SUMIF(Startbesatzung!$A$2:$A$7,A11,Startbesatzung!$D$2:$D$7)</f>
        <v/>
      </c>
      <c r="AJ11">
        <f>SUMIF(Startbesatzung!$A$2:$A$7,A11,Startbesatzung!$E$2:$E$7)</f>
        <v/>
      </c>
      <c r="AK11">
        <f>MAX(0,IF(Startbesatzung!A2=A11,Startbesatzung!G2,0),IF(Startbesatzung!A3=A11,Startbesatzung!G3,0),IF(Startbesatzung!A4=A11,Startbesatzung!G4,0),IF(Startbesatzung!A5=A11,Startbesatzung!G5,0),IF(Startbesatzung!A6=A11,Startbesatzung!G6,0),IF(Startbesatzung!A7=A11,Startbesatzung!G7,0))</f>
        <v/>
      </c>
      <c r="AL11">
        <f>IF(AF11="","",IF(IF(AH11="",0,VLOOKUP(AH11,Bausteine!$A$2:$AS$46,38,FALSE))&gt;0,IF(AH11="",0,VLOOKUP(AH11,Bausteine!$A$2:$AS$46,38,FALSE)),IF(AG11="",0,VLOOKUP(AG11,Bausteine!$A$2:$AS$46,28,FALSE))))</f>
        <v/>
      </c>
      <c r="AM11">
        <f>IF(AF11="","",IF(AG11="",0,VLOOKUP(AG11,Bausteine!$A$2:$AS$46,44,FALSE)))</f>
        <v/>
      </c>
      <c r="AN11">
        <f>IF(AF11="","",IF(AF11="",0,VLOOKUP(AF11,Bausteine!$A$2:$AS$46,27,FALSE)))</f>
        <v/>
      </c>
      <c r="AO11">
        <f>IF(AF11="","",IF(AF11="",0,VLOOKUP(AF11,Bausteine!$A$2:$AS$46,25,FALSE)))</f>
        <v/>
      </c>
      <c r="AP11">
        <f>IF(AF11="","",IF(AH11="",0,VLOOKUP(AH11,Bausteine!$A$2:$AS$46,29,FALSE)))</f>
        <v/>
      </c>
    </row>
    <row r="12">
      <c r="A12" t="inlineStr">
        <is>
          <t>Overlord Bunker / empty</t>
        </is>
      </c>
      <c r="B12" t="inlineStr">
        <is>
          <t>china</t>
        </is>
      </c>
      <c r="C12" t="inlineStr">
        <is>
          <t>overlord-chassis</t>
        </is>
      </c>
      <c r="D12" t="inlineStr">
        <is>
          <t>diesel-heavy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heavy-twin-turret</t>
        </is>
      </c>
      <c r="H12" t="inlineStr">
        <is>
          <t>overlord-cannon</t>
        </is>
      </c>
      <c r="I12" t="inlineStr">
        <is>
          <t>heavy-shell</t>
        </is>
      </c>
      <c r="J12" t="inlineStr">
        <is>
          <t>firing-bunker</t>
        </is>
      </c>
      <c r="K12" t="inlineStr"/>
      <c r="L12" t="inlineStr"/>
      <c r="M12">
        <f>IF(C12="",0,VLOOKUP(C12,Bausteine!$A$2:$AS$46,4,FALSE))+IF(D12="",0,VLOOKUP(D12,Bausteine!$A$2:$AS$46,4,FALSE))+IF(E12="",0,VLOOKUP(E12,Bausteine!$A$2:$AS$46,4,FALSE))+IF(F12="",0,VLOOKUP(F12,Bausteine!$A$2:$AS$46,4,FALSE))+IF(G12="",0,VLOOKUP(G12,Bausteine!$A$2:$AS$46,4,FALSE))+IF(H12="",0,VLOOKUP(H12,Bausteine!$A$2:$AS$46,4,FALSE))+IF(I12="",0,VLOOKUP(I12,Bausteine!$A$2:$AS$46,4,FALSE))+IF(J12="",0,VLOOKUP(J12,Bausteine!$A$2:$AS$46,4,FALSE))+IF(K12="",0,VLOOKUP(K12,Bausteine!$A$2:$AS$46,4,FALSE))+IF(L12="",0,VLOOKUP(L12,Bausteine!$A$2:$AS$46,4,FALSE))+IF(AC12="",0,VLOOKUP(AC12,Bausteine!$A$2:$AS$46,4,FALSE))+IF(AF12="",0,VLOOKUP(AF12,Bausteine!$A$2:$AS$46,4,FALSE))+IF(AG12="",0,VLOOKUP(AG12,Bausteine!$A$2:$AS$46,4,FALSE))+IF(AH12="",0,VLOOKUP(AH12,Bausteine!$A$2:$AS$46,4,FALSE))</f>
        <v/>
      </c>
      <c r="N12">
        <f>IF(C12="",0,VLOOKUP(C12,Bausteine!$A$2:$AS$46,5,FALSE))+IF(D12="",0,VLOOKUP(D12,Bausteine!$A$2:$AS$46,5,FALSE))+IF(E12="",0,VLOOKUP(E12,Bausteine!$A$2:$AS$46,5,FALSE))+IF(F12="",0,VLOOKUP(F12,Bausteine!$A$2:$AS$46,5,FALSE))+IF(G12="",0,VLOOKUP(G12,Bausteine!$A$2:$AS$46,5,FALSE))+IF(H12="",0,VLOOKUP(H12,Bausteine!$A$2:$AS$46,5,FALSE))+IF(I12="",0,VLOOKUP(I12,Bausteine!$A$2:$AS$46,5,FALSE))+IF(J12="",0,VLOOKUP(J12,Bausteine!$A$2:$AS$46,5,FALSE))+IF(K12="",0,VLOOKUP(K12,Bausteine!$A$2:$AS$46,5,FALSE))+IF(L12="",0,VLOOKUP(L12,Bausteine!$A$2:$AS$46,5,FALSE))+IF(AC12="",0,VLOOKUP(AC12,Bausteine!$A$2:$AS$46,5,FALSE))+IF(AF12="",0,VLOOKUP(AF12,Bausteine!$A$2:$AS$46,5,FALSE))+IF(AG12="",0,VLOOKUP(AG12,Bausteine!$A$2:$AS$46,5,FALSE))+IF(AH12="",0,VLOOKUP(AH12,Bausteine!$A$2:$AS$46,5,FALSE))</f>
        <v/>
      </c>
      <c r="O12">
        <f>MAX(IF(C12="",0,VLOOKUP(C12,Bausteine!$A$2:$AS$46,6,FALSE)),IF(D12="",0,VLOOKUP(D12,Bausteine!$A$2:$AS$46,6,FALSE)),IF(E12="",0,VLOOKUP(E12,Bausteine!$A$2:$AS$46,6,FALSE)),IF(F12="",0,VLOOKUP(F12,Bausteine!$A$2:$AS$46,6,FALSE)),IF(G12="",0,VLOOKUP(G12,Bausteine!$A$2:$AS$46,6,FALSE)),IF(H12="",0,VLOOKUP(H12,Bausteine!$A$2:$AS$46,6,FALSE)),IF(I12="",0,VLOOKUP(I12,Bausteine!$A$2:$AS$46,6,FALSE)),IF(J12="",0,VLOOKUP(J12,Bausteine!$A$2:$AS$46,6,FALSE)),IF(K12="",0,VLOOKUP(K12,Bausteine!$A$2:$AS$46,6,FALSE)),IF(L12="",0,VLOOKUP(L12,Bausteine!$A$2:$AS$46,6,FALSE)),IF(AC12="",0,VLOOKUP(AC12,Bausteine!$A$2:$AS$46,6,FALSE)),IF(AF12="",0,VLOOKUP(AF12,Bausteine!$A$2:$AS$46,6,FALSE)),IF(AG12="",0,VLOOKUP(AG12,Bausteine!$A$2:$AS$46,6,FALSE)),IF(AH12="",0,VLOOKUP(AH12,Bausteine!$A$2:$AS$46,6,FALSE)),AK12)</f>
        <v/>
      </c>
      <c r="P12">
        <f>IF(C12="",0,VLOOKUP(C12,Bausteine!$A$2:$AS$46,7,FALSE))*IF(F12="",0,VLOOKUP(F12,Bausteine!$A$2:$AS$46,17,FALSE))/100+IF(D12="",0,VLOOKUP(D12,Bausteine!$A$2:$AS$46,7,FALSE))+IF(E12="",0,VLOOKUP(E12,Bausteine!$A$2:$AS$46,7,FALSE))+IF(G12="",0,VLOOKUP(G12,Bausteine!$A$2:$AS$46,7,FALSE))+IF(H12="",0,VLOOKUP(H12,Bausteine!$A$2:$AS$46,7,FALSE))+IF(I12="",0,VLOOKUP(I12,Bausteine!$A$2:$AS$46,7,FALSE))+IF(J12="",0,VLOOKUP(J12,Bausteine!$A$2:$AS$46,7,FALSE))+IF(K12="",0,VLOOKUP(K12,Bausteine!$A$2:$AS$46,7,FALSE))+IF(L12="",0,VLOOKUP(L12,Bausteine!$A$2:$AS$46,7,FALSE))+IF(AC12="",0,VLOOKUP(AC12,Bausteine!$A$2:$AS$46,7,FALSE))+IF(AF12="",0,VLOOKUP(AF12,Bausteine!$A$2:$AS$46,7,FALSE))+IF(AG12="",0,VLOOKUP(AG12,Bausteine!$A$2:$AS$46,7,FALSE))+IF(AH12="",0,VLOOKUP(AH12,Bausteine!$A$2:$AS$46,7,FALSE))+AI12</f>
        <v/>
      </c>
      <c r="Q12">
        <f>N12*Parameter!$B$2</f>
        <v/>
      </c>
      <c r="R12">
        <f>AE12-Q12</f>
        <v/>
      </c>
      <c r="S12">
        <f>IF(C12="",0,VLOOKUP(C12,Bausteine!$A$2:$AS$46,13,FALSE))*IF(F12="",0,VLOOKUP(F12,Bausteine!$A$2:$AS$46,16,FALSE))/100</f>
        <v/>
      </c>
      <c r="T12">
        <f>IF(C12="",0,VLOOKUP(C12,Bausteine!$A$2:$AS$46,8,FALSE))*IF(F12="",0,VLOOKUP(F12,Bausteine!$A$2:$AS$46,15,FALSE))/100+IF(D12="",0,VLOOKUP(D12,Bausteine!$A$2:$AS$46,8,FALSE))+IF(E12="",0,VLOOKUP(E12,Bausteine!$A$2:$AS$46,8,FALSE))+IF(G12="",0,VLOOKUP(G12,Bausteine!$A$2:$AS$46,8,FALSE))+IF(H12="",0,VLOOKUP(H12,Bausteine!$A$2:$AS$46,8,FALSE))+IF(I12="",0,VLOOKUP(I12,Bausteine!$A$2:$AS$46,8,FALSE))+IF(J12="",0,VLOOKUP(J12,Bausteine!$A$2:$AS$46,8,FALSE))+IF(K12="",0,VLOOKUP(K12,Bausteine!$A$2:$AS$46,8,FALSE))+IF(L12="",0,VLOOKUP(L12,Bausteine!$A$2:$AS$46,8,FALSE))+IF(AC12="",0,VLOOKUP(AC12,Bausteine!$A$2:$AS$46,8,FALSE))+IF(AF12="",0,VLOOKUP(AF12,Bausteine!$A$2:$AS$46,8,FALSE))+IF(AG12="",0,VLOOKUP(AG12,Bausteine!$A$2:$AS$46,8,FALSE))+IF(AH12="",0,VLOOKUP(AH12,Bausteine!$A$2:$AS$46,8,FALSE))+AJ12</f>
        <v/>
      </c>
      <c r="U12">
        <f>IF(C12="",0,VLOOKUP(C12,Bausteine!$A$2:$AS$46,9,FALSE))+IF(D12="",0,VLOOKUP(D12,Bausteine!$A$2:$AS$46,9,FALSE))+IF(E12="",0,VLOOKUP(E12,Bausteine!$A$2:$AS$46,9,FALSE))+IF(F12="",0,VLOOKUP(F12,Bausteine!$A$2:$AS$46,9,FALSE))+IF(G12="",0,VLOOKUP(G12,Bausteine!$A$2:$AS$46,9,FALSE))+IF(H12="",0,VLOOKUP(H12,Bausteine!$A$2:$AS$46,9,FALSE))+IF(I12="",0,VLOOKUP(I12,Bausteine!$A$2:$AS$46,9,FALSE))+IF(J12="",0,VLOOKUP(J12,Bausteine!$A$2:$AS$46,9,FALSE))+IF(K12="",0,VLOOKUP(K12,Bausteine!$A$2:$AS$46,9,FALSE))+IF(L12="",0,VLOOKUP(L12,Bausteine!$A$2:$AS$46,9,FALSE))+IF(AC12="",0,VLOOKUP(AC12,Bausteine!$A$2:$AS$46,9,FALSE))+IF(AF12="",0,VLOOKUP(AF12,Bausteine!$A$2:$AS$46,9,FALSE))+IF(AG12="",0,VLOOKUP(AG12,Bausteine!$A$2:$AS$46,9,FALSE))+IF(AH12="",0,VLOOKUP(AH12,Bausteine!$A$2:$AS$46,9,FALSE))</f>
        <v/>
      </c>
      <c r="V12">
        <f>IF(D12="",0,VLOOKUP(D12,Bausteine!$A$2:$AS$46,10,FALSE))-U12/IF(E12="",0,VLOOKUP(E12,Bausteine!$A$2:$AS$46,11,FALSE))</f>
        <v/>
      </c>
      <c r="W12">
        <f>IF(Y12&lt;&gt;"OK","",ROUND(MIN(IF(C12="",0,VLOOKUP(C12,Bausteine!$A$2:$AS$46,21,FALSE)),IF(C12="",0,VLOOKUP(C12,Bausteine!$A$2:$AS$46,20,FALSE))*(V12/T12/(IF(C12="",0,VLOOKUP(C12,Bausteine!$A$2:$AS$46,19,FALSE))/IF(C12="",0,VLOOKUP(C12,Bausteine!$A$2:$AS$46,18,FALSE))))^Parameter!$B$3),0))</f>
        <v/>
      </c>
      <c r="X12">
        <f>IF(F12="",0,VLOOKUP(F12,Bausteine!$A$2:$AS$46,14,FALSE))</f>
        <v/>
      </c>
      <c r="Y12">
        <f>IFERROR(IF(OR(AD12&lt;=0,AD12&gt;1,R12&lt;=0,T12&lt;=0,V12&lt;=0,U12&gt;IF(E12="",0,VLOOKUP(E12,Bausteine!$A$2:$AS$46,12,FALSE)),T12&gt;IF(C12="",0,VLOOKUP(C12,Bausteine!$A$2:$AS$46,22,FALSE)),IF(E12="",0,VLOOKUP(E12,Bausteine!$A$2:$AS$46,11,FALSE))&lt;=0,IF(E12="",0,VLOOKUP(E12,Bausteine!$A$2:$AS$46,11,FALSE))&gt;1),"UNGUELTIG","OK"),"FEHLER")</f>
        <v/>
      </c>
      <c r="Z12" t="n">
        <v>1800</v>
      </c>
      <c r="AA12" t="n">
        <v>55</v>
      </c>
      <c r="AB12" t="inlineStr">
        <is>
          <t>Empty module, new combination. CP cost remains even with no starting passengers.</t>
        </is>
      </c>
      <c r="AC12" t="inlineStr"/>
      <c r="AD12">
        <f>IF(AC12="",1,IF(AC12="",0,VLOOKUP(AC12,Bausteine!$A$2:$AS$46,37,FALSE))/100)</f>
        <v/>
      </c>
      <c r="AE12">
        <f>P12*AD12</f>
        <v/>
      </c>
      <c r="AF12" t="inlineStr"/>
      <c r="AG12" t="inlineStr"/>
      <c r="AH12" t="inlineStr"/>
      <c r="AI12">
        <f>SUMIF(Startbesatzung!$A$2:$A$7,A12,Startbesatzung!$D$2:$D$7)</f>
        <v/>
      </c>
      <c r="AJ12">
        <f>SUMIF(Startbesatzung!$A$2:$A$7,A12,Startbesatzung!$E$2:$E$7)</f>
        <v/>
      </c>
      <c r="AK12">
        <f>MAX(0,IF(Startbesatzung!A2=A12,Startbesatzung!G2,0),IF(Startbesatzung!A3=A12,Startbesatzung!G3,0),IF(Startbesatzung!A4=A12,Startbesatzung!G4,0),IF(Startbesatzung!A5=A12,Startbesatzung!G5,0),IF(Startbesatzung!A6=A12,Startbesatzung!G6,0),IF(Startbesatzung!A7=A12,Startbesatzung!G7,0))</f>
        <v/>
      </c>
      <c r="AL12">
        <f>IF(AF12="","",IF(IF(AH12="",0,VLOOKUP(AH12,Bausteine!$A$2:$AS$46,38,FALSE))&gt;0,IF(AH12="",0,VLOOKUP(AH12,Bausteine!$A$2:$AS$46,38,FALSE)),IF(AG12="",0,VLOOKUP(AG12,Bausteine!$A$2:$AS$46,28,FALSE))))</f>
        <v/>
      </c>
      <c r="AM12">
        <f>IF(AF12="","",IF(AG12="",0,VLOOKUP(AG12,Bausteine!$A$2:$AS$46,44,FALSE)))</f>
        <v/>
      </c>
      <c r="AN12">
        <f>IF(AF12="","",IF(AF12="",0,VLOOKUP(AF12,Bausteine!$A$2:$AS$46,27,FALSE)))</f>
        <v/>
      </c>
      <c r="AO12">
        <f>IF(AF12="","",IF(AF12="",0,VLOOKUP(AF12,Bausteine!$A$2:$AS$46,25,FALSE)))</f>
        <v/>
      </c>
      <c r="AP12">
        <f>IF(AF12="","",IF(AH12="",0,VLOOKUP(AH12,Bausteine!$A$2:$AS$46,29,FALSE)))</f>
        <v/>
      </c>
    </row>
    <row r="13">
      <c r="A13" t="inlineStr">
        <is>
          <t>Overlord Bunker / partial crew</t>
        </is>
      </c>
      <c r="B13" t="inlineStr">
        <is>
          <t>china</t>
        </is>
      </c>
      <c r="C13" t="inlineStr">
        <is>
          <t>overlord-chassis</t>
        </is>
      </c>
      <c r="D13" t="inlineStr">
        <is>
          <t>diesel-heavy</t>
        </is>
      </c>
      <c r="E13" t="inlineStr">
        <is>
          <t>baseline-generator</t>
        </is>
      </c>
      <c r="F13" t="inlineStr">
        <is>
          <t>heavy</t>
        </is>
      </c>
      <c r="G13" t="inlineStr">
        <is>
          <t>heavy-twin-turret</t>
        </is>
      </c>
      <c r="H13" t="inlineStr">
        <is>
          <t>overlord-cannon</t>
        </is>
      </c>
      <c r="I13" t="inlineStr">
        <is>
          <t>heavy-shell</t>
        </is>
      </c>
      <c r="J13" t="inlineStr">
        <is>
          <t>firing-bunker</t>
        </is>
      </c>
      <c r="K13" t="inlineStr"/>
      <c r="L13" t="inlineStr"/>
      <c r="M13">
        <f>IF(C13="",0,VLOOKUP(C13,Bausteine!$A$2:$AS$46,4,FALSE))+IF(D13="",0,VLOOKUP(D13,Bausteine!$A$2:$AS$46,4,FALSE))+IF(E13="",0,VLOOKUP(E13,Bausteine!$A$2:$AS$46,4,FALSE))+IF(F13="",0,VLOOKUP(F13,Bausteine!$A$2:$AS$46,4,FALSE))+IF(G13="",0,VLOOKUP(G13,Bausteine!$A$2:$AS$46,4,FALSE))+IF(H13="",0,VLOOKUP(H13,Bausteine!$A$2:$AS$46,4,FALSE))+IF(I13="",0,VLOOKUP(I13,Bausteine!$A$2:$AS$46,4,FALSE))+IF(J13="",0,VLOOKUP(J13,Bausteine!$A$2:$AS$46,4,FALSE))+IF(K13="",0,VLOOKUP(K13,Bausteine!$A$2:$AS$46,4,FALSE))+IF(L13="",0,VLOOKUP(L13,Bausteine!$A$2:$AS$46,4,FALSE))+IF(AC13="",0,VLOOKUP(AC13,Bausteine!$A$2:$AS$46,4,FALSE))+IF(AF13="",0,VLOOKUP(AF13,Bausteine!$A$2:$AS$46,4,FALSE))+IF(AG13="",0,VLOOKUP(AG13,Bausteine!$A$2:$AS$46,4,FALSE))+IF(AH13="",0,VLOOKUP(AH13,Bausteine!$A$2:$AS$46,4,FALSE))</f>
        <v/>
      </c>
      <c r="N13">
        <f>IF(C13="",0,VLOOKUP(C13,Bausteine!$A$2:$AS$46,5,FALSE))+IF(D13="",0,VLOOKUP(D13,Bausteine!$A$2:$AS$46,5,FALSE))+IF(E13="",0,VLOOKUP(E13,Bausteine!$A$2:$AS$46,5,FALSE))+IF(F13="",0,VLOOKUP(F13,Bausteine!$A$2:$AS$46,5,FALSE))+IF(G13="",0,VLOOKUP(G13,Bausteine!$A$2:$AS$46,5,FALSE))+IF(H13="",0,VLOOKUP(H13,Bausteine!$A$2:$AS$46,5,FALSE))+IF(I13="",0,VLOOKUP(I13,Bausteine!$A$2:$AS$46,5,FALSE))+IF(J13="",0,VLOOKUP(J13,Bausteine!$A$2:$AS$46,5,FALSE))+IF(K13="",0,VLOOKUP(K13,Bausteine!$A$2:$AS$46,5,FALSE))+IF(L13="",0,VLOOKUP(L13,Bausteine!$A$2:$AS$46,5,FALSE))+IF(AC13="",0,VLOOKUP(AC13,Bausteine!$A$2:$AS$46,5,FALSE))+IF(AF13="",0,VLOOKUP(AF13,Bausteine!$A$2:$AS$46,5,FALSE))+IF(AG13="",0,VLOOKUP(AG13,Bausteine!$A$2:$AS$46,5,FALSE))+IF(AH13="",0,VLOOKUP(AH13,Bausteine!$A$2:$AS$46,5,FALSE))</f>
        <v/>
      </c>
      <c r="O13">
        <f>MAX(IF(C13="",0,VLOOKUP(C13,Bausteine!$A$2:$AS$46,6,FALSE)),IF(D13="",0,VLOOKUP(D13,Bausteine!$A$2:$AS$46,6,FALSE)),IF(E13="",0,VLOOKUP(E13,Bausteine!$A$2:$AS$46,6,FALSE)),IF(F13="",0,VLOOKUP(F13,Bausteine!$A$2:$AS$46,6,FALSE)),IF(G13="",0,VLOOKUP(G13,Bausteine!$A$2:$AS$46,6,FALSE)),IF(H13="",0,VLOOKUP(H13,Bausteine!$A$2:$AS$46,6,FALSE)),IF(I13="",0,VLOOKUP(I13,Bausteine!$A$2:$AS$46,6,FALSE)),IF(J13="",0,VLOOKUP(J13,Bausteine!$A$2:$AS$46,6,FALSE)),IF(K13="",0,VLOOKUP(K13,Bausteine!$A$2:$AS$46,6,FALSE)),IF(L13="",0,VLOOKUP(L13,Bausteine!$A$2:$AS$46,6,FALSE)),IF(AC13="",0,VLOOKUP(AC13,Bausteine!$A$2:$AS$46,6,FALSE)),IF(AF13="",0,VLOOKUP(AF13,Bausteine!$A$2:$AS$46,6,FALSE)),IF(AG13="",0,VLOOKUP(AG13,Bausteine!$A$2:$AS$46,6,FALSE)),IF(AH13="",0,VLOOKUP(AH13,Bausteine!$A$2:$AS$46,6,FALSE)),AK13)</f>
        <v/>
      </c>
      <c r="P13">
        <f>IF(C13="",0,VLOOKUP(C13,Bausteine!$A$2:$AS$46,7,FALSE))*IF(F13="",0,VLOOKUP(F13,Bausteine!$A$2:$AS$46,17,FALSE))/100+IF(D13="",0,VLOOKUP(D13,Bausteine!$A$2:$AS$46,7,FALSE))+IF(E13="",0,VLOOKUP(E13,Bausteine!$A$2:$AS$46,7,FALSE))+IF(G13="",0,VLOOKUP(G13,Bausteine!$A$2:$AS$46,7,FALSE))+IF(H13="",0,VLOOKUP(H13,Bausteine!$A$2:$AS$46,7,FALSE))+IF(I13="",0,VLOOKUP(I13,Bausteine!$A$2:$AS$46,7,FALSE))+IF(J13="",0,VLOOKUP(J13,Bausteine!$A$2:$AS$46,7,FALSE))+IF(K13="",0,VLOOKUP(K13,Bausteine!$A$2:$AS$46,7,FALSE))+IF(L13="",0,VLOOKUP(L13,Bausteine!$A$2:$AS$46,7,FALSE))+IF(AC13="",0,VLOOKUP(AC13,Bausteine!$A$2:$AS$46,7,FALSE))+IF(AF13="",0,VLOOKUP(AF13,Bausteine!$A$2:$AS$46,7,FALSE))+IF(AG13="",0,VLOOKUP(AG13,Bausteine!$A$2:$AS$46,7,FALSE))+IF(AH13="",0,VLOOKUP(AH13,Bausteine!$A$2:$AS$46,7,FALSE))+AI13</f>
        <v/>
      </c>
      <c r="Q13">
        <f>N13*Parameter!$B$2</f>
        <v/>
      </c>
      <c r="R13">
        <f>AE13-Q13</f>
        <v/>
      </c>
      <c r="S13">
        <f>IF(C13="",0,VLOOKUP(C13,Bausteine!$A$2:$AS$46,13,FALSE))*IF(F13="",0,VLOOKUP(F13,Bausteine!$A$2:$AS$46,16,FALSE))/100</f>
        <v/>
      </c>
      <c r="T13">
        <f>IF(C13="",0,VLOOKUP(C13,Bausteine!$A$2:$AS$46,8,FALSE))*IF(F13="",0,VLOOKUP(F13,Bausteine!$A$2:$AS$46,15,FALSE))/100+IF(D13="",0,VLOOKUP(D13,Bausteine!$A$2:$AS$46,8,FALSE))+IF(E13="",0,VLOOKUP(E13,Bausteine!$A$2:$AS$46,8,FALSE))+IF(G13="",0,VLOOKUP(G13,Bausteine!$A$2:$AS$46,8,FALSE))+IF(H13="",0,VLOOKUP(H13,Bausteine!$A$2:$AS$46,8,FALSE))+IF(I13="",0,VLOOKUP(I13,Bausteine!$A$2:$AS$46,8,FALSE))+IF(J13="",0,VLOOKUP(J13,Bausteine!$A$2:$AS$46,8,FALSE))+IF(K13="",0,VLOOKUP(K13,Bausteine!$A$2:$AS$46,8,FALSE))+IF(L13="",0,VLOOKUP(L13,Bausteine!$A$2:$AS$46,8,FALSE))+IF(AC13="",0,VLOOKUP(AC13,Bausteine!$A$2:$AS$46,8,FALSE))+IF(AF13="",0,VLOOKUP(AF13,Bausteine!$A$2:$AS$46,8,FALSE))+IF(AG13="",0,VLOOKUP(AG13,Bausteine!$A$2:$AS$46,8,FALSE))+IF(AH13="",0,VLOOKUP(AH13,Bausteine!$A$2:$AS$46,8,FALSE))+AJ13</f>
        <v/>
      </c>
      <c r="U13">
        <f>IF(C13="",0,VLOOKUP(C13,Bausteine!$A$2:$AS$46,9,FALSE))+IF(D13="",0,VLOOKUP(D13,Bausteine!$A$2:$AS$46,9,FALSE))+IF(E13="",0,VLOOKUP(E13,Bausteine!$A$2:$AS$46,9,FALSE))+IF(F13="",0,VLOOKUP(F13,Bausteine!$A$2:$AS$46,9,FALSE))+IF(G13="",0,VLOOKUP(G13,Bausteine!$A$2:$AS$46,9,FALSE))+IF(H13="",0,VLOOKUP(H13,Bausteine!$A$2:$AS$46,9,FALSE))+IF(I13="",0,VLOOKUP(I13,Bausteine!$A$2:$AS$46,9,FALSE))+IF(J13="",0,VLOOKUP(J13,Bausteine!$A$2:$AS$46,9,FALSE))+IF(K13="",0,VLOOKUP(K13,Bausteine!$A$2:$AS$46,9,FALSE))+IF(L13="",0,VLOOKUP(L13,Bausteine!$A$2:$AS$46,9,FALSE))+IF(AC13="",0,VLOOKUP(AC13,Bausteine!$A$2:$AS$46,9,FALSE))+IF(AF13="",0,VLOOKUP(AF13,Bausteine!$A$2:$AS$46,9,FALSE))+IF(AG13="",0,VLOOKUP(AG13,Bausteine!$A$2:$AS$46,9,FALSE))+IF(AH13="",0,VLOOKUP(AH13,Bausteine!$A$2:$AS$46,9,FALSE))</f>
        <v/>
      </c>
      <c r="V13">
        <f>IF(D13="",0,VLOOKUP(D13,Bausteine!$A$2:$AS$46,10,FALSE))-U13/IF(E13="",0,VLOOKUP(E13,Bausteine!$A$2:$AS$46,11,FALSE))</f>
        <v/>
      </c>
      <c r="W13">
        <f>IF(Y13&lt;&gt;"OK","",ROUND(MIN(IF(C13="",0,VLOOKUP(C13,Bausteine!$A$2:$AS$46,21,FALSE)),IF(C13="",0,VLOOKUP(C13,Bausteine!$A$2:$AS$46,20,FALSE))*(V13/T13/(IF(C13="",0,VLOOKUP(C13,Bausteine!$A$2:$AS$46,19,FALSE))/IF(C13="",0,VLOOKUP(C13,Bausteine!$A$2:$AS$46,18,FALSE))))^Parameter!$B$3),0))</f>
        <v/>
      </c>
      <c r="X13">
        <f>IF(F13="",0,VLOOKUP(F13,Bausteine!$A$2:$AS$46,14,FALSE))</f>
        <v/>
      </c>
      <c r="Y13">
        <f>IFERROR(IF(OR(AD13&lt;=0,AD13&gt;1,R13&lt;=0,T13&lt;=0,V13&lt;=0,U13&gt;IF(E13="",0,VLOOKUP(E13,Bausteine!$A$2:$AS$46,12,FALSE)),T13&gt;IF(C13="",0,VLOOKUP(C13,Bausteine!$A$2:$AS$46,22,FALSE)),IF(E13="",0,VLOOKUP(E13,Bausteine!$A$2:$AS$46,11,FALSE))&lt;=0,IF(E13="",0,VLOOKUP(E13,Bausteine!$A$2:$AS$46,11,FALSE))&gt;1),"UNGUELTIG","OK"),"FEHLER")</f>
        <v/>
      </c>
      <c r="Z13" t="n">
        <v>2200</v>
      </c>
      <c r="AA13" t="n">
        <v>55</v>
      </c>
      <c r="AB13" t="inlineStr">
        <is>
          <t>Half-filled bunker; base-faction catalog intentionally ignores old Infantry-General restriction.</t>
        </is>
      </c>
      <c r="AC13" t="inlineStr"/>
      <c r="AD13">
        <f>IF(AC13="",1,IF(AC13="",0,VLOOKUP(AC13,Bausteine!$A$2:$AS$46,37,FALSE))/100)</f>
        <v/>
      </c>
      <c r="AE13">
        <f>P13*AD13</f>
        <v/>
      </c>
      <c r="AF13" t="inlineStr"/>
      <c r="AG13" t="inlineStr"/>
      <c r="AH13" t="inlineStr"/>
      <c r="AI13">
        <f>SUMIF(Startbesatzung!$A$2:$A$7,A13,Startbesatzung!$D$2:$D$7)</f>
        <v/>
      </c>
      <c r="AJ13">
        <f>SUMIF(Startbesatzung!$A$2:$A$7,A13,Startbesatzung!$E$2:$E$7)</f>
        <v/>
      </c>
      <c r="AK13">
        <f>MAX(0,IF(Startbesatzung!A2=A13,Startbesatzung!G2,0),IF(Startbesatzung!A3=A13,Startbesatzung!G3,0),IF(Startbesatzung!A4=A13,Startbesatzung!G4,0),IF(Startbesatzung!A5=A13,Startbesatzung!G5,0),IF(Startbesatzung!A6=A13,Startbesatzung!G6,0),IF(Startbesatzung!A7=A13,Startbesatzung!G7,0))</f>
        <v/>
      </c>
      <c r="AL13">
        <f>IF(AF13="","",IF(IF(AH13="",0,VLOOKUP(AH13,Bausteine!$A$2:$AS$46,38,FALSE))&gt;0,IF(AH13="",0,VLOOKUP(AH13,Bausteine!$A$2:$AS$46,38,FALSE)),IF(AG13="",0,VLOOKUP(AG13,Bausteine!$A$2:$AS$46,28,FALSE))))</f>
        <v/>
      </c>
      <c r="AM13">
        <f>IF(AF13="","",IF(AG13="",0,VLOOKUP(AG13,Bausteine!$A$2:$AS$46,44,FALSE)))</f>
        <v/>
      </c>
      <c r="AN13">
        <f>IF(AF13="","",IF(AF13="",0,VLOOKUP(AF13,Bausteine!$A$2:$AS$46,27,FALSE)))</f>
        <v/>
      </c>
      <c r="AO13">
        <f>IF(AF13="","",IF(AF13="",0,VLOOKUP(AF13,Bausteine!$A$2:$AS$46,25,FALSE)))</f>
        <v/>
      </c>
      <c r="AP13">
        <f>IF(AF13="","",IF(AH13="",0,VLOOKUP(AH13,Bausteine!$A$2:$AS$46,29,FALSE)))</f>
        <v/>
      </c>
    </row>
    <row r="14">
      <c r="A14" t="inlineStr">
        <is>
          <t>Overlord Bunker</t>
        </is>
      </c>
      <c r="B14" t="inlineStr">
        <is>
          <t>china</t>
        </is>
      </c>
      <c r="C14" t="inlineStr">
        <is>
          <t>overlord-chassis</t>
        </is>
      </c>
      <c r="D14" t="inlineStr">
        <is>
          <t>diesel-heavy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heavy-twin-turret</t>
        </is>
      </c>
      <c r="H14" t="inlineStr">
        <is>
          <t>overlord-cannon</t>
        </is>
      </c>
      <c r="I14" t="inlineStr">
        <is>
          <t>heavy-shell</t>
        </is>
      </c>
      <c r="J14" t="inlineStr">
        <is>
          <t>firing-bunker</t>
        </is>
      </c>
      <c r="K14" t="inlineStr"/>
      <c r="L14" t="inlineStr"/>
      <c r="M14">
        <f>IF(C14="",0,VLOOKUP(C14,Bausteine!$A$2:$AS$46,4,FALSE))+IF(D14="",0,VLOOKUP(D14,Bausteine!$A$2:$AS$46,4,FALSE))+IF(E14="",0,VLOOKUP(E14,Bausteine!$A$2:$AS$46,4,FALSE))+IF(F14="",0,VLOOKUP(F14,Bausteine!$A$2:$AS$46,4,FALSE))+IF(G14="",0,VLOOKUP(G14,Bausteine!$A$2:$AS$46,4,FALSE))+IF(H14="",0,VLOOKUP(H14,Bausteine!$A$2:$AS$46,4,FALSE))+IF(I14="",0,VLOOKUP(I14,Bausteine!$A$2:$AS$46,4,FALSE))+IF(J14="",0,VLOOKUP(J14,Bausteine!$A$2:$AS$46,4,FALSE))+IF(K14="",0,VLOOKUP(K14,Bausteine!$A$2:$AS$46,4,FALSE))+IF(L14="",0,VLOOKUP(L14,Bausteine!$A$2:$AS$46,4,FALSE))+IF(AC14="",0,VLOOKUP(AC14,Bausteine!$A$2:$AS$46,4,FALSE))+IF(AF14="",0,VLOOKUP(AF14,Bausteine!$A$2:$AS$46,4,FALSE))+IF(AG14="",0,VLOOKUP(AG14,Bausteine!$A$2:$AS$46,4,FALSE))+IF(AH14="",0,VLOOKUP(AH14,Bausteine!$A$2:$AS$46,4,FALSE))</f>
        <v/>
      </c>
      <c r="N14">
        <f>IF(C14="",0,VLOOKUP(C14,Bausteine!$A$2:$AS$46,5,FALSE))+IF(D14="",0,VLOOKUP(D14,Bausteine!$A$2:$AS$46,5,FALSE))+IF(E14="",0,VLOOKUP(E14,Bausteine!$A$2:$AS$46,5,FALSE))+IF(F14="",0,VLOOKUP(F14,Bausteine!$A$2:$AS$46,5,FALSE))+IF(G14="",0,VLOOKUP(G14,Bausteine!$A$2:$AS$46,5,FALSE))+IF(H14="",0,VLOOKUP(H14,Bausteine!$A$2:$AS$46,5,FALSE))+IF(I14="",0,VLOOKUP(I14,Bausteine!$A$2:$AS$46,5,FALSE))+IF(J14="",0,VLOOKUP(J14,Bausteine!$A$2:$AS$46,5,FALSE))+IF(K14="",0,VLOOKUP(K14,Bausteine!$A$2:$AS$46,5,FALSE))+IF(L14="",0,VLOOKUP(L14,Bausteine!$A$2:$AS$46,5,FALSE))+IF(AC14="",0,VLOOKUP(AC14,Bausteine!$A$2:$AS$46,5,FALSE))+IF(AF14="",0,VLOOKUP(AF14,Bausteine!$A$2:$AS$46,5,FALSE))+IF(AG14="",0,VLOOKUP(AG14,Bausteine!$A$2:$AS$46,5,FALSE))+IF(AH14="",0,VLOOKUP(AH14,Bausteine!$A$2:$AS$46,5,FALSE))</f>
        <v/>
      </c>
      <c r="O14">
        <f>MAX(IF(C14="",0,VLOOKUP(C14,Bausteine!$A$2:$AS$46,6,FALSE)),IF(D14="",0,VLOOKUP(D14,Bausteine!$A$2:$AS$46,6,FALSE)),IF(E14="",0,VLOOKUP(E14,Bausteine!$A$2:$AS$46,6,FALSE)),IF(F14="",0,VLOOKUP(F14,Bausteine!$A$2:$AS$46,6,FALSE)),IF(G14="",0,VLOOKUP(G14,Bausteine!$A$2:$AS$46,6,FALSE)),IF(H14="",0,VLOOKUP(H14,Bausteine!$A$2:$AS$46,6,FALSE)),IF(I14="",0,VLOOKUP(I14,Bausteine!$A$2:$AS$46,6,FALSE)),IF(J14="",0,VLOOKUP(J14,Bausteine!$A$2:$AS$46,6,FALSE)),IF(K14="",0,VLOOKUP(K14,Bausteine!$A$2:$AS$46,6,FALSE)),IF(L14="",0,VLOOKUP(L14,Bausteine!$A$2:$AS$46,6,FALSE)),IF(AC14="",0,VLOOKUP(AC14,Bausteine!$A$2:$AS$46,6,FALSE)),IF(AF14="",0,VLOOKUP(AF14,Bausteine!$A$2:$AS$46,6,FALSE)),IF(AG14="",0,VLOOKUP(AG14,Bausteine!$A$2:$AS$46,6,FALSE)),IF(AH14="",0,VLOOKUP(AH14,Bausteine!$A$2:$AS$46,6,FALSE)),AK14)</f>
        <v/>
      </c>
      <c r="P14">
        <f>IF(C14="",0,VLOOKUP(C14,Bausteine!$A$2:$AS$46,7,FALSE))*IF(F14="",0,VLOOKUP(F14,Bausteine!$A$2:$AS$46,17,FALSE))/100+IF(D14="",0,VLOOKUP(D14,Bausteine!$A$2:$AS$46,7,FALSE))+IF(E14="",0,VLOOKUP(E14,Bausteine!$A$2:$AS$46,7,FALSE))+IF(G14="",0,VLOOKUP(G14,Bausteine!$A$2:$AS$46,7,FALSE))+IF(H14="",0,VLOOKUP(H14,Bausteine!$A$2:$AS$46,7,FALSE))+IF(I14="",0,VLOOKUP(I14,Bausteine!$A$2:$AS$46,7,FALSE))+IF(J14="",0,VLOOKUP(J14,Bausteine!$A$2:$AS$46,7,FALSE))+IF(K14="",0,VLOOKUP(K14,Bausteine!$A$2:$AS$46,7,FALSE))+IF(L14="",0,VLOOKUP(L14,Bausteine!$A$2:$AS$46,7,FALSE))+IF(AC14="",0,VLOOKUP(AC14,Bausteine!$A$2:$AS$46,7,FALSE))+IF(AF14="",0,VLOOKUP(AF14,Bausteine!$A$2:$AS$46,7,FALSE))+IF(AG14="",0,VLOOKUP(AG14,Bausteine!$A$2:$AS$46,7,FALSE))+IF(AH14="",0,VLOOKUP(AH14,Bausteine!$A$2:$AS$46,7,FALSE))+AI14</f>
        <v/>
      </c>
      <c r="Q14">
        <f>N14*Parameter!$B$2</f>
        <v/>
      </c>
      <c r="R14">
        <f>AE14-Q14</f>
        <v/>
      </c>
      <c r="S14">
        <f>IF(C14="",0,VLOOKUP(C14,Bausteine!$A$2:$AS$46,13,FALSE))*IF(F14="",0,VLOOKUP(F14,Bausteine!$A$2:$AS$46,16,FALSE))/100</f>
        <v/>
      </c>
      <c r="T14">
        <f>IF(C14="",0,VLOOKUP(C14,Bausteine!$A$2:$AS$46,8,FALSE))*IF(F14="",0,VLOOKUP(F14,Bausteine!$A$2:$AS$46,15,FALSE))/100+IF(D14="",0,VLOOKUP(D14,Bausteine!$A$2:$AS$46,8,FALSE))+IF(E14="",0,VLOOKUP(E14,Bausteine!$A$2:$AS$46,8,FALSE))+IF(G14="",0,VLOOKUP(G14,Bausteine!$A$2:$AS$46,8,FALSE))+IF(H14="",0,VLOOKUP(H14,Bausteine!$A$2:$AS$46,8,FALSE))+IF(I14="",0,VLOOKUP(I14,Bausteine!$A$2:$AS$46,8,FALSE))+IF(J14="",0,VLOOKUP(J14,Bausteine!$A$2:$AS$46,8,FALSE))+IF(K14="",0,VLOOKUP(K14,Bausteine!$A$2:$AS$46,8,FALSE))+IF(L14="",0,VLOOKUP(L14,Bausteine!$A$2:$AS$46,8,FALSE))+IF(AC14="",0,VLOOKUP(AC14,Bausteine!$A$2:$AS$46,8,FALSE))+IF(AF14="",0,VLOOKUP(AF14,Bausteine!$A$2:$AS$46,8,FALSE))+IF(AG14="",0,VLOOKUP(AG14,Bausteine!$A$2:$AS$46,8,FALSE))+IF(AH14="",0,VLOOKUP(AH14,Bausteine!$A$2:$AS$46,8,FALSE))+AJ14</f>
        <v/>
      </c>
      <c r="U14">
        <f>IF(C14="",0,VLOOKUP(C14,Bausteine!$A$2:$AS$46,9,FALSE))+IF(D14="",0,VLOOKUP(D14,Bausteine!$A$2:$AS$46,9,FALSE))+IF(E14="",0,VLOOKUP(E14,Bausteine!$A$2:$AS$46,9,FALSE))+IF(F14="",0,VLOOKUP(F14,Bausteine!$A$2:$AS$46,9,FALSE))+IF(G14="",0,VLOOKUP(G14,Bausteine!$A$2:$AS$46,9,FALSE))+IF(H14="",0,VLOOKUP(H14,Bausteine!$A$2:$AS$46,9,FALSE))+IF(I14="",0,VLOOKUP(I14,Bausteine!$A$2:$AS$46,9,FALSE))+IF(J14="",0,VLOOKUP(J14,Bausteine!$A$2:$AS$46,9,FALSE))+IF(K14="",0,VLOOKUP(K14,Bausteine!$A$2:$AS$46,9,FALSE))+IF(L14="",0,VLOOKUP(L14,Bausteine!$A$2:$AS$46,9,FALSE))+IF(AC14="",0,VLOOKUP(AC14,Bausteine!$A$2:$AS$46,9,FALSE))+IF(AF14="",0,VLOOKUP(AF14,Bausteine!$A$2:$AS$46,9,FALSE))+IF(AG14="",0,VLOOKUP(AG14,Bausteine!$A$2:$AS$46,9,FALSE))+IF(AH14="",0,VLOOKUP(AH14,Bausteine!$A$2:$AS$46,9,FALSE))</f>
        <v/>
      </c>
      <c r="V14">
        <f>IF(D14="",0,VLOOKUP(D14,Bausteine!$A$2:$AS$46,10,FALSE))-U14/IF(E14="",0,VLOOKUP(E14,Bausteine!$A$2:$AS$46,11,FALSE))</f>
        <v/>
      </c>
      <c r="W14">
        <f>IF(Y14&lt;&gt;"OK","",ROUND(MIN(IF(C14="",0,VLOOKUP(C14,Bausteine!$A$2:$AS$46,21,FALSE)),IF(C14="",0,VLOOKUP(C14,Bausteine!$A$2:$AS$46,20,FALSE))*(V14/T14/(IF(C14="",0,VLOOKUP(C14,Bausteine!$A$2:$AS$46,19,FALSE))/IF(C14="",0,VLOOKUP(C14,Bausteine!$A$2:$AS$46,18,FALSE))))^Parameter!$B$3),0))</f>
        <v/>
      </c>
      <c r="X14">
        <f>IF(F14="",0,VLOOKUP(F14,Bausteine!$A$2:$AS$46,14,FALSE))</f>
        <v/>
      </c>
      <c r="Y14">
        <f>IFERROR(IF(OR(AD14&lt;=0,AD14&gt;1,R14&lt;=0,T14&lt;=0,V14&lt;=0,U14&gt;IF(E14="",0,VLOOKUP(E14,Bausteine!$A$2:$AS$46,12,FALSE)),T14&gt;IF(C14="",0,VLOOKUP(C14,Bausteine!$A$2:$AS$46,22,FALSE)),IF(E14="",0,VLOOKUP(E14,Bausteine!$A$2:$AS$46,11,FALSE))&lt;=0,IF(E14="",0,VLOOKUP(E14,Bausteine!$A$2:$AS$46,11,FALSE))&gt;1),"UNGUELTIG","OK"),"FEHLER")</f>
        <v/>
      </c>
      <c r="Z14" t="n">
        <v>3000</v>
      </c>
      <c r="AA14" t="n">
        <v>55</v>
      </c>
      <c r="AB14" t="inlineStr">
        <is>
          <t>Includes 4 Tank Hunters. Compare base HP, not Emperor conditional resistance. Crew + bunker mass/load are provisional; reuses existing open-topped traits.</t>
        </is>
      </c>
      <c r="AC14" t="inlineStr"/>
      <c r="AD14">
        <f>IF(AC14="",1,IF(AC14="",0,VLOOKUP(AC14,Bausteine!$A$2:$AS$46,37,FALSE))/100)</f>
        <v/>
      </c>
      <c r="AE14">
        <f>P14*AD14</f>
        <v/>
      </c>
      <c r="AF14" t="inlineStr"/>
      <c r="AG14" t="inlineStr"/>
      <c r="AH14" t="inlineStr"/>
      <c r="AI14">
        <f>SUMIF(Startbesatzung!$A$2:$A$7,A14,Startbesatzung!$D$2:$D$7)</f>
        <v/>
      </c>
      <c r="AJ14">
        <f>SUMIF(Startbesatzung!$A$2:$A$7,A14,Startbesatzung!$E$2:$E$7)</f>
        <v/>
      </c>
      <c r="AK14">
        <f>MAX(0,IF(Startbesatzung!A2=A14,Startbesatzung!G2,0),IF(Startbesatzung!A3=A14,Startbesatzung!G3,0),IF(Startbesatzung!A4=A14,Startbesatzung!G4,0),IF(Startbesatzung!A5=A14,Startbesatzung!G5,0),IF(Startbesatzung!A6=A14,Startbesatzung!G6,0),IF(Startbesatzung!A7=A14,Startbesatzung!G7,0))</f>
        <v/>
      </c>
      <c r="AL14">
        <f>IF(AF14="","",IF(IF(AH14="",0,VLOOKUP(AH14,Bausteine!$A$2:$AS$46,38,FALSE))&gt;0,IF(AH14="",0,VLOOKUP(AH14,Bausteine!$A$2:$AS$46,38,FALSE)),IF(AG14="",0,VLOOKUP(AG14,Bausteine!$A$2:$AS$46,28,FALSE))))</f>
        <v/>
      </c>
      <c r="AM14">
        <f>IF(AF14="","",IF(AG14="",0,VLOOKUP(AG14,Bausteine!$A$2:$AS$46,44,FALSE)))</f>
        <v/>
      </c>
      <c r="AN14">
        <f>IF(AF14="","",IF(AF14="",0,VLOOKUP(AF14,Bausteine!$A$2:$AS$46,27,FALSE)))</f>
        <v/>
      </c>
      <c r="AO14">
        <f>IF(AF14="","",IF(AF14="",0,VLOOKUP(AF14,Bausteine!$A$2:$AS$46,25,FALSE)))</f>
        <v/>
      </c>
      <c r="AP14">
        <f>IF(AF14="","",IF(AH14="",0,VLOOKUP(AH14,Bausteine!$A$2:$AS$46,29,FALSE)))</f>
        <v/>
      </c>
    </row>
    <row r="15">
      <c r="A15" t="inlineStr">
        <is>
          <t>Overlord Bunker PDL</t>
        </is>
      </c>
      <c r="B15" t="inlineStr">
        <is>
          <t>china</t>
        </is>
      </c>
      <c r="C15" t="inlineStr">
        <is>
          <t>overlord-chassis</t>
        </is>
      </c>
      <c r="D15" t="inlineStr">
        <is>
          <t>diesel-heavy-boost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heavy-twin-turret</t>
        </is>
      </c>
      <c r="H15" t="inlineStr">
        <is>
          <t>overlord-cannon</t>
        </is>
      </c>
      <c r="I15" t="inlineStr">
        <is>
          <t>heavy-shell</t>
        </is>
      </c>
      <c r="J15" t="inlineStr">
        <is>
          <t>firing-bunker</t>
        </is>
      </c>
      <c r="K15" t="inlineStr">
        <is>
          <t>pdl</t>
        </is>
      </c>
      <c r="L15" t="inlineStr"/>
      <c r="M15">
        <f>IF(C15="",0,VLOOKUP(C15,Bausteine!$A$2:$AS$46,4,FALSE))+IF(D15="",0,VLOOKUP(D15,Bausteine!$A$2:$AS$46,4,FALSE))+IF(E15="",0,VLOOKUP(E15,Bausteine!$A$2:$AS$46,4,FALSE))+IF(F15="",0,VLOOKUP(F15,Bausteine!$A$2:$AS$46,4,FALSE))+IF(G15="",0,VLOOKUP(G15,Bausteine!$A$2:$AS$46,4,FALSE))+IF(H15="",0,VLOOKUP(H15,Bausteine!$A$2:$AS$46,4,FALSE))+IF(I15="",0,VLOOKUP(I15,Bausteine!$A$2:$AS$46,4,FALSE))+IF(J15="",0,VLOOKUP(J15,Bausteine!$A$2:$AS$46,4,FALSE))+IF(K15="",0,VLOOKUP(K15,Bausteine!$A$2:$AS$46,4,FALSE))+IF(L15="",0,VLOOKUP(L15,Bausteine!$A$2:$AS$46,4,FALSE))+IF(AC15="",0,VLOOKUP(AC15,Bausteine!$A$2:$AS$46,4,FALSE))+IF(AF15="",0,VLOOKUP(AF15,Bausteine!$A$2:$AS$46,4,FALSE))+IF(AG15="",0,VLOOKUP(AG15,Bausteine!$A$2:$AS$46,4,FALSE))+IF(AH15="",0,VLOOKUP(AH15,Bausteine!$A$2:$AS$46,4,FALSE))</f>
        <v/>
      </c>
      <c r="N15">
        <f>IF(C15="",0,VLOOKUP(C15,Bausteine!$A$2:$AS$46,5,FALSE))+IF(D15="",0,VLOOKUP(D15,Bausteine!$A$2:$AS$46,5,FALSE))+IF(E15="",0,VLOOKUP(E15,Bausteine!$A$2:$AS$46,5,FALSE))+IF(F15="",0,VLOOKUP(F15,Bausteine!$A$2:$AS$46,5,FALSE))+IF(G15="",0,VLOOKUP(G15,Bausteine!$A$2:$AS$46,5,FALSE))+IF(H15="",0,VLOOKUP(H15,Bausteine!$A$2:$AS$46,5,FALSE))+IF(I15="",0,VLOOKUP(I15,Bausteine!$A$2:$AS$46,5,FALSE))+IF(J15="",0,VLOOKUP(J15,Bausteine!$A$2:$AS$46,5,FALSE))+IF(K15="",0,VLOOKUP(K15,Bausteine!$A$2:$AS$46,5,FALSE))+IF(L15="",0,VLOOKUP(L15,Bausteine!$A$2:$AS$46,5,FALSE))+IF(AC15="",0,VLOOKUP(AC15,Bausteine!$A$2:$AS$46,5,FALSE))+IF(AF15="",0,VLOOKUP(AF15,Bausteine!$A$2:$AS$46,5,FALSE))+IF(AG15="",0,VLOOKUP(AG15,Bausteine!$A$2:$AS$46,5,FALSE))+IF(AH15="",0,VLOOKUP(AH15,Bausteine!$A$2:$AS$46,5,FALSE))</f>
        <v/>
      </c>
      <c r="O15">
        <f>MAX(IF(C15="",0,VLOOKUP(C15,Bausteine!$A$2:$AS$46,6,FALSE)),IF(D15="",0,VLOOKUP(D15,Bausteine!$A$2:$AS$46,6,FALSE)),IF(E15="",0,VLOOKUP(E15,Bausteine!$A$2:$AS$46,6,FALSE)),IF(F15="",0,VLOOKUP(F15,Bausteine!$A$2:$AS$46,6,FALSE)),IF(G15="",0,VLOOKUP(G15,Bausteine!$A$2:$AS$46,6,FALSE)),IF(H15="",0,VLOOKUP(H15,Bausteine!$A$2:$AS$46,6,FALSE)),IF(I15="",0,VLOOKUP(I15,Bausteine!$A$2:$AS$46,6,FALSE)),IF(J15="",0,VLOOKUP(J15,Bausteine!$A$2:$AS$46,6,FALSE)),IF(K15="",0,VLOOKUP(K15,Bausteine!$A$2:$AS$46,6,FALSE)),IF(L15="",0,VLOOKUP(L15,Bausteine!$A$2:$AS$46,6,FALSE)),IF(AC15="",0,VLOOKUP(AC15,Bausteine!$A$2:$AS$46,6,FALSE)),IF(AF15="",0,VLOOKUP(AF15,Bausteine!$A$2:$AS$46,6,FALSE)),IF(AG15="",0,VLOOKUP(AG15,Bausteine!$A$2:$AS$46,6,FALSE)),IF(AH15="",0,VLOOKUP(AH15,Bausteine!$A$2:$AS$46,6,FALSE)),AK15)</f>
        <v/>
      </c>
      <c r="P15">
        <f>IF(C15="",0,VLOOKUP(C15,Bausteine!$A$2:$AS$46,7,FALSE))*IF(F15="",0,VLOOKUP(F15,Bausteine!$A$2:$AS$46,17,FALSE))/100+IF(D15="",0,VLOOKUP(D15,Bausteine!$A$2:$AS$46,7,FALSE))+IF(E15="",0,VLOOKUP(E15,Bausteine!$A$2:$AS$46,7,FALSE))+IF(G15="",0,VLOOKUP(G15,Bausteine!$A$2:$AS$46,7,FALSE))+IF(H15="",0,VLOOKUP(H15,Bausteine!$A$2:$AS$46,7,FALSE))+IF(I15="",0,VLOOKUP(I15,Bausteine!$A$2:$AS$46,7,FALSE))+IF(J15="",0,VLOOKUP(J15,Bausteine!$A$2:$AS$46,7,FALSE))+IF(K15="",0,VLOOKUP(K15,Bausteine!$A$2:$AS$46,7,FALSE))+IF(L15="",0,VLOOKUP(L15,Bausteine!$A$2:$AS$46,7,FALSE))+IF(AC15="",0,VLOOKUP(AC15,Bausteine!$A$2:$AS$46,7,FALSE))+IF(AF15="",0,VLOOKUP(AF15,Bausteine!$A$2:$AS$46,7,FALSE))+IF(AG15="",0,VLOOKUP(AG15,Bausteine!$A$2:$AS$46,7,FALSE))+IF(AH15="",0,VLOOKUP(AH15,Bausteine!$A$2:$AS$46,7,FALSE))+AI15</f>
        <v/>
      </c>
      <c r="Q15">
        <f>N15*Parameter!$B$2</f>
        <v/>
      </c>
      <c r="R15">
        <f>AE15-Q15</f>
        <v/>
      </c>
      <c r="S15">
        <f>IF(C15="",0,VLOOKUP(C15,Bausteine!$A$2:$AS$46,13,FALSE))*IF(F15="",0,VLOOKUP(F15,Bausteine!$A$2:$AS$46,16,FALSE))/100</f>
        <v/>
      </c>
      <c r="T15">
        <f>IF(C15="",0,VLOOKUP(C15,Bausteine!$A$2:$AS$46,8,FALSE))*IF(F15="",0,VLOOKUP(F15,Bausteine!$A$2:$AS$46,15,FALSE))/100+IF(D15="",0,VLOOKUP(D15,Bausteine!$A$2:$AS$46,8,FALSE))+IF(E15="",0,VLOOKUP(E15,Bausteine!$A$2:$AS$46,8,FALSE))+IF(G15="",0,VLOOKUP(G15,Bausteine!$A$2:$AS$46,8,FALSE))+IF(H15="",0,VLOOKUP(H15,Bausteine!$A$2:$AS$46,8,FALSE))+IF(I15="",0,VLOOKUP(I15,Bausteine!$A$2:$AS$46,8,FALSE))+IF(J15="",0,VLOOKUP(J15,Bausteine!$A$2:$AS$46,8,FALSE))+IF(K15="",0,VLOOKUP(K15,Bausteine!$A$2:$AS$46,8,FALSE))+IF(L15="",0,VLOOKUP(L15,Bausteine!$A$2:$AS$46,8,FALSE))+IF(AC15="",0,VLOOKUP(AC15,Bausteine!$A$2:$AS$46,8,FALSE))+IF(AF15="",0,VLOOKUP(AF15,Bausteine!$A$2:$AS$46,8,FALSE))+IF(AG15="",0,VLOOKUP(AG15,Bausteine!$A$2:$AS$46,8,FALSE))+IF(AH15="",0,VLOOKUP(AH15,Bausteine!$A$2:$AS$46,8,FALSE))+AJ15</f>
        <v/>
      </c>
      <c r="U15">
        <f>IF(C15="",0,VLOOKUP(C15,Bausteine!$A$2:$AS$46,9,FALSE))+IF(D15="",0,VLOOKUP(D15,Bausteine!$A$2:$AS$46,9,FALSE))+IF(E15="",0,VLOOKUP(E15,Bausteine!$A$2:$AS$46,9,FALSE))+IF(F15="",0,VLOOKUP(F15,Bausteine!$A$2:$AS$46,9,FALSE))+IF(G15="",0,VLOOKUP(G15,Bausteine!$A$2:$AS$46,9,FALSE))+IF(H15="",0,VLOOKUP(H15,Bausteine!$A$2:$AS$46,9,FALSE))+IF(I15="",0,VLOOKUP(I15,Bausteine!$A$2:$AS$46,9,FALSE))+IF(J15="",0,VLOOKUP(J15,Bausteine!$A$2:$AS$46,9,FALSE))+IF(K15="",0,VLOOKUP(K15,Bausteine!$A$2:$AS$46,9,FALSE))+IF(L15="",0,VLOOKUP(L15,Bausteine!$A$2:$AS$46,9,FALSE))+IF(AC15="",0,VLOOKUP(AC15,Bausteine!$A$2:$AS$46,9,FALSE))+IF(AF15="",0,VLOOKUP(AF15,Bausteine!$A$2:$AS$46,9,FALSE))+IF(AG15="",0,VLOOKUP(AG15,Bausteine!$A$2:$AS$46,9,FALSE))+IF(AH15="",0,VLOOKUP(AH15,Bausteine!$A$2:$AS$46,9,FALSE))</f>
        <v/>
      </c>
      <c r="V15">
        <f>IF(D15="",0,VLOOKUP(D15,Bausteine!$A$2:$AS$46,10,FALSE))-U15/IF(E15="",0,VLOOKUP(E15,Bausteine!$A$2:$AS$46,11,FALSE))</f>
        <v/>
      </c>
      <c r="W15">
        <f>IF(Y15&lt;&gt;"OK","",ROUND(MIN(IF(C15="",0,VLOOKUP(C15,Bausteine!$A$2:$AS$46,21,FALSE)),IF(C15="",0,VLOOKUP(C15,Bausteine!$A$2:$AS$46,20,FALSE))*(V15/T15/(IF(C15="",0,VLOOKUP(C15,Bausteine!$A$2:$AS$46,19,FALSE))/IF(C15="",0,VLOOKUP(C15,Bausteine!$A$2:$AS$46,18,FALSE))))^Parameter!$B$3),0))</f>
        <v/>
      </c>
      <c r="X15">
        <f>IF(F15="",0,VLOOKUP(F15,Bausteine!$A$2:$AS$46,14,FALSE))</f>
        <v/>
      </c>
      <c r="Y15">
        <f>IFERROR(IF(OR(AD15&lt;=0,AD15&gt;1,R15&lt;=0,T15&lt;=0,V15&lt;=0,U15&gt;IF(E15="",0,VLOOKUP(E15,Bausteine!$A$2:$AS$46,12,FALSE)),T15&gt;IF(C15="",0,VLOOKUP(C15,Bausteine!$A$2:$AS$46,22,FALSE)),IF(E15="",0,VLOOKUP(E15,Bausteine!$A$2:$AS$46,11,FALSE))&lt;=0,IF(E15="",0,VLOOKUP(E15,Bausteine!$A$2:$AS$46,11,FALSE))&gt;1),"UNGUELTIG","OK"),"FEHLER")</f>
        <v/>
      </c>
      <c r="Z15" t="n">
        <v>3650</v>
      </c>
      <c r="AA15" t="n">
        <v>55</v>
      </c>
      <c r="AB15" t="inlineStr">
        <is>
          <t>Standard PDL composed via existing ^AttackingCargoAndPDL; no special price discount.</t>
        </is>
      </c>
      <c r="AC15" t="inlineStr"/>
      <c r="AD15">
        <f>IF(AC15="",1,IF(AC15="",0,VLOOKUP(AC15,Bausteine!$A$2:$AS$46,37,FALSE))/100)</f>
        <v/>
      </c>
      <c r="AE15">
        <f>P15*AD15</f>
        <v/>
      </c>
      <c r="AF15" t="inlineStr"/>
      <c r="AG15" t="inlineStr"/>
      <c r="AH15" t="inlineStr"/>
      <c r="AI15">
        <f>SUMIF(Startbesatzung!$A$2:$A$7,A15,Startbesatzung!$D$2:$D$7)</f>
        <v/>
      </c>
      <c r="AJ15">
        <f>SUMIF(Startbesatzung!$A$2:$A$7,A15,Startbesatzung!$E$2:$E$7)</f>
        <v/>
      </c>
      <c r="AK15">
        <f>MAX(0,IF(Startbesatzung!A2=A15,Startbesatzung!G2,0),IF(Startbesatzung!A3=A15,Startbesatzung!G3,0),IF(Startbesatzung!A4=A15,Startbesatzung!G4,0),IF(Startbesatzung!A5=A15,Startbesatzung!G5,0),IF(Startbesatzung!A6=A15,Startbesatzung!G6,0),IF(Startbesatzung!A7=A15,Startbesatzung!G7,0))</f>
        <v/>
      </c>
      <c r="AL15">
        <f>IF(AF15="","",IF(IF(AH15="",0,VLOOKUP(AH15,Bausteine!$A$2:$AS$46,38,FALSE))&gt;0,IF(AH15="",0,VLOOKUP(AH15,Bausteine!$A$2:$AS$46,38,FALSE)),IF(AG15="",0,VLOOKUP(AG15,Bausteine!$A$2:$AS$46,28,FALSE))))</f>
        <v/>
      </c>
      <c r="AM15">
        <f>IF(AF15="","",IF(AG15="",0,VLOOKUP(AG15,Bausteine!$A$2:$AS$46,44,FALSE)))</f>
        <v/>
      </c>
      <c r="AN15">
        <f>IF(AF15="","",IF(AF15="",0,VLOOKUP(AF15,Bausteine!$A$2:$AS$46,27,FALSE)))</f>
        <v/>
      </c>
      <c r="AO15">
        <f>IF(AF15="","",IF(AF15="",0,VLOOKUP(AF15,Bausteine!$A$2:$AS$46,25,FALSE)))</f>
        <v/>
      </c>
      <c r="AP15">
        <f>IF(AF15="","",IF(AH15="",0,VLOOKUP(AH15,Bausteine!$A$2:$AS$46,29,FALSE)))</f>
        <v/>
      </c>
    </row>
    <row r="16">
      <c r="A16" t="inlineStr">
        <is>
          <t>Overlord Bunker Reflector</t>
        </is>
      </c>
      <c r="B16" t="inlineStr">
        <is>
          <t>china</t>
        </is>
      </c>
      <c r="C16" t="inlineStr">
        <is>
          <t>overlord-chassis</t>
        </is>
      </c>
      <c r="D16" t="inlineStr">
        <is>
          <t>diesel-heavy-boost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heavy-twin-turret</t>
        </is>
      </c>
      <c r="H16" t="inlineStr">
        <is>
          <t>overlord-cannon</t>
        </is>
      </c>
      <c r="I16" t="inlineStr">
        <is>
          <t>heavy-shell</t>
        </is>
      </c>
      <c r="J16" t="inlineStr">
        <is>
          <t>firing-bunker</t>
        </is>
      </c>
      <c r="K16" t="inlineStr"/>
      <c r="L16" t="inlineStr"/>
      <c r="M16">
        <f>IF(C16="",0,VLOOKUP(C16,Bausteine!$A$2:$AS$46,4,FALSE))+IF(D16="",0,VLOOKUP(D16,Bausteine!$A$2:$AS$46,4,FALSE))+IF(E16="",0,VLOOKUP(E16,Bausteine!$A$2:$AS$46,4,FALSE))+IF(F16="",0,VLOOKUP(F16,Bausteine!$A$2:$AS$46,4,FALSE))+IF(G16="",0,VLOOKUP(G16,Bausteine!$A$2:$AS$46,4,FALSE))+IF(H16="",0,VLOOKUP(H16,Bausteine!$A$2:$AS$46,4,FALSE))+IF(I16="",0,VLOOKUP(I16,Bausteine!$A$2:$AS$46,4,FALSE))+IF(J16="",0,VLOOKUP(J16,Bausteine!$A$2:$AS$46,4,FALSE))+IF(K16="",0,VLOOKUP(K16,Bausteine!$A$2:$AS$46,4,FALSE))+IF(L16="",0,VLOOKUP(L16,Bausteine!$A$2:$AS$46,4,FALSE))+IF(AC16="",0,VLOOKUP(AC16,Bausteine!$A$2:$AS$46,4,FALSE))+IF(AF16="",0,VLOOKUP(AF16,Bausteine!$A$2:$AS$46,4,FALSE))+IF(AG16="",0,VLOOKUP(AG16,Bausteine!$A$2:$AS$46,4,FALSE))+IF(AH16="",0,VLOOKUP(AH16,Bausteine!$A$2:$AS$46,4,FALSE))</f>
        <v/>
      </c>
      <c r="N16">
        <f>IF(C16="",0,VLOOKUP(C16,Bausteine!$A$2:$AS$46,5,FALSE))+IF(D16="",0,VLOOKUP(D16,Bausteine!$A$2:$AS$46,5,FALSE))+IF(E16="",0,VLOOKUP(E16,Bausteine!$A$2:$AS$46,5,FALSE))+IF(F16="",0,VLOOKUP(F16,Bausteine!$A$2:$AS$46,5,FALSE))+IF(G16="",0,VLOOKUP(G16,Bausteine!$A$2:$AS$46,5,FALSE))+IF(H16="",0,VLOOKUP(H16,Bausteine!$A$2:$AS$46,5,FALSE))+IF(I16="",0,VLOOKUP(I16,Bausteine!$A$2:$AS$46,5,FALSE))+IF(J16="",0,VLOOKUP(J16,Bausteine!$A$2:$AS$46,5,FALSE))+IF(K16="",0,VLOOKUP(K16,Bausteine!$A$2:$AS$46,5,FALSE))+IF(L16="",0,VLOOKUP(L16,Bausteine!$A$2:$AS$46,5,FALSE))+IF(AC16="",0,VLOOKUP(AC16,Bausteine!$A$2:$AS$46,5,FALSE))+IF(AF16="",0,VLOOKUP(AF16,Bausteine!$A$2:$AS$46,5,FALSE))+IF(AG16="",0,VLOOKUP(AG16,Bausteine!$A$2:$AS$46,5,FALSE))+IF(AH16="",0,VLOOKUP(AH16,Bausteine!$A$2:$AS$46,5,FALSE))</f>
        <v/>
      </c>
      <c r="O16">
        <f>MAX(IF(C16="",0,VLOOKUP(C16,Bausteine!$A$2:$AS$46,6,FALSE)),IF(D16="",0,VLOOKUP(D16,Bausteine!$A$2:$AS$46,6,FALSE)),IF(E16="",0,VLOOKUP(E16,Bausteine!$A$2:$AS$46,6,FALSE)),IF(F16="",0,VLOOKUP(F16,Bausteine!$A$2:$AS$46,6,FALSE)),IF(G16="",0,VLOOKUP(G16,Bausteine!$A$2:$AS$46,6,FALSE)),IF(H16="",0,VLOOKUP(H16,Bausteine!$A$2:$AS$46,6,FALSE)),IF(I16="",0,VLOOKUP(I16,Bausteine!$A$2:$AS$46,6,FALSE)),IF(J16="",0,VLOOKUP(J16,Bausteine!$A$2:$AS$46,6,FALSE)),IF(K16="",0,VLOOKUP(K16,Bausteine!$A$2:$AS$46,6,FALSE)),IF(L16="",0,VLOOKUP(L16,Bausteine!$A$2:$AS$46,6,FALSE)),IF(AC16="",0,VLOOKUP(AC16,Bausteine!$A$2:$AS$46,6,FALSE)),IF(AF16="",0,VLOOKUP(AF16,Bausteine!$A$2:$AS$46,6,FALSE)),IF(AG16="",0,VLOOKUP(AG16,Bausteine!$A$2:$AS$46,6,FALSE)),IF(AH16="",0,VLOOKUP(AH16,Bausteine!$A$2:$AS$46,6,FALSE)),AK16)</f>
        <v/>
      </c>
      <c r="P16">
        <f>IF(C16="",0,VLOOKUP(C16,Bausteine!$A$2:$AS$46,7,FALSE))*IF(F16="",0,VLOOKUP(F16,Bausteine!$A$2:$AS$46,17,FALSE))/100+IF(D16="",0,VLOOKUP(D16,Bausteine!$A$2:$AS$46,7,FALSE))+IF(E16="",0,VLOOKUP(E16,Bausteine!$A$2:$AS$46,7,FALSE))+IF(G16="",0,VLOOKUP(G16,Bausteine!$A$2:$AS$46,7,FALSE))+IF(H16="",0,VLOOKUP(H16,Bausteine!$A$2:$AS$46,7,FALSE))+IF(I16="",0,VLOOKUP(I16,Bausteine!$A$2:$AS$46,7,FALSE))+IF(J16="",0,VLOOKUP(J16,Bausteine!$A$2:$AS$46,7,FALSE))+IF(K16="",0,VLOOKUP(K16,Bausteine!$A$2:$AS$46,7,FALSE))+IF(L16="",0,VLOOKUP(L16,Bausteine!$A$2:$AS$46,7,FALSE))+IF(AC16="",0,VLOOKUP(AC16,Bausteine!$A$2:$AS$46,7,FALSE))+IF(AF16="",0,VLOOKUP(AF16,Bausteine!$A$2:$AS$46,7,FALSE))+IF(AG16="",0,VLOOKUP(AG16,Bausteine!$A$2:$AS$46,7,FALSE))+IF(AH16="",0,VLOOKUP(AH16,Bausteine!$A$2:$AS$46,7,FALSE))+AI16</f>
        <v/>
      </c>
      <c r="Q16">
        <f>N16*Parameter!$B$2</f>
        <v/>
      </c>
      <c r="R16">
        <f>AE16-Q16</f>
        <v/>
      </c>
      <c r="S16">
        <f>IF(C16="",0,VLOOKUP(C16,Bausteine!$A$2:$AS$46,13,FALSE))*IF(F16="",0,VLOOKUP(F16,Bausteine!$A$2:$AS$46,16,FALSE))/100</f>
        <v/>
      </c>
      <c r="T16">
        <f>IF(C16="",0,VLOOKUP(C16,Bausteine!$A$2:$AS$46,8,FALSE))*IF(F16="",0,VLOOKUP(F16,Bausteine!$A$2:$AS$46,15,FALSE))/100+IF(D16="",0,VLOOKUP(D16,Bausteine!$A$2:$AS$46,8,FALSE))+IF(E16="",0,VLOOKUP(E16,Bausteine!$A$2:$AS$46,8,FALSE))+IF(G16="",0,VLOOKUP(G16,Bausteine!$A$2:$AS$46,8,FALSE))+IF(H16="",0,VLOOKUP(H16,Bausteine!$A$2:$AS$46,8,FALSE))+IF(I16="",0,VLOOKUP(I16,Bausteine!$A$2:$AS$46,8,FALSE))+IF(J16="",0,VLOOKUP(J16,Bausteine!$A$2:$AS$46,8,FALSE))+IF(K16="",0,VLOOKUP(K16,Bausteine!$A$2:$AS$46,8,FALSE))+IF(L16="",0,VLOOKUP(L16,Bausteine!$A$2:$AS$46,8,FALSE))+IF(AC16="",0,VLOOKUP(AC16,Bausteine!$A$2:$AS$46,8,FALSE))+IF(AF16="",0,VLOOKUP(AF16,Bausteine!$A$2:$AS$46,8,FALSE))+IF(AG16="",0,VLOOKUP(AG16,Bausteine!$A$2:$AS$46,8,FALSE))+IF(AH16="",0,VLOOKUP(AH16,Bausteine!$A$2:$AS$46,8,FALSE))+AJ16</f>
        <v/>
      </c>
      <c r="U16">
        <f>IF(C16="",0,VLOOKUP(C16,Bausteine!$A$2:$AS$46,9,FALSE))+IF(D16="",0,VLOOKUP(D16,Bausteine!$A$2:$AS$46,9,FALSE))+IF(E16="",0,VLOOKUP(E16,Bausteine!$A$2:$AS$46,9,FALSE))+IF(F16="",0,VLOOKUP(F16,Bausteine!$A$2:$AS$46,9,FALSE))+IF(G16="",0,VLOOKUP(G16,Bausteine!$A$2:$AS$46,9,FALSE))+IF(H16="",0,VLOOKUP(H16,Bausteine!$A$2:$AS$46,9,FALSE))+IF(I16="",0,VLOOKUP(I16,Bausteine!$A$2:$AS$46,9,FALSE))+IF(J16="",0,VLOOKUP(J16,Bausteine!$A$2:$AS$46,9,FALSE))+IF(K16="",0,VLOOKUP(K16,Bausteine!$A$2:$AS$46,9,FALSE))+IF(L16="",0,VLOOKUP(L16,Bausteine!$A$2:$AS$46,9,FALSE))+IF(AC16="",0,VLOOKUP(AC16,Bausteine!$A$2:$AS$46,9,FALSE))+IF(AF16="",0,VLOOKUP(AF16,Bausteine!$A$2:$AS$46,9,FALSE))+IF(AG16="",0,VLOOKUP(AG16,Bausteine!$A$2:$AS$46,9,FALSE))+IF(AH16="",0,VLOOKUP(AH16,Bausteine!$A$2:$AS$46,9,FALSE))</f>
        <v/>
      </c>
      <c r="V16">
        <f>IF(D16="",0,VLOOKUP(D16,Bausteine!$A$2:$AS$46,10,FALSE))-U16/IF(E16="",0,VLOOKUP(E16,Bausteine!$A$2:$AS$46,11,FALSE))</f>
        <v/>
      </c>
      <c r="W16">
        <f>IF(Y16&lt;&gt;"OK","",ROUND(MIN(IF(C16="",0,VLOOKUP(C16,Bausteine!$A$2:$AS$46,21,FALSE)),IF(C16="",0,VLOOKUP(C16,Bausteine!$A$2:$AS$46,20,FALSE))*(V16/T16/(IF(C16="",0,VLOOKUP(C16,Bausteine!$A$2:$AS$46,19,FALSE))/IF(C16="",0,VLOOKUP(C16,Bausteine!$A$2:$AS$46,18,FALSE))))^Parameter!$B$3),0))</f>
        <v/>
      </c>
      <c r="X16">
        <f>IF(F16="",0,VLOOKUP(F16,Bausteine!$A$2:$AS$46,14,FALSE))</f>
        <v/>
      </c>
      <c r="Y16">
        <f>IFERROR(IF(OR(AD16&lt;=0,AD16&gt;1,R16&lt;=0,T16&lt;=0,V16&lt;=0,U16&gt;IF(E16="",0,VLOOKUP(E16,Bausteine!$A$2:$AS$46,12,FALSE)),T16&gt;IF(C16="",0,VLOOKUP(C16,Bausteine!$A$2:$AS$46,22,FALSE)),IF(E16="",0,VLOOKUP(E16,Bausteine!$A$2:$AS$46,11,FALSE))&lt;=0,IF(E16="",0,VLOOKUP(E16,Bausteine!$A$2:$AS$46,11,FALSE))&gt;1),"UNGUELTIG","OK"),"FEHLER")</f>
        <v/>
      </c>
      <c r="Z16" t="n">
        <v>3000</v>
      </c>
      <c r="AA16" t="n">
        <v>55</v>
      </c>
      <c r="AB16" t="inlineStr"/>
      <c r="AC16" t="inlineStr"/>
      <c r="AD16">
        <f>IF(AC16="",1,IF(AC16="",0,VLOOKUP(AC16,Bausteine!$A$2:$AS$46,37,FALSE))/100)</f>
        <v/>
      </c>
      <c r="AE16">
        <f>P16*AD16</f>
        <v/>
      </c>
      <c r="AF16" t="inlineStr"/>
      <c r="AG16" t="inlineStr"/>
      <c r="AH16" t="inlineStr"/>
      <c r="AI16">
        <f>SUMIF(Startbesatzung!$A$2:$A$7,A16,Startbesatzung!$D$2:$D$7)</f>
        <v/>
      </c>
      <c r="AJ16">
        <f>SUMIF(Startbesatzung!$A$2:$A$7,A16,Startbesatzung!$E$2:$E$7)</f>
        <v/>
      </c>
      <c r="AK16">
        <f>MAX(0,IF(Startbesatzung!A2=A16,Startbesatzung!G2,0),IF(Startbesatzung!A3=A16,Startbesatzung!G3,0),IF(Startbesatzung!A4=A16,Startbesatzung!G4,0),IF(Startbesatzung!A5=A16,Startbesatzung!G5,0),IF(Startbesatzung!A6=A16,Startbesatzung!G6,0),IF(Startbesatzung!A7=A16,Startbesatzung!G7,0))</f>
        <v/>
      </c>
      <c r="AL16">
        <f>IF(AF16="","",IF(IF(AH16="",0,VLOOKUP(AH16,Bausteine!$A$2:$AS$46,38,FALSE))&gt;0,IF(AH16="",0,VLOOKUP(AH16,Bausteine!$A$2:$AS$46,38,FALSE)),IF(AG16="",0,VLOOKUP(AG16,Bausteine!$A$2:$AS$46,28,FALSE))))</f>
        <v/>
      </c>
      <c r="AM16">
        <f>IF(AF16="","",IF(AG16="",0,VLOOKUP(AG16,Bausteine!$A$2:$AS$46,44,FALSE)))</f>
        <v/>
      </c>
      <c r="AN16">
        <f>IF(AF16="","",IF(AF16="",0,VLOOKUP(AF16,Bausteine!$A$2:$AS$46,27,FALSE)))</f>
        <v/>
      </c>
      <c r="AO16">
        <f>IF(AF16="","",IF(AF16="",0,VLOOKUP(AF16,Bausteine!$A$2:$AS$46,25,FALSE)))</f>
        <v/>
      </c>
      <c r="AP16">
        <f>IF(AF16="","",IF(AH16="",0,VLOOKUP(AH16,Bausteine!$A$2:$AS$46,29,FALSE)))</f>
        <v/>
      </c>
    </row>
    <row r="17">
      <c r="A17" t="inlineStr">
        <is>
          <t>Overlord baseline</t>
        </is>
      </c>
      <c r="B17" t="inlineStr">
        <is>
          <t>china</t>
        </is>
      </c>
      <c r="C17" t="inlineStr">
        <is>
          <t>overlord-chassis</t>
        </is>
      </c>
      <c r="D17" t="inlineStr">
        <is>
          <t>diesel-heavy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heavy-twin-turret</t>
        </is>
      </c>
      <c r="H17" t="inlineStr">
        <is>
          <t>overlord-cannon</t>
        </is>
      </c>
      <c r="I17" t="inlineStr">
        <is>
          <t>heavy-shell</t>
        </is>
      </c>
      <c r="J17" t="inlineStr"/>
      <c r="K17" t="inlineStr"/>
      <c r="L17" t="inlineStr"/>
      <c r="M17">
        <f>IF(C17="",0,VLOOKUP(C17,Bausteine!$A$2:$AS$46,4,FALSE))+IF(D17="",0,VLOOKUP(D17,Bausteine!$A$2:$AS$46,4,FALSE))+IF(E17="",0,VLOOKUP(E17,Bausteine!$A$2:$AS$46,4,FALSE))+IF(F17="",0,VLOOKUP(F17,Bausteine!$A$2:$AS$46,4,FALSE))+IF(G17="",0,VLOOKUP(G17,Bausteine!$A$2:$AS$46,4,FALSE))+IF(H17="",0,VLOOKUP(H17,Bausteine!$A$2:$AS$46,4,FALSE))+IF(I17="",0,VLOOKUP(I17,Bausteine!$A$2:$AS$46,4,FALSE))+IF(J17="",0,VLOOKUP(J17,Bausteine!$A$2:$AS$46,4,FALSE))+IF(K17="",0,VLOOKUP(K17,Bausteine!$A$2:$AS$46,4,FALSE))+IF(L17="",0,VLOOKUP(L17,Bausteine!$A$2:$AS$46,4,FALSE))+IF(AC17="",0,VLOOKUP(AC17,Bausteine!$A$2:$AS$46,4,FALSE))+IF(AF17="",0,VLOOKUP(AF17,Bausteine!$A$2:$AS$46,4,FALSE))+IF(AG17="",0,VLOOKUP(AG17,Bausteine!$A$2:$AS$46,4,FALSE))+IF(AH17="",0,VLOOKUP(AH17,Bausteine!$A$2:$AS$46,4,FALSE))</f>
        <v/>
      </c>
      <c r="N17">
        <f>IF(C17="",0,VLOOKUP(C17,Bausteine!$A$2:$AS$46,5,FALSE))+IF(D17="",0,VLOOKUP(D17,Bausteine!$A$2:$AS$46,5,FALSE))+IF(E17="",0,VLOOKUP(E17,Bausteine!$A$2:$AS$46,5,FALSE))+IF(F17="",0,VLOOKUP(F17,Bausteine!$A$2:$AS$46,5,FALSE))+IF(G17="",0,VLOOKUP(G17,Bausteine!$A$2:$AS$46,5,FALSE))+IF(H17="",0,VLOOKUP(H17,Bausteine!$A$2:$AS$46,5,FALSE))+IF(I17="",0,VLOOKUP(I17,Bausteine!$A$2:$AS$46,5,FALSE))+IF(J17="",0,VLOOKUP(J17,Bausteine!$A$2:$AS$46,5,FALSE))+IF(K17="",0,VLOOKUP(K17,Bausteine!$A$2:$AS$46,5,FALSE))+IF(L17="",0,VLOOKUP(L17,Bausteine!$A$2:$AS$46,5,FALSE))+IF(AC17="",0,VLOOKUP(AC17,Bausteine!$A$2:$AS$46,5,FALSE))+IF(AF17="",0,VLOOKUP(AF17,Bausteine!$A$2:$AS$46,5,FALSE))+IF(AG17="",0,VLOOKUP(AG17,Bausteine!$A$2:$AS$46,5,FALSE))+IF(AH17="",0,VLOOKUP(AH17,Bausteine!$A$2:$AS$46,5,FALSE))</f>
        <v/>
      </c>
      <c r="O17">
        <f>MAX(IF(C17="",0,VLOOKUP(C17,Bausteine!$A$2:$AS$46,6,FALSE)),IF(D17="",0,VLOOKUP(D17,Bausteine!$A$2:$AS$46,6,FALSE)),IF(E17="",0,VLOOKUP(E17,Bausteine!$A$2:$AS$46,6,FALSE)),IF(F17="",0,VLOOKUP(F17,Bausteine!$A$2:$AS$46,6,FALSE)),IF(G17="",0,VLOOKUP(G17,Bausteine!$A$2:$AS$46,6,FALSE)),IF(H17="",0,VLOOKUP(H17,Bausteine!$A$2:$AS$46,6,FALSE)),IF(I17="",0,VLOOKUP(I17,Bausteine!$A$2:$AS$46,6,FALSE)),IF(J17="",0,VLOOKUP(J17,Bausteine!$A$2:$AS$46,6,FALSE)),IF(K17="",0,VLOOKUP(K17,Bausteine!$A$2:$AS$46,6,FALSE)),IF(L17="",0,VLOOKUP(L17,Bausteine!$A$2:$AS$46,6,FALSE)),IF(AC17="",0,VLOOKUP(AC17,Bausteine!$A$2:$AS$46,6,FALSE)),IF(AF17="",0,VLOOKUP(AF17,Bausteine!$A$2:$AS$46,6,FALSE)),IF(AG17="",0,VLOOKUP(AG17,Bausteine!$A$2:$AS$46,6,FALSE)),IF(AH17="",0,VLOOKUP(AH17,Bausteine!$A$2:$AS$46,6,FALSE)),AK17)</f>
        <v/>
      </c>
      <c r="P17">
        <f>IF(C17="",0,VLOOKUP(C17,Bausteine!$A$2:$AS$46,7,FALSE))*IF(F17="",0,VLOOKUP(F17,Bausteine!$A$2:$AS$46,17,FALSE))/100+IF(D17="",0,VLOOKUP(D17,Bausteine!$A$2:$AS$46,7,FALSE))+IF(E17="",0,VLOOKUP(E17,Bausteine!$A$2:$AS$46,7,FALSE))+IF(G17="",0,VLOOKUP(G17,Bausteine!$A$2:$AS$46,7,FALSE))+IF(H17="",0,VLOOKUP(H17,Bausteine!$A$2:$AS$46,7,FALSE))+IF(I17="",0,VLOOKUP(I17,Bausteine!$A$2:$AS$46,7,FALSE))+IF(J17="",0,VLOOKUP(J17,Bausteine!$A$2:$AS$46,7,FALSE))+IF(K17="",0,VLOOKUP(K17,Bausteine!$A$2:$AS$46,7,FALSE))+IF(L17="",0,VLOOKUP(L17,Bausteine!$A$2:$AS$46,7,FALSE))+IF(AC17="",0,VLOOKUP(AC17,Bausteine!$A$2:$AS$46,7,FALSE))+IF(AF17="",0,VLOOKUP(AF17,Bausteine!$A$2:$AS$46,7,FALSE))+IF(AG17="",0,VLOOKUP(AG17,Bausteine!$A$2:$AS$46,7,FALSE))+IF(AH17="",0,VLOOKUP(AH17,Bausteine!$A$2:$AS$46,7,FALSE))+AI17</f>
        <v/>
      </c>
      <c r="Q17">
        <f>N17*Parameter!$B$2</f>
        <v/>
      </c>
      <c r="R17">
        <f>AE17-Q17</f>
        <v/>
      </c>
      <c r="S17">
        <f>IF(C17="",0,VLOOKUP(C17,Bausteine!$A$2:$AS$46,13,FALSE))*IF(F17="",0,VLOOKUP(F17,Bausteine!$A$2:$AS$46,16,FALSE))/100</f>
        <v/>
      </c>
      <c r="T17">
        <f>IF(C17="",0,VLOOKUP(C17,Bausteine!$A$2:$AS$46,8,FALSE))*IF(F17="",0,VLOOKUP(F17,Bausteine!$A$2:$AS$46,15,FALSE))/100+IF(D17="",0,VLOOKUP(D17,Bausteine!$A$2:$AS$46,8,FALSE))+IF(E17="",0,VLOOKUP(E17,Bausteine!$A$2:$AS$46,8,FALSE))+IF(G17="",0,VLOOKUP(G17,Bausteine!$A$2:$AS$46,8,FALSE))+IF(H17="",0,VLOOKUP(H17,Bausteine!$A$2:$AS$46,8,FALSE))+IF(I17="",0,VLOOKUP(I17,Bausteine!$A$2:$AS$46,8,FALSE))+IF(J17="",0,VLOOKUP(J17,Bausteine!$A$2:$AS$46,8,FALSE))+IF(K17="",0,VLOOKUP(K17,Bausteine!$A$2:$AS$46,8,FALSE))+IF(L17="",0,VLOOKUP(L17,Bausteine!$A$2:$AS$46,8,FALSE))+IF(AC17="",0,VLOOKUP(AC17,Bausteine!$A$2:$AS$46,8,FALSE))+IF(AF17="",0,VLOOKUP(AF17,Bausteine!$A$2:$AS$46,8,FALSE))+IF(AG17="",0,VLOOKUP(AG17,Bausteine!$A$2:$AS$46,8,FALSE))+IF(AH17="",0,VLOOKUP(AH17,Bausteine!$A$2:$AS$46,8,FALSE))+AJ17</f>
        <v/>
      </c>
      <c r="U17">
        <f>IF(C17="",0,VLOOKUP(C17,Bausteine!$A$2:$AS$46,9,FALSE))+IF(D17="",0,VLOOKUP(D17,Bausteine!$A$2:$AS$46,9,FALSE))+IF(E17="",0,VLOOKUP(E17,Bausteine!$A$2:$AS$46,9,FALSE))+IF(F17="",0,VLOOKUP(F17,Bausteine!$A$2:$AS$46,9,FALSE))+IF(G17="",0,VLOOKUP(G17,Bausteine!$A$2:$AS$46,9,FALSE))+IF(H17="",0,VLOOKUP(H17,Bausteine!$A$2:$AS$46,9,FALSE))+IF(I17="",0,VLOOKUP(I17,Bausteine!$A$2:$AS$46,9,FALSE))+IF(J17="",0,VLOOKUP(J17,Bausteine!$A$2:$AS$46,9,FALSE))+IF(K17="",0,VLOOKUP(K17,Bausteine!$A$2:$AS$46,9,FALSE))+IF(L17="",0,VLOOKUP(L17,Bausteine!$A$2:$AS$46,9,FALSE))+IF(AC17="",0,VLOOKUP(AC17,Bausteine!$A$2:$AS$46,9,FALSE))+IF(AF17="",0,VLOOKUP(AF17,Bausteine!$A$2:$AS$46,9,FALSE))+IF(AG17="",0,VLOOKUP(AG17,Bausteine!$A$2:$AS$46,9,FALSE))+IF(AH17="",0,VLOOKUP(AH17,Bausteine!$A$2:$AS$46,9,FALSE))</f>
        <v/>
      </c>
      <c r="V17">
        <f>IF(D17="",0,VLOOKUP(D17,Bausteine!$A$2:$AS$46,10,FALSE))-U17/IF(E17="",0,VLOOKUP(E17,Bausteine!$A$2:$AS$46,11,FALSE))</f>
        <v/>
      </c>
      <c r="W17">
        <f>IF(Y17&lt;&gt;"OK","",ROUND(MIN(IF(C17="",0,VLOOKUP(C17,Bausteine!$A$2:$AS$46,21,FALSE)),IF(C17="",0,VLOOKUP(C17,Bausteine!$A$2:$AS$46,20,FALSE))*(V17/T17/(IF(C17="",0,VLOOKUP(C17,Bausteine!$A$2:$AS$46,19,FALSE))/IF(C17="",0,VLOOKUP(C17,Bausteine!$A$2:$AS$46,18,FALSE))))^Parameter!$B$3),0))</f>
        <v/>
      </c>
      <c r="X17">
        <f>IF(F17="",0,VLOOKUP(F17,Bausteine!$A$2:$AS$46,14,FALSE))</f>
        <v/>
      </c>
      <c r="Y17">
        <f>IFERROR(IF(OR(AD17&lt;=0,AD17&gt;1,R17&lt;=0,T17&lt;=0,V17&lt;=0,U17&gt;IF(E17="",0,VLOOKUP(E17,Bausteine!$A$2:$AS$46,12,FALSE)),T17&gt;IF(C17="",0,VLOOKUP(C17,Bausteine!$A$2:$AS$46,22,FALSE)),IF(E17="",0,VLOOKUP(E17,Bausteine!$A$2:$AS$46,11,FALSE))&lt;=0,IF(E17="",0,VLOOKUP(E17,Bausteine!$A$2:$AS$46,11,FALSE))&gt;1),"UNGUELTIG","OK"),"FEHLER")</f>
        <v/>
      </c>
      <c r="Z17" t="n">
        <v>2000</v>
      </c>
      <c r="AA17" t="n">
        <v>56</v>
      </c>
      <c r="AB17" t="inlineStr">
        <is>
          <t>Normal Overlord, not Emperor or nuclear-drive-upgraded state. Tech2 approximates radar prerequisite.</t>
        </is>
      </c>
      <c r="AC17" t="inlineStr"/>
      <c r="AD17">
        <f>IF(AC17="",1,IF(AC17="",0,VLOOKUP(AC17,Bausteine!$A$2:$AS$46,37,FALSE))/100)</f>
        <v/>
      </c>
      <c r="AE17">
        <f>P17*AD17</f>
        <v/>
      </c>
      <c r="AF17" t="inlineStr"/>
      <c r="AG17" t="inlineStr"/>
      <c r="AH17" t="inlineStr"/>
      <c r="AI17">
        <f>SUMIF(Startbesatzung!$A$2:$A$7,A17,Startbesatzung!$D$2:$D$7)</f>
        <v/>
      </c>
      <c r="AJ17">
        <f>SUMIF(Startbesatzung!$A$2:$A$7,A17,Startbesatzung!$E$2:$E$7)</f>
        <v/>
      </c>
      <c r="AK17">
        <f>MAX(0,IF(Startbesatzung!A2=A17,Startbesatzung!G2,0),IF(Startbesatzung!A3=A17,Startbesatzung!G3,0),IF(Startbesatzung!A4=A17,Startbesatzung!G4,0),IF(Startbesatzung!A5=A17,Startbesatzung!G5,0),IF(Startbesatzung!A6=A17,Startbesatzung!G6,0),IF(Startbesatzung!A7=A17,Startbesatzung!G7,0))</f>
        <v/>
      </c>
      <c r="AL17">
        <f>IF(AF17="","",IF(IF(AH17="",0,VLOOKUP(AH17,Bausteine!$A$2:$AS$46,38,FALSE))&gt;0,IF(AH17="",0,VLOOKUP(AH17,Bausteine!$A$2:$AS$46,38,FALSE)),IF(AG17="",0,VLOOKUP(AG17,Bausteine!$A$2:$AS$46,28,FALSE))))</f>
        <v/>
      </c>
      <c r="AM17">
        <f>IF(AF17="","",IF(AG17="",0,VLOOKUP(AG17,Bausteine!$A$2:$AS$46,44,FALSE)))</f>
        <v/>
      </c>
      <c r="AN17">
        <f>IF(AF17="","",IF(AF17="",0,VLOOKUP(AF17,Bausteine!$A$2:$AS$46,27,FALSE)))</f>
        <v/>
      </c>
      <c r="AO17">
        <f>IF(AF17="","",IF(AF17="",0,VLOOKUP(AF17,Bausteine!$A$2:$AS$46,25,FALSE)))</f>
        <v/>
      </c>
      <c r="AP17">
        <f>IF(AF17="","",IF(AH17="",0,VLOOKUP(AH17,Bausteine!$A$2:$AS$46,29,FALSE)))</f>
        <v/>
      </c>
    </row>
    <row r="18">
      <c r="A18" t="inlineStr">
        <is>
          <t>Overlord Nuclear Shells</t>
        </is>
      </c>
      <c r="B18" t="inlineStr">
        <is>
          <t>china</t>
        </is>
      </c>
      <c r="C18" t="inlineStr">
        <is>
          <t>overlord-chassis</t>
        </is>
      </c>
      <c r="D18" t="inlineStr">
        <is>
          <t>diesel-heavy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heavy-twin-turret</t>
        </is>
      </c>
      <c r="H18" t="inlineStr">
        <is>
          <t>overlord-cannon</t>
        </is>
      </c>
      <c r="I18" t="inlineStr">
        <is>
          <t>heavy-nuclear-shell</t>
        </is>
      </c>
      <c r="J18" t="inlineStr"/>
      <c r="K18" t="inlineStr"/>
      <c r="L18" t="inlineStr"/>
      <c r="M18">
        <f>IF(C18="",0,VLOOKUP(C18,Bausteine!$A$2:$AS$46,4,FALSE))+IF(D18="",0,VLOOKUP(D18,Bausteine!$A$2:$AS$46,4,FALSE))+IF(E18="",0,VLOOKUP(E18,Bausteine!$A$2:$AS$46,4,FALSE))+IF(F18="",0,VLOOKUP(F18,Bausteine!$A$2:$AS$46,4,FALSE))+IF(G18="",0,VLOOKUP(G18,Bausteine!$A$2:$AS$46,4,FALSE))+IF(H18="",0,VLOOKUP(H18,Bausteine!$A$2:$AS$46,4,FALSE))+IF(I18="",0,VLOOKUP(I18,Bausteine!$A$2:$AS$46,4,FALSE))+IF(J18="",0,VLOOKUP(J18,Bausteine!$A$2:$AS$46,4,FALSE))+IF(K18="",0,VLOOKUP(K18,Bausteine!$A$2:$AS$46,4,FALSE))+IF(L18="",0,VLOOKUP(L18,Bausteine!$A$2:$AS$46,4,FALSE))+IF(AC18="",0,VLOOKUP(AC18,Bausteine!$A$2:$AS$46,4,FALSE))+IF(AF18="",0,VLOOKUP(AF18,Bausteine!$A$2:$AS$46,4,FALSE))+IF(AG18="",0,VLOOKUP(AG18,Bausteine!$A$2:$AS$46,4,FALSE))+IF(AH18="",0,VLOOKUP(AH18,Bausteine!$A$2:$AS$46,4,FALSE))</f>
        <v/>
      </c>
      <c r="N18">
        <f>IF(C18="",0,VLOOKUP(C18,Bausteine!$A$2:$AS$46,5,FALSE))+IF(D18="",0,VLOOKUP(D18,Bausteine!$A$2:$AS$46,5,FALSE))+IF(E18="",0,VLOOKUP(E18,Bausteine!$A$2:$AS$46,5,FALSE))+IF(F18="",0,VLOOKUP(F18,Bausteine!$A$2:$AS$46,5,FALSE))+IF(G18="",0,VLOOKUP(G18,Bausteine!$A$2:$AS$46,5,FALSE))+IF(H18="",0,VLOOKUP(H18,Bausteine!$A$2:$AS$46,5,FALSE))+IF(I18="",0,VLOOKUP(I18,Bausteine!$A$2:$AS$46,5,FALSE))+IF(J18="",0,VLOOKUP(J18,Bausteine!$A$2:$AS$46,5,FALSE))+IF(K18="",0,VLOOKUP(K18,Bausteine!$A$2:$AS$46,5,FALSE))+IF(L18="",0,VLOOKUP(L18,Bausteine!$A$2:$AS$46,5,FALSE))+IF(AC18="",0,VLOOKUP(AC18,Bausteine!$A$2:$AS$46,5,FALSE))+IF(AF18="",0,VLOOKUP(AF18,Bausteine!$A$2:$AS$46,5,FALSE))+IF(AG18="",0,VLOOKUP(AG18,Bausteine!$A$2:$AS$46,5,FALSE))+IF(AH18="",0,VLOOKUP(AH18,Bausteine!$A$2:$AS$46,5,FALSE))</f>
        <v/>
      </c>
      <c r="O18">
        <f>MAX(IF(C18="",0,VLOOKUP(C18,Bausteine!$A$2:$AS$46,6,FALSE)),IF(D18="",0,VLOOKUP(D18,Bausteine!$A$2:$AS$46,6,FALSE)),IF(E18="",0,VLOOKUP(E18,Bausteine!$A$2:$AS$46,6,FALSE)),IF(F18="",0,VLOOKUP(F18,Bausteine!$A$2:$AS$46,6,FALSE)),IF(G18="",0,VLOOKUP(G18,Bausteine!$A$2:$AS$46,6,FALSE)),IF(H18="",0,VLOOKUP(H18,Bausteine!$A$2:$AS$46,6,FALSE)),IF(I18="",0,VLOOKUP(I18,Bausteine!$A$2:$AS$46,6,FALSE)),IF(J18="",0,VLOOKUP(J18,Bausteine!$A$2:$AS$46,6,FALSE)),IF(K18="",0,VLOOKUP(K18,Bausteine!$A$2:$AS$46,6,FALSE)),IF(L18="",0,VLOOKUP(L18,Bausteine!$A$2:$AS$46,6,FALSE)),IF(AC18="",0,VLOOKUP(AC18,Bausteine!$A$2:$AS$46,6,FALSE)),IF(AF18="",0,VLOOKUP(AF18,Bausteine!$A$2:$AS$46,6,FALSE)),IF(AG18="",0,VLOOKUP(AG18,Bausteine!$A$2:$AS$46,6,FALSE)),IF(AH18="",0,VLOOKUP(AH18,Bausteine!$A$2:$AS$46,6,FALSE)),AK18)</f>
        <v/>
      </c>
      <c r="P18">
        <f>IF(C18="",0,VLOOKUP(C18,Bausteine!$A$2:$AS$46,7,FALSE))*IF(F18="",0,VLOOKUP(F18,Bausteine!$A$2:$AS$46,17,FALSE))/100+IF(D18="",0,VLOOKUP(D18,Bausteine!$A$2:$AS$46,7,FALSE))+IF(E18="",0,VLOOKUP(E18,Bausteine!$A$2:$AS$46,7,FALSE))+IF(G18="",0,VLOOKUP(G18,Bausteine!$A$2:$AS$46,7,FALSE))+IF(H18="",0,VLOOKUP(H18,Bausteine!$A$2:$AS$46,7,FALSE))+IF(I18="",0,VLOOKUP(I18,Bausteine!$A$2:$AS$46,7,FALSE))+IF(J18="",0,VLOOKUP(J18,Bausteine!$A$2:$AS$46,7,FALSE))+IF(K18="",0,VLOOKUP(K18,Bausteine!$A$2:$AS$46,7,FALSE))+IF(L18="",0,VLOOKUP(L18,Bausteine!$A$2:$AS$46,7,FALSE))+IF(AC18="",0,VLOOKUP(AC18,Bausteine!$A$2:$AS$46,7,FALSE))+IF(AF18="",0,VLOOKUP(AF18,Bausteine!$A$2:$AS$46,7,FALSE))+IF(AG18="",0,VLOOKUP(AG18,Bausteine!$A$2:$AS$46,7,FALSE))+IF(AH18="",0,VLOOKUP(AH18,Bausteine!$A$2:$AS$46,7,FALSE))+AI18</f>
        <v/>
      </c>
      <c r="Q18">
        <f>N18*Parameter!$B$2</f>
        <v/>
      </c>
      <c r="R18">
        <f>AE18-Q18</f>
        <v/>
      </c>
      <c r="S18">
        <f>IF(C18="",0,VLOOKUP(C18,Bausteine!$A$2:$AS$46,13,FALSE))*IF(F18="",0,VLOOKUP(F18,Bausteine!$A$2:$AS$46,16,FALSE))/100</f>
        <v/>
      </c>
      <c r="T18">
        <f>IF(C18="",0,VLOOKUP(C18,Bausteine!$A$2:$AS$46,8,FALSE))*IF(F18="",0,VLOOKUP(F18,Bausteine!$A$2:$AS$46,15,FALSE))/100+IF(D18="",0,VLOOKUP(D18,Bausteine!$A$2:$AS$46,8,FALSE))+IF(E18="",0,VLOOKUP(E18,Bausteine!$A$2:$AS$46,8,FALSE))+IF(G18="",0,VLOOKUP(G18,Bausteine!$A$2:$AS$46,8,FALSE))+IF(H18="",0,VLOOKUP(H18,Bausteine!$A$2:$AS$46,8,FALSE))+IF(I18="",0,VLOOKUP(I18,Bausteine!$A$2:$AS$46,8,FALSE))+IF(J18="",0,VLOOKUP(J18,Bausteine!$A$2:$AS$46,8,FALSE))+IF(K18="",0,VLOOKUP(K18,Bausteine!$A$2:$AS$46,8,FALSE))+IF(L18="",0,VLOOKUP(L18,Bausteine!$A$2:$AS$46,8,FALSE))+IF(AC18="",0,VLOOKUP(AC18,Bausteine!$A$2:$AS$46,8,FALSE))+IF(AF18="",0,VLOOKUP(AF18,Bausteine!$A$2:$AS$46,8,FALSE))+IF(AG18="",0,VLOOKUP(AG18,Bausteine!$A$2:$AS$46,8,FALSE))+IF(AH18="",0,VLOOKUP(AH18,Bausteine!$A$2:$AS$46,8,FALSE))+AJ18</f>
        <v/>
      </c>
      <c r="U18">
        <f>IF(C18="",0,VLOOKUP(C18,Bausteine!$A$2:$AS$46,9,FALSE))+IF(D18="",0,VLOOKUP(D18,Bausteine!$A$2:$AS$46,9,FALSE))+IF(E18="",0,VLOOKUP(E18,Bausteine!$A$2:$AS$46,9,FALSE))+IF(F18="",0,VLOOKUP(F18,Bausteine!$A$2:$AS$46,9,FALSE))+IF(G18="",0,VLOOKUP(G18,Bausteine!$A$2:$AS$46,9,FALSE))+IF(H18="",0,VLOOKUP(H18,Bausteine!$A$2:$AS$46,9,FALSE))+IF(I18="",0,VLOOKUP(I18,Bausteine!$A$2:$AS$46,9,FALSE))+IF(J18="",0,VLOOKUP(J18,Bausteine!$A$2:$AS$46,9,FALSE))+IF(K18="",0,VLOOKUP(K18,Bausteine!$A$2:$AS$46,9,FALSE))+IF(L18="",0,VLOOKUP(L18,Bausteine!$A$2:$AS$46,9,FALSE))+IF(AC18="",0,VLOOKUP(AC18,Bausteine!$A$2:$AS$46,9,FALSE))+IF(AF18="",0,VLOOKUP(AF18,Bausteine!$A$2:$AS$46,9,FALSE))+IF(AG18="",0,VLOOKUP(AG18,Bausteine!$A$2:$AS$46,9,FALSE))+IF(AH18="",0,VLOOKUP(AH18,Bausteine!$A$2:$AS$46,9,FALSE))</f>
        <v/>
      </c>
      <c r="V18">
        <f>IF(D18="",0,VLOOKUP(D18,Bausteine!$A$2:$AS$46,10,FALSE))-U18/IF(E18="",0,VLOOKUP(E18,Bausteine!$A$2:$AS$46,11,FALSE))</f>
        <v/>
      </c>
      <c r="W18">
        <f>IF(Y18&lt;&gt;"OK","",ROUND(MIN(IF(C18="",0,VLOOKUP(C18,Bausteine!$A$2:$AS$46,21,FALSE)),IF(C18="",0,VLOOKUP(C18,Bausteine!$A$2:$AS$46,20,FALSE))*(V18/T18/(IF(C18="",0,VLOOKUP(C18,Bausteine!$A$2:$AS$46,19,FALSE))/IF(C18="",0,VLOOKUP(C18,Bausteine!$A$2:$AS$46,18,FALSE))))^Parameter!$B$3),0))</f>
        <v/>
      </c>
      <c r="X18">
        <f>IF(F18="",0,VLOOKUP(F18,Bausteine!$A$2:$AS$46,14,FALSE))</f>
        <v/>
      </c>
      <c r="Y18">
        <f>IFERROR(IF(OR(AD18&lt;=0,AD18&gt;1,R18&lt;=0,T18&lt;=0,V18&lt;=0,U18&gt;IF(E18="",0,VLOOKUP(E18,Bausteine!$A$2:$AS$46,12,FALSE)),T18&gt;IF(C18="",0,VLOOKUP(C18,Bausteine!$A$2:$AS$46,22,FALSE)),IF(E18="",0,VLOOKUP(E18,Bausteine!$A$2:$AS$46,11,FALSE))&lt;=0,IF(E18="",0,VLOOKUP(E18,Bausteine!$A$2:$AS$46,11,FALSE))&gt;1),"UNGUELTIG","OK"),"FEHLER")</f>
        <v/>
      </c>
      <c r="Z18" t="n">
        <v>2500</v>
      </c>
      <c r="AA18" t="n">
        <v>56</v>
      </c>
      <c r="AB18" t="inlineStr"/>
      <c r="AC18" t="inlineStr"/>
      <c r="AD18">
        <f>IF(AC18="",1,IF(AC18="",0,VLOOKUP(AC18,Bausteine!$A$2:$AS$46,37,FALSE))/100)</f>
        <v/>
      </c>
      <c r="AE18">
        <f>P18*AD18</f>
        <v/>
      </c>
      <c r="AF18" t="inlineStr"/>
      <c r="AG18" t="inlineStr"/>
      <c r="AH18" t="inlineStr"/>
      <c r="AI18">
        <f>SUMIF(Startbesatzung!$A$2:$A$7,A18,Startbesatzung!$D$2:$D$7)</f>
        <v/>
      </c>
      <c r="AJ18">
        <f>SUMIF(Startbesatzung!$A$2:$A$7,A18,Startbesatzung!$E$2:$E$7)</f>
        <v/>
      </c>
      <c r="AK18">
        <f>MAX(0,IF(Startbesatzung!A2=A18,Startbesatzung!G2,0),IF(Startbesatzung!A3=A18,Startbesatzung!G3,0),IF(Startbesatzung!A4=A18,Startbesatzung!G4,0),IF(Startbesatzung!A5=A18,Startbesatzung!G5,0),IF(Startbesatzung!A6=A18,Startbesatzung!G6,0),IF(Startbesatzung!A7=A18,Startbesatzung!G7,0))</f>
        <v/>
      </c>
      <c r="AL18">
        <f>IF(AF18="","",IF(IF(AH18="",0,VLOOKUP(AH18,Bausteine!$A$2:$AS$46,38,FALSE))&gt;0,IF(AH18="",0,VLOOKUP(AH18,Bausteine!$A$2:$AS$46,38,FALSE)),IF(AG18="",0,VLOOKUP(AG18,Bausteine!$A$2:$AS$46,28,FALSE))))</f>
        <v/>
      </c>
      <c r="AM18">
        <f>IF(AF18="","",IF(AG18="",0,VLOOKUP(AG18,Bausteine!$A$2:$AS$46,44,FALSE)))</f>
        <v/>
      </c>
      <c r="AN18">
        <f>IF(AF18="","",IF(AF18="",0,VLOOKUP(AF18,Bausteine!$A$2:$AS$46,27,FALSE)))</f>
        <v/>
      </c>
      <c r="AO18">
        <f>IF(AF18="","",IF(AF18="",0,VLOOKUP(AF18,Bausteine!$A$2:$AS$46,25,FALSE)))</f>
        <v/>
      </c>
      <c r="AP18">
        <f>IF(AF18="","",IF(AH18="",0,VLOOKUP(AH18,Bausteine!$A$2:$AS$46,29,FALSE)))</f>
        <v/>
      </c>
    </row>
    <row r="19">
      <c r="A19" t="inlineStr">
        <is>
          <t>Overlord Nuclear Shells PDL</t>
        </is>
      </c>
      <c r="B19" t="inlineStr">
        <is>
          <t>china</t>
        </is>
      </c>
      <c r="C19" t="inlineStr">
        <is>
          <t>overlord-chassis</t>
        </is>
      </c>
      <c r="D19" t="inlineStr">
        <is>
          <t>diesel-heavy-boost</t>
        </is>
      </c>
      <c r="E19" t="inlineStr">
        <is>
          <t>efficient-generator</t>
        </is>
      </c>
      <c r="F19" t="inlineStr">
        <is>
          <t>heavy</t>
        </is>
      </c>
      <c r="G19" t="inlineStr">
        <is>
          <t>heavy-twin-turret</t>
        </is>
      </c>
      <c r="H19" t="inlineStr">
        <is>
          <t>overlord-cannon</t>
        </is>
      </c>
      <c r="I19" t="inlineStr">
        <is>
          <t>heavy-nuclear-shell</t>
        </is>
      </c>
      <c r="J19" t="inlineStr">
        <is>
          <t>pdl</t>
        </is>
      </c>
      <c r="K19" t="inlineStr"/>
      <c r="L19" t="inlineStr"/>
      <c r="M19">
        <f>IF(C19="",0,VLOOKUP(C19,Bausteine!$A$2:$AS$46,4,FALSE))+IF(D19="",0,VLOOKUP(D19,Bausteine!$A$2:$AS$46,4,FALSE))+IF(E19="",0,VLOOKUP(E19,Bausteine!$A$2:$AS$46,4,FALSE))+IF(F19="",0,VLOOKUP(F19,Bausteine!$A$2:$AS$46,4,FALSE))+IF(G19="",0,VLOOKUP(G19,Bausteine!$A$2:$AS$46,4,FALSE))+IF(H19="",0,VLOOKUP(H19,Bausteine!$A$2:$AS$46,4,FALSE))+IF(I19="",0,VLOOKUP(I19,Bausteine!$A$2:$AS$46,4,FALSE))+IF(J19="",0,VLOOKUP(J19,Bausteine!$A$2:$AS$46,4,FALSE))+IF(K19="",0,VLOOKUP(K19,Bausteine!$A$2:$AS$46,4,FALSE))+IF(L19="",0,VLOOKUP(L19,Bausteine!$A$2:$AS$46,4,FALSE))+IF(AC19="",0,VLOOKUP(AC19,Bausteine!$A$2:$AS$46,4,FALSE))+IF(AF19="",0,VLOOKUP(AF19,Bausteine!$A$2:$AS$46,4,FALSE))+IF(AG19="",0,VLOOKUP(AG19,Bausteine!$A$2:$AS$46,4,FALSE))+IF(AH19="",0,VLOOKUP(AH19,Bausteine!$A$2:$AS$46,4,FALSE))</f>
        <v/>
      </c>
      <c r="N19">
        <f>IF(C19="",0,VLOOKUP(C19,Bausteine!$A$2:$AS$46,5,FALSE))+IF(D19="",0,VLOOKUP(D19,Bausteine!$A$2:$AS$46,5,FALSE))+IF(E19="",0,VLOOKUP(E19,Bausteine!$A$2:$AS$46,5,FALSE))+IF(F19="",0,VLOOKUP(F19,Bausteine!$A$2:$AS$46,5,FALSE))+IF(G19="",0,VLOOKUP(G19,Bausteine!$A$2:$AS$46,5,FALSE))+IF(H19="",0,VLOOKUP(H19,Bausteine!$A$2:$AS$46,5,FALSE))+IF(I19="",0,VLOOKUP(I19,Bausteine!$A$2:$AS$46,5,FALSE))+IF(J19="",0,VLOOKUP(J19,Bausteine!$A$2:$AS$46,5,FALSE))+IF(K19="",0,VLOOKUP(K19,Bausteine!$A$2:$AS$46,5,FALSE))+IF(L19="",0,VLOOKUP(L19,Bausteine!$A$2:$AS$46,5,FALSE))+IF(AC19="",0,VLOOKUP(AC19,Bausteine!$A$2:$AS$46,5,FALSE))+IF(AF19="",0,VLOOKUP(AF19,Bausteine!$A$2:$AS$46,5,FALSE))+IF(AG19="",0,VLOOKUP(AG19,Bausteine!$A$2:$AS$46,5,FALSE))+IF(AH19="",0,VLOOKUP(AH19,Bausteine!$A$2:$AS$46,5,FALSE))</f>
        <v/>
      </c>
      <c r="O19">
        <f>MAX(IF(C19="",0,VLOOKUP(C19,Bausteine!$A$2:$AS$46,6,FALSE)),IF(D19="",0,VLOOKUP(D19,Bausteine!$A$2:$AS$46,6,FALSE)),IF(E19="",0,VLOOKUP(E19,Bausteine!$A$2:$AS$46,6,FALSE)),IF(F19="",0,VLOOKUP(F19,Bausteine!$A$2:$AS$46,6,FALSE)),IF(G19="",0,VLOOKUP(G19,Bausteine!$A$2:$AS$46,6,FALSE)),IF(H19="",0,VLOOKUP(H19,Bausteine!$A$2:$AS$46,6,FALSE)),IF(I19="",0,VLOOKUP(I19,Bausteine!$A$2:$AS$46,6,FALSE)),IF(J19="",0,VLOOKUP(J19,Bausteine!$A$2:$AS$46,6,FALSE)),IF(K19="",0,VLOOKUP(K19,Bausteine!$A$2:$AS$46,6,FALSE)),IF(L19="",0,VLOOKUP(L19,Bausteine!$A$2:$AS$46,6,FALSE)),IF(AC19="",0,VLOOKUP(AC19,Bausteine!$A$2:$AS$46,6,FALSE)),IF(AF19="",0,VLOOKUP(AF19,Bausteine!$A$2:$AS$46,6,FALSE)),IF(AG19="",0,VLOOKUP(AG19,Bausteine!$A$2:$AS$46,6,FALSE)),IF(AH19="",0,VLOOKUP(AH19,Bausteine!$A$2:$AS$46,6,FALSE)),AK19)</f>
        <v/>
      </c>
      <c r="P19">
        <f>IF(C19="",0,VLOOKUP(C19,Bausteine!$A$2:$AS$46,7,FALSE))*IF(F19="",0,VLOOKUP(F19,Bausteine!$A$2:$AS$46,17,FALSE))/100+IF(D19="",0,VLOOKUP(D19,Bausteine!$A$2:$AS$46,7,FALSE))+IF(E19="",0,VLOOKUP(E19,Bausteine!$A$2:$AS$46,7,FALSE))+IF(G19="",0,VLOOKUP(G19,Bausteine!$A$2:$AS$46,7,FALSE))+IF(H19="",0,VLOOKUP(H19,Bausteine!$A$2:$AS$46,7,FALSE))+IF(I19="",0,VLOOKUP(I19,Bausteine!$A$2:$AS$46,7,FALSE))+IF(J19="",0,VLOOKUP(J19,Bausteine!$A$2:$AS$46,7,FALSE))+IF(K19="",0,VLOOKUP(K19,Bausteine!$A$2:$AS$46,7,FALSE))+IF(L19="",0,VLOOKUP(L19,Bausteine!$A$2:$AS$46,7,FALSE))+IF(AC19="",0,VLOOKUP(AC19,Bausteine!$A$2:$AS$46,7,FALSE))+IF(AF19="",0,VLOOKUP(AF19,Bausteine!$A$2:$AS$46,7,FALSE))+IF(AG19="",0,VLOOKUP(AG19,Bausteine!$A$2:$AS$46,7,FALSE))+IF(AH19="",0,VLOOKUP(AH19,Bausteine!$A$2:$AS$46,7,FALSE))+AI19</f>
        <v/>
      </c>
      <c r="Q19">
        <f>N19*Parameter!$B$2</f>
        <v/>
      </c>
      <c r="R19">
        <f>AE19-Q19</f>
        <v/>
      </c>
      <c r="S19">
        <f>IF(C19="",0,VLOOKUP(C19,Bausteine!$A$2:$AS$46,13,FALSE))*IF(F19="",0,VLOOKUP(F19,Bausteine!$A$2:$AS$46,16,FALSE))/100</f>
        <v/>
      </c>
      <c r="T19">
        <f>IF(C19="",0,VLOOKUP(C19,Bausteine!$A$2:$AS$46,8,FALSE))*IF(F19="",0,VLOOKUP(F19,Bausteine!$A$2:$AS$46,15,FALSE))/100+IF(D19="",0,VLOOKUP(D19,Bausteine!$A$2:$AS$46,8,FALSE))+IF(E19="",0,VLOOKUP(E19,Bausteine!$A$2:$AS$46,8,FALSE))+IF(G19="",0,VLOOKUP(G19,Bausteine!$A$2:$AS$46,8,FALSE))+IF(H19="",0,VLOOKUP(H19,Bausteine!$A$2:$AS$46,8,FALSE))+IF(I19="",0,VLOOKUP(I19,Bausteine!$A$2:$AS$46,8,FALSE))+IF(J19="",0,VLOOKUP(J19,Bausteine!$A$2:$AS$46,8,FALSE))+IF(K19="",0,VLOOKUP(K19,Bausteine!$A$2:$AS$46,8,FALSE))+IF(L19="",0,VLOOKUP(L19,Bausteine!$A$2:$AS$46,8,FALSE))+IF(AC19="",0,VLOOKUP(AC19,Bausteine!$A$2:$AS$46,8,FALSE))+IF(AF19="",0,VLOOKUP(AF19,Bausteine!$A$2:$AS$46,8,FALSE))+IF(AG19="",0,VLOOKUP(AG19,Bausteine!$A$2:$AS$46,8,FALSE))+IF(AH19="",0,VLOOKUP(AH19,Bausteine!$A$2:$AS$46,8,FALSE))+AJ19</f>
        <v/>
      </c>
      <c r="U19">
        <f>IF(C19="",0,VLOOKUP(C19,Bausteine!$A$2:$AS$46,9,FALSE))+IF(D19="",0,VLOOKUP(D19,Bausteine!$A$2:$AS$46,9,FALSE))+IF(E19="",0,VLOOKUP(E19,Bausteine!$A$2:$AS$46,9,FALSE))+IF(F19="",0,VLOOKUP(F19,Bausteine!$A$2:$AS$46,9,FALSE))+IF(G19="",0,VLOOKUP(G19,Bausteine!$A$2:$AS$46,9,FALSE))+IF(H19="",0,VLOOKUP(H19,Bausteine!$A$2:$AS$46,9,FALSE))+IF(I19="",0,VLOOKUP(I19,Bausteine!$A$2:$AS$46,9,FALSE))+IF(J19="",0,VLOOKUP(J19,Bausteine!$A$2:$AS$46,9,FALSE))+IF(K19="",0,VLOOKUP(K19,Bausteine!$A$2:$AS$46,9,FALSE))+IF(L19="",0,VLOOKUP(L19,Bausteine!$A$2:$AS$46,9,FALSE))+IF(AC19="",0,VLOOKUP(AC19,Bausteine!$A$2:$AS$46,9,FALSE))+IF(AF19="",0,VLOOKUP(AF19,Bausteine!$A$2:$AS$46,9,FALSE))+IF(AG19="",0,VLOOKUP(AG19,Bausteine!$A$2:$AS$46,9,FALSE))+IF(AH19="",0,VLOOKUP(AH19,Bausteine!$A$2:$AS$46,9,FALSE))</f>
        <v/>
      </c>
      <c r="V19">
        <f>IF(D19="",0,VLOOKUP(D19,Bausteine!$A$2:$AS$46,10,FALSE))-U19/IF(E19="",0,VLOOKUP(E19,Bausteine!$A$2:$AS$46,11,FALSE))</f>
        <v/>
      </c>
      <c r="W19">
        <f>IF(Y19&lt;&gt;"OK","",ROUND(MIN(IF(C19="",0,VLOOKUP(C19,Bausteine!$A$2:$AS$46,21,FALSE)),IF(C19="",0,VLOOKUP(C19,Bausteine!$A$2:$AS$46,20,FALSE))*(V19/T19/(IF(C19="",0,VLOOKUP(C19,Bausteine!$A$2:$AS$46,19,FALSE))/IF(C19="",0,VLOOKUP(C19,Bausteine!$A$2:$AS$46,18,FALSE))))^Parameter!$B$3),0))</f>
        <v/>
      </c>
      <c r="X19">
        <f>IF(F19="",0,VLOOKUP(F19,Bausteine!$A$2:$AS$46,14,FALSE))</f>
        <v/>
      </c>
      <c r="Y19">
        <f>IFERROR(IF(OR(AD19&lt;=0,AD19&gt;1,R19&lt;=0,T19&lt;=0,V19&lt;=0,U19&gt;IF(E19="",0,VLOOKUP(E19,Bausteine!$A$2:$AS$46,12,FALSE)),T19&gt;IF(C19="",0,VLOOKUP(C19,Bausteine!$A$2:$AS$46,22,FALSE)),IF(E19="",0,VLOOKUP(E19,Bausteine!$A$2:$AS$46,11,FALSE))&lt;=0,IF(E19="",0,VLOOKUP(E19,Bausteine!$A$2:$AS$46,11,FALSE))&gt;1),"UNGUELTIG","OK"),"FEHLER")</f>
        <v/>
      </c>
      <c r="Z19" t="n">
        <v>3150</v>
      </c>
      <c r="AA19" t="n">
        <v>56</v>
      </c>
      <c r="AB19" t="inlineStr">
        <is>
          <t>Shared standard PDL, no heavy-specific PDL discount.</t>
        </is>
      </c>
      <c r="AC19" t="inlineStr"/>
      <c r="AD19">
        <f>IF(AC19="",1,IF(AC19="",0,VLOOKUP(AC19,Bausteine!$A$2:$AS$46,37,FALSE))/100)</f>
        <v/>
      </c>
      <c r="AE19">
        <f>P19*AD19</f>
        <v/>
      </c>
      <c r="AF19" t="inlineStr"/>
      <c r="AG19" t="inlineStr"/>
      <c r="AH19" t="inlineStr"/>
      <c r="AI19">
        <f>SUMIF(Startbesatzung!$A$2:$A$7,A19,Startbesatzung!$D$2:$D$7)</f>
        <v/>
      </c>
      <c r="AJ19">
        <f>SUMIF(Startbesatzung!$A$2:$A$7,A19,Startbesatzung!$E$2:$E$7)</f>
        <v/>
      </c>
      <c r="AK19">
        <f>MAX(0,IF(Startbesatzung!A2=A19,Startbesatzung!G2,0),IF(Startbesatzung!A3=A19,Startbesatzung!G3,0),IF(Startbesatzung!A4=A19,Startbesatzung!G4,0),IF(Startbesatzung!A5=A19,Startbesatzung!G5,0),IF(Startbesatzung!A6=A19,Startbesatzung!G6,0),IF(Startbesatzung!A7=A19,Startbesatzung!G7,0))</f>
        <v/>
      </c>
      <c r="AL19">
        <f>IF(AF19="","",IF(IF(AH19="",0,VLOOKUP(AH19,Bausteine!$A$2:$AS$46,38,FALSE))&gt;0,IF(AH19="",0,VLOOKUP(AH19,Bausteine!$A$2:$AS$46,38,FALSE)),IF(AG19="",0,VLOOKUP(AG19,Bausteine!$A$2:$AS$46,28,FALSE))))</f>
        <v/>
      </c>
      <c r="AM19">
        <f>IF(AF19="","",IF(AG19="",0,VLOOKUP(AG19,Bausteine!$A$2:$AS$46,44,FALSE)))</f>
        <v/>
      </c>
      <c r="AN19">
        <f>IF(AF19="","",IF(AF19="",0,VLOOKUP(AF19,Bausteine!$A$2:$AS$46,27,FALSE)))</f>
        <v/>
      </c>
      <c r="AO19">
        <f>IF(AF19="","",IF(AF19="",0,VLOOKUP(AF19,Bausteine!$A$2:$AS$46,25,FALSE)))</f>
        <v/>
      </c>
      <c r="AP19">
        <f>IF(AF19="","",IF(AH19="",0,VLOOKUP(AH19,Bausteine!$A$2:$AS$46,29,FALSE)))</f>
        <v/>
      </c>
    </row>
    <row r="20">
      <c r="A20" t="inlineStr">
        <is>
          <t>Overlord Nuclear Shells Reflector</t>
        </is>
      </c>
      <c r="B20" t="inlineStr">
        <is>
          <t>china</t>
        </is>
      </c>
      <c r="C20" t="inlineStr">
        <is>
          <t>overlord-chassis</t>
        </is>
      </c>
      <c r="D20" t="inlineStr">
        <is>
          <t>diesel-heavy-boost</t>
        </is>
      </c>
      <c r="E20" t="inlineStr">
        <is>
          <t>efficient-generator</t>
        </is>
      </c>
      <c r="F20" t="inlineStr">
        <is>
          <t>reflector</t>
        </is>
      </c>
      <c r="G20" t="inlineStr">
        <is>
          <t>heavy-twin-turret</t>
        </is>
      </c>
      <c r="H20" t="inlineStr">
        <is>
          <t>overlord-cannon</t>
        </is>
      </c>
      <c r="I20" t="inlineStr">
        <is>
          <t>heavy-nuclear-shell</t>
        </is>
      </c>
      <c r="J20" t="inlineStr"/>
      <c r="K20" t="inlineStr"/>
      <c r="L20" t="inlineStr"/>
      <c r="M20">
        <f>IF(C20="",0,VLOOKUP(C20,Bausteine!$A$2:$AS$46,4,FALSE))+IF(D20="",0,VLOOKUP(D20,Bausteine!$A$2:$AS$46,4,FALSE))+IF(E20="",0,VLOOKUP(E20,Bausteine!$A$2:$AS$46,4,FALSE))+IF(F20="",0,VLOOKUP(F20,Bausteine!$A$2:$AS$46,4,FALSE))+IF(G20="",0,VLOOKUP(G20,Bausteine!$A$2:$AS$46,4,FALSE))+IF(H20="",0,VLOOKUP(H20,Bausteine!$A$2:$AS$46,4,FALSE))+IF(I20="",0,VLOOKUP(I20,Bausteine!$A$2:$AS$46,4,FALSE))+IF(J20="",0,VLOOKUP(J20,Bausteine!$A$2:$AS$46,4,FALSE))+IF(K20="",0,VLOOKUP(K20,Bausteine!$A$2:$AS$46,4,FALSE))+IF(L20="",0,VLOOKUP(L20,Bausteine!$A$2:$AS$46,4,FALSE))+IF(AC20="",0,VLOOKUP(AC20,Bausteine!$A$2:$AS$46,4,FALSE))+IF(AF20="",0,VLOOKUP(AF20,Bausteine!$A$2:$AS$46,4,FALSE))+IF(AG20="",0,VLOOKUP(AG20,Bausteine!$A$2:$AS$46,4,FALSE))+IF(AH20="",0,VLOOKUP(AH20,Bausteine!$A$2:$AS$46,4,FALSE))</f>
        <v/>
      </c>
      <c r="N20">
        <f>IF(C20="",0,VLOOKUP(C20,Bausteine!$A$2:$AS$46,5,FALSE))+IF(D20="",0,VLOOKUP(D20,Bausteine!$A$2:$AS$46,5,FALSE))+IF(E20="",0,VLOOKUP(E20,Bausteine!$A$2:$AS$46,5,FALSE))+IF(F20="",0,VLOOKUP(F20,Bausteine!$A$2:$AS$46,5,FALSE))+IF(G20="",0,VLOOKUP(G20,Bausteine!$A$2:$AS$46,5,FALSE))+IF(H20="",0,VLOOKUP(H20,Bausteine!$A$2:$AS$46,5,FALSE))+IF(I20="",0,VLOOKUP(I20,Bausteine!$A$2:$AS$46,5,FALSE))+IF(J20="",0,VLOOKUP(J20,Bausteine!$A$2:$AS$46,5,FALSE))+IF(K20="",0,VLOOKUP(K20,Bausteine!$A$2:$AS$46,5,FALSE))+IF(L20="",0,VLOOKUP(L20,Bausteine!$A$2:$AS$46,5,FALSE))+IF(AC20="",0,VLOOKUP(AC20,Bausteine!$A$2:$AS$46,5,FALSE))+IF(AF20="",0,VLOOKUP(AF20,Bausteine!$A$2:$AS$46,5,FALSE))+IF(AG20="",0,VLOOKUP(AG20,Bausteine!$A$2:$AS$46,5,FALSE))+IF(AH20="",0,VLOOKUP(AH20,Bausteine!$A$2:$AS$46,5,FALSE))</f>
        <v/>
      </c>
      <c r="O20">
        <f>MAX(IF(C20="",0,VLOOKUP(C20,Bausteine!$A$2:$AS$46,6,FALSE)),IF(D20="",0,VLOOKUP(D20,Bausteine!$A$2:$AS$46,6,FALSE)),IF(E20="",0,VLOOKUP(E20,Bausteine!$A$2:$AS$46,6,FALSE)),IF(F20="",0,VLOOKUP(F20,Bausteine!$A$2:$AS$46,6,FALSE)),IF(G20="",0,VLOOKUP(G20,Bausteine!$A$2:$AS$46,6,FALSE)),IF(H20="",0,VLOOKUP(H20,Bausteine!$A$2:$AS$46,6,FALSE)),IF(I20="",0,VLOOKUP(I20,Bausteine!$A$2:$AS$46,6,FALSE)),IF(J20="",0,VLOOKUP(J20,Bausteine!$A$2:$AS$46,6,FALSE)),IF(K20="",0,VLOOKUP(K20,Bausteine!$A$2:$AS$46,6,FALSE)),IF(L20="",0,VLOOKUP(L20,Bausteine!$A$2:$AS$46,6,FALSE)),IF(AC20="",0,VLOOKUP(AC20,Bausteine!$A$2:$AS$46,6,FALSE)),IF(AF20="",0,VLOOKUP(AF20,Bausteine!$A$2:$AS$46,6,FALSE)),IF(AG20="",0,VLOOKUP(AG20,Bausteine!$A$2:$AS$46,6,FALSE)),IF(AH20="",0,VLOOKUP(AH20,Bausteine!$A$2:$AS$46,6,FALSE)),AK20)</f>
        <v/>
      </c>
      <c r="P20">
        <f>IF(C20="",0,VLOOKUP(C20,Bausteine!$A$2:$AS$46,7,FALSE))*IF(F20="",0,VLOOKUP(F20,Bausteine!$A$2:$AS$46,17,FALSE))/100+IF(D20="",0,VLOOKUP(D20,Bausteine!$A$2:$AS$46,7,FALSE))+IF(E20="",0,VLOOKUP(E20,Bausteine!$A$2:$AS$46,7,FALSE))+IF(G20="",0,VLOOKUP(G20,Bausteine!$A$2:$AS$46,7,FALSE))+IF(H20="",0,VLOOKUP(H20,Bausteine!$A$2:$AS$46,7,FALSE))+IF(I20="",0,VLOOKUP(I20,Bausteine!$A$2:$AS$46,7,FALSE))+IF(J20="",0,VLOOKUP(J20,Bausteine!$A$2:$AS$46,7,FALSE))+IF(K20="",0,VLOOKUP(K20,Bausteine!$A$2:$AS$46,7,FALSE))+IF(L20="",0,VLOOKUP(L20,Bausteine!$A$2:$AS$46,7,FALSE))+IF(AC20="",0,VLOOKUP(AC20,Bausteine!$A$2:$AS$46,7,FALSE))+IF(AF20="",0,VLOOKUP(AF20,Bausteine!$A$2:$AS$46,7,FALSE))+IF(AG20="",0,VLOOKUP(AG20,Bausteine!$A$2:$AS$46,7,FALSE))+IF(AH20="",0,VLOOKUP(AH20,Bausteine!$A$2:$AS$46,7,FALSE))+AI20</f>
        <v/>
      </c>
      <c r="Q20">
        <f>N20*Parameter!$B$2</f>
        <v/>
      </c>
      <c r="R20">
        <f>AE20-Q20</f>
        <v/>
      </c>
      <c r="S20">
        <f>IF(C20="",0,VLOOKUP(C20,Bausteine!$A$2:$AS$46,13,FALSE))*IF(F20="",0,VLOOKUP(F20,Bausteine!$A$2:$AS$46,16,FALSE))/100</f>
        <v/>
      </c>
      <c r="T20">
        <f>IF(C20="",0,VLOOKUP(C20,Bausteine!$A$2:$AS$46,8,FALSE))*IF(F20="",0,VLOOKUP(F20,Bausteine!$A$2:$AS$46,15,FALSE))/100+IF(D20="",0,VLOOKUP(D20,Bausteine!$A$2:$AS$46,8,FALSE))+IF(E20="",0,VLOOKUP(E20,Bausteine!$A$2:$AS$46,8,FALSE))+IF(G20="",0,VLOOKUP(G20,Bausteine!$A$2:$AS$46,8,FALSE))+IF(H20="",0,VLOOKUP(H20,Bausteine!$A$2:$AS$46,8,FALSE))+IF(I20="",0,VLOOKUP(I20,Bausteine!$A$2:$AS$46,8,FALSE))+IF(J20="",0,VLOOKUP(J20,Bausteine!$A$2:$AS$46,8,FALSE))+IF(K20="",0,VLOOKUP(K20,Bausteine!$A$2:$AS$46,8,FALSE))+IF(L20="",0,VLOOKUP(L20,Bausteine!$A$2:$AS$46,8,FALSE))+IF(AC20="",0,VLOOKUP(AC20,Bausteine!$A$2:$AS$46,8,FALSE))+IF(AF20="",0,VLOOKUP(AF20,Bausteine!$A$2:$AS$46,8,FALSE))+IF(AG20="",0,VLOOKUP(AG20,Bausteine!$A$2:$AS$46,8,FALSE))+IF(AH20="",0,VLOOKUP(AH20,Bausteine!$A$2:$AS$46,8,FALSE))+AJ20</f>
        <v/>
      </c>
      <c r="U20">
        <f>IF(C20="",0,VLOOKUP(C20,Bausteine!$A$2:$AS$46,9,FALSE))+IF(D20="",0,VLOOKUP(D20,Bausteine!$A$2:$AS$46,9,FALSE))+IF(E20="",0,VLOOKUP(E20,Bausteine!$A$2:$AS$46,9,FALSE))+IF(F20="",0,VLOOKUP(F20,Bausteine!$A$2:$AS$46,9,FALSE))+IF(G20="",0,VLOOKUP(G20,Bausteine!$A$2:$AS$46,9,FALSE))+IF(H20="",0,VLOOKUP(H20,Bausteine!$A$2:$AS$46,9,FALSE))+IF(I20="",0,VLOOKUP(I20,Bausteine!$A$2:$AS$46,9,FALSE))+IF(J20="",0,VLOOKUP(J20,Bausteine!$A$2:$AS$46,9,FALSE))+IF(K20="",0,VLOOKUP(K20,Bausteine!$A$2:$AS$46,9,FALSE))+IF(L20="",0,VLOOKUP(L20,Bausteine!$A$2:$AS$46,9,FALSE))+IF(AC20="",0,VLOOKUP(AC20,Bausteine!$A$2:$AS$46,9,FALSE))+IF(AF20="",0,VLOOKUP(AF20,Bausteine!$A$2:$AS$46,9,FALSE))+IF(AG20="",0,VLOOKUP(AG20,Bausteine!$A$2:$AS$46,9,FALSE))+IF(AH20="",0,VLOOKUP(AH20,Bausteine!$A$2:$AS$46,9,FALSE))</f>
        <v/>
      </c>
      <c r="V20">
        <f>IF(D20="",0,VLOOKUP(D20,Bausteine!$A$2:$AS$46,10,FALSE))-U20/IF(E20="",0,VLOOKUP(E20,Bausteine!$A$2:$AS$46,11,FALSE))</f>
        <v/>
      </c>
      <c r="W20">
        <f>IF(Y20&lt;&gt;"OK","",ROUND(MIN(IF(C20="",0,VLOOKUP(C20,Bausteine!$A$2:$AS$46,21,FALSE)),IF(C20="",0,VLOOKUP(C20,Bausteine!$A$2:$AS$46,20,FALSE))*(V20/T20/(IF(C20="",0,VLOOKUP(C20,Bausteine!$A$2:$AS$46,19,FALSE))/IF(C20="",0,VLOOKUP(C20,Bausteine!$A$2:$AS$46,18,FALSE))))^Parameter!$B$3),0))</f>
        <v/>
      </c>
      <c r="X20">
        <f>IF(F20="",0,VLOOKUP(F20,Bausteine!$A$2:$AS$46,14,FALSE))</f>
        <v/>
      </c>
      <c r="Y20">
        <f>IFERROR(IF(OR(AD20&lt;=0,AD20&gt;1,R20&lt;=0,T20&lt;=0,V20&lt;=0,U20&gt;IF(E20="",0,VLOOKUP(E20,Bausteine!$A$2:$AS$46,12,FALSE)),T20&gt;IF(C20="",0,VLOOKUP(C20,Bausteine!$A$2:$AS$46,22,FALSE)),IF(E20="",0,VLOOKUP(E20,Bausteine!$A$2:$AS$46,11,FALSE))&lt;=0,IF(E20="",0,VLOOKUP(E20,Bausteine!$A$2:$AS$46,11,FALSE))&gt;1),"UNGUELTIG","OK"),"FEHLER")</f>
        <v/>
      </c>
      <c r="Z20" t="n">
        <v>2500</v>
      </c>
      <c r="AA20" t="n">
        <v>56</v>
      </c>
      <c r="AB20" t="inlineStr"/>
      <c r="AC20" t="inlineStr"/>
      <c r="AD20">
        <f>IF(AC20="",1,IF(AC20="",0,VLOOKUP(AC20,Bausteine!$A$2:$AS$46,37,FALSE))/100)</f>
        <v/>
      </c>
      <c r="AE20">
        <f>P20*AD20</f>
        <v/>
      </c>
      <c r="AF20" t="inlineStr"/>
      <c r="AG20" t="inlineStr"/>
      <c r="AH20" t="inlineStr"/>
      <c r="AI20">
        <f>SUMIF(Startbesatzung!$A$2:$A$7,A20,Startbesatzung!$D$2:$D$7)</f>
        <v/>
      </c>
      <c r="AJ20">
        <f>SUMIF(Startbesatzung!$A$2:$A$7,A20,Startbesatzung!$E$2:$E$7)</f>
        <v/>
      </c>
      <c r="AK20">
        <f>MAX(0,IF(Startbesatzung!A2=A20,Startbesatzung!G2,0),IF(Startbesatzung!A3=A20,Startbesatzung!G3,0),IF(Startbesatzung!A4=A20,Startbesatzung!G4,0),IF(Startbesatzung!A5=A20,Startbesatzung!G5,0),IF(Startbesatzung!A6=A20,Startbesatzung!G6,0),IF(Startbesatzung!A7=A20,Startbesatzung!G7,0))</f>
        <v/>
      </c>
      <c r="AL20">
        <f>IF(AF20="","",IF(IF(AH20="",0,VLOOKUP(AH20,Bausteine!$A$2:$AS$46,38,FALSE))&gt;0,IF(AH20="",0,VLOOKUP(AH20,Bausteine!$A$2:$AS$46,38,FALSE)),IF(AG20="",0,VLOOKUP(AG20,Bausteine!$A$2:$AS$46,28,FALSE))))</f>
        <v/>
      </c>
      <c r="AM20">
        <f>IF(AF20="","",IF(AG20="",0,VLOOKUP(AG20,Bausteine!$A$2:$AS$46,44,FALSE)))</f>
        <v/>
      </c>
      <c r="AN20">
        <f>IF(AF20="","",IF(AF20="",0,VLOOKUP(AF20,Bausteine!$A$2:$AS$46,27,FALSE)))</f>
        <v/>
      </c>
      <c r="AO20">
        <f>IF(AF20="","",IF(AF20="",0,VLOOKUP(AF20,Bausteine!$A$2:$AS$46,25,FALSE)))</f>
        <v/>
      </c>
      <c r="AP20">
        <f>IF(AF20="","",IF(AH20="",0,VLOOKUP(AH20,Bausteine!$A$2:$AS$46,29,FALSE)))</f>
        <v/>
      </c>
    </row>
    <row r="21">
      <c r="A21" t="inlineStr">
        <is>
          <t>Overlord Propaganda</t>
        </is>
      </c>
      <c r="B21" t="inlineStr">
        <is>
          <t>china</t>
        </is>
      </c>
      <c r="C21" t="inlineStr">
        <is>
          <t>overlord-chassis</t>
        </is>
      </c>
      <c r="D21" t="inlineStr">
        <is>
          <t>diesel-heavy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heavy-twin-turret</t>
        </is>
      </c>
      <c r="H21" t="inlineStr">
        <is>
          <t>overlord-cannon</t>
        </is>
      </c>
      <c r="I21" t="inlineStr">
        <is>
          <t>heavy-shell</t>
        </is>
      </c>
      <c r="J21" t="inlineStr">
        <is>
          <t>propaganda-speaker</t>
        </is>
      </c>
      <c r="K21" t="inlineStr"/>
      <c r="L21" t="inlineStr"/>
      <c r="M21">
        <f>IF(C21="",0,VLOOKUP(C21,Bausteine!$A$2:$AS$46,4,FALSE))+IF(D21="",0,VLOOKUP(D21,Bausteine!$A$2:$AS$46,4,FALSE))+IF(E21="",0,VLOOKUP(E21,Bausteine!$A$2:$AS$46,4,FALSE))+IF(F21="",0,VLOOKUP(F21,Bausteine!$A$2:$AS$46,4,FALSE))+IF(G21="",0,VLOOKUP(G21,Bausteine!$A$2:$AS$46,4,FALSE))+IF(H21="",0,VLOOKUP(H21,Bausteine!$A$2:$AS$46,4,FALSE))+IF(I21="",0,VLOOKUP(I21,Bausteine!$A$2:$AS$46,4,FALSE))+IF(J21="",0,VLOOKUP(J21,Bausteine!$A$2:$AS$46,4,FALSE))+IF(K21="",0,VLOOKUP(K21,Bausteine!$A$2:$AS$46,4,FALSE))+IF(L21="",0,VLOOKUP(L21,Bausteine!$A$2:$AS$46,4,FALSE))+IF(AC21="",0,VLOOKUP(AC21,Bausteine!$A$2:$AS$46,4,FALSE))+IF(AF21="",0,VLOOKUP(AF21,Bausteine!$A$2:$AS$46,4,FALSE))+IF(AG21="",0,VLOOKUP(AG21,Bausteine!$A$2:$AS$46,4,FALSE))+IF(AH21="",0,VLOOKUP(AH21,Bausteine!$A$2:$AS$46,4,FALSE))</f>
        <v/>
      </c>
      <c r="N21">
        <f>IF(C21="",0,VLOOKUP(C21,Bausteine!$A$2:$AS$46,5,FALSE))+IF(D21="",0,VLOOKUP(D21,Bausteine!$A$2:$AS$46,5,FALSE))+IF(E21="",0,VLOOKUP(E21,Bausteine!$A$2:$AS$46,5,FALSE))+IF(F21="",0,VLOOKUP(F21,Bausteine!$A$2:$AS$46,5,FALSE))+IF(G21="",0,VLOOKUP(G21,Bausteine!$A$2:$AS$46,5,FALSE))+IF(H21="",0,VLOOKUP(H21,Bausteine!$A$2:$AS$46,5,FALSE))+IF(I21="",0,VLOOKUP(I21,Bausteine!$A$2:$AS$46,5,FALSE))+IF(J21="",0,VLOOKUP(J21,Bausteine!$A$2:$AS$46,5,FALSE))+IF(K21="",0,VLOOKUP(K21,Bausteine!$A$2:$AS$46,5,FALSE))+IF(L21="",0,VLOOKUP(L21,Bausteine!$A$2:$AS$46,5,FALSE))+IF(AC21="",0,VLOOKUP(AC21,Bausteine!$A$2:$AS$46,5,FALSE))+IF(AF21="",0,VLOOKUP(AF21,Bausteine!$A$2:$AS$46,5,FALSE))+IF(AG21="",0,VLOOKUP(AG21,Bausteine!$A$2:$AS$46,5,FALSE))+IF(AH21="",0,VLOOKUP(AH21,Bausteine!$A$2:$AS$46,5,FALSE))</f>
        <v/>
      </c>
      <c r="O21">
        <f>MAX(IF(C21="",0,VLOOKUP(C21,Bausteine!$A$2:$AS$46,6,FALSE)),IF(D21="",0,VLOOKUP(D21,Bausteine!$A$2:$AS$46,6,FALSE)),IF(E21="",0,VLOOKUP(E21,Bausteine!$A$2:$AS$46,6,FALSE)),IF(F21="",0,VLOOKUP(F21,Bausteine!$A$2:$AS$46,6,FALSE)),IF(G21="",0,VLOOKUP(G21,Bausteine!$A$2:$AS$46,6,FALSE)),IF(H21="",0,VLOOKUP(H21,Bausteine!$A$2:$AS$46,6,FALSE)),IF(I21="",0,VLOOKUP(I21,Bausteine!$A$2:$AS$46,6,FALSE)),IF(J21="",0,VLOOKUP(J21,Bausteine!$A$2:$AS$46,6,FALSE)),IF(K21="",0,VLOOKUP(K21,Bausteine!$A$2:$AS$46,6,FALSE)),IF(L21="",0,VLOOKUP(L21,Bausteine!$A$2:$AS$46,6,FALSE)),IF(AC21="",0,VLOOKUP(AC21,Bausteine!$A$2:$AS$46,6,FALSE)),IF(AF21="",0,VLOOKUP(AF21,Bausteine!$A$2:$AS$46,6,FALSE)),IF(AG21="",0,VLOOKUP(AG21,Bausteine!$A$2:$AS$46,6,FALSE)),IF(AH21="",0,VLOOKUP(AH21,Bausteine!$A$2:$AS$46,6,FALSE)),AK21)</f>
        <v/>
      </c>
      <c r="P21">
        <f>IF(C21="",0,VLOOKUP(C21,Bausteine!$A$2:$AS$46,7,FALSE))*IF(F21="",0,VLOOKUP(F21,Bausteine!$A$2:$AS$46,17,FALSE))/100+IF(D21="",0,VLOOKUP(D21,Bausteine!$A$2:$AS$46,7,FALSE))+IF(E21="",0,VLOOKUP(E21,Bausteine!$A$2:$AS$46,7,FALSE))+IF(G21="",0,VLOOKUP(G21,Bausteine!$A$2:$AS$46,7,FALSE))+IF(H21="",0,VLOOKUP(H21,Bausteine!$A$2:$AS$46,7,FALSE))+IF(I21="",0,VLOOKUP(I21,Bausteine!$A$2:$AS$46,7,FALSE))+IF(J21="",0,VLOOKUP(J21,Bausteine!$A$2:$AS$46,7,FALSE))+IF(K21="",0,VLOOKUP(K21,Bausteine!$A$2:$AS$46,7,FALSE))+IF(L21="",0,VLOOKUP(L21,Bausteine!$A$2:$AS$46,7,FALSE))+IF(AC21="",0,VLOOKUP(AC21,Bausteine!$A$2:$AS$46,7,FALSE))+IF(AF21="",0,VLOOKUP(AF21,Bausteine!$A$2:$AS$46,7,FALSE))+IF(AG21="",0,VLOOKUP(AG21,Bausteine!$A$2:$AS$46,7,FALSE))+IF(AH21="",0,VLOOKUP(AH21,Bausteine!$A$2:$AS$46,7,FALSE))+AI21</f>
        <v/>
      </c>
      <c r="Q21">
        <f>N21*Parameter!$B$2</f>
        <v/>
      </c>
      <c r="R21">
        <f>AE21-Q21</f>
        <v/>
      </c>
      <c r="S21">
        <f>IF(C21="",0,VLOOKUP(C21,Bausteine!$A$2:$AS$46,13,FALSE))*IF(F21="",0,VLOOKUP(F21,Bausteine!$A$2:$AS$46,16,FALSE))/100</f>
        <v/>
      </c>
      <c r="T21">
        <f>IF(C21="",0,VLOOKUP(C21,Bausteine!$A$2:$AS$46,8,FALSE))*IF(F21="",0,VLOOKUP(F21,Bausteine!$A$2:$AS$46,15,FALSE))/100+IF(D21="",0,VLOOKUP(D21,Bausteine!$A$2:$AS$46,8,FALSE))+IF(E21="",0,VLOOKUP(E21,Bausteine!$A$2:$AS$46,8,FALSE))+IF(G21="",0,VLOOKUP(G21,Bausteine!$A$2:$AS$46,8,FALSE))+IF(H21="",0,VLOOKUP(H21,Bausteine!$A$2:$AS$46,8,FALSE))+IF(I21="",0,VLOOKUP(I21,Bausteine!$A$2:$AS$46,8,FALSE))+IF(J21="",0,VLOOKUP(J21,Bausteine!$A$2:$AS$46,8,FALSE))+IF(K21="",0,VLOOKUP(K21,Bausteine!$A$2:$AS$46,8,FALSE))+IF(L21="",0,VLOOKUP(L21,Bausteine!$A$2:$AS$46,8,FALSE))+IF(AC21="",0,VLOOKUP(AC21,Bausteine!$A$2:$AS$46,8,FALSE))+IF(AF21="",0,VLOOKUP(AF21,Bausteine!$A$2:$AS$46,8,FALSE))+IF(AG21="",0,VLOOKUP(AG21,Bausteine!$A$2:$AS$46,8,FALSE))+IF(AH21="",0,VLOOKUP(AH21,Bausteine!$A$2:$AS$46,8,FALSE))+AJ21</f>
        <v/>
      </c>
      <c r="U21">
        <f>IF(C21="",0,VLOOKUP(C21,Bausteine!$A$2:$AS$46,9,FALSE))+IF(D21="",0,VLOOKUP(D21,Bausteine!$A$2:$AS$46,9,FALSE))+IF(E21="",0,VLOOKUP(E21,Bausteine!$A$2:$AS$46,9,FALSE))+IF(F21="",0,VLOOKUP(F21,Bausteine!$A$2:$AS$46,9,FALSE))+IF(G21="",0,VLOOKUP(G21,Bausteine!$A$2:$AS$46,9,FALSE))+IF(H21="",0,VLOOKUP(H21,Bausteine!$A$2:$AS$46,9,FALSE))+IF(I21="",0,VLOOKUP(I21,Bausteine!$A$2:$AS$46,9,FALSE))+IF(J21="",0,VLOOKUP(J21,Bausteine!$A$2:$AS$46,9,FALSE))+IF(K21="",0,VLOOKUP(K21,Bausteine!$A$2:$AS$46,9,FALSE))+IF(L21="",0,VLOOKUP(L21,Bausteine!$A$2:$AS$46,9,FALSE))+IF(AC21="",0,VLOOKUP(AC21,Bausteine!$A$2:$AS$46,9,FALSE))+IF(AF21="",0,VLOOKUP(AF21,Bausteine!$A$2:$AS$46,9,FALSE))+IF(AG21="",0,VLOOKUP(AG21,Bausteine!$A$2:$AS$46,9,FALSE))+IF(AH21="",0,VLOOKUP(AH21,Bausteine!$A$2:$AS$46,9,FALSE))</f>
        <v/>
      </c>
      <c r="V21">
        <f>IF(D21="",0,VLOOKUP(D21,Bausteine!$A$2:$AS$46,10,FALSE))-U21/IF(E21="",0,VLOOKUP(E21,Bausteine!$A$2:$AS$46,11,FALSE))</f>
        <v/>
      </c>
      <c r="W21">
        <f>IF(Y21&lt;&gt;"OK","",ROUND(MIN(IF(C21="",0,VLOOKUP(C21,Bausteine!$A$2:$AS$46,21,FALSE)),IF(C21="",0,VLOOKUP(C21,Bausteine!$A$2:$AS$46,20,FALSE))*(V21/T21/(IF(C21="",0,VLOOKUP(C21,Bausteine!$A$2:$AS$46,19,FALSE))/IF(C21="",0,VLOOKUP(C21,Bausteine!$A$2:$AS$46,18,FALSE))))^Parameter!$B$3),0))</f>
        <v/>
      </c>
      <c r="X21">
        <f>IF(F21="",0,VLOOKUP(F21,Bausteine!$A$2:$AS$46,14,FALSE))</f>
        <v/>
      </c>
      <c r="Y21">
        <f>IFERROR(IF(OR(AD21&lt;=0,AD21&gt;1,R21&lt;=0,T21&lt;=0,V21&lt;=0,U21&gt;IF(E21="",0,VLOOKUP(E21,Bausteine!$A$2:$AS$46,12,FALSE)),T21&gt;IF(C21="",0,VLOOKUP(C21,Bausteine!$A$2:$AS$46,22,FALSE)),IF(E21="",0,VLOOKUP(E21,Bausteine!$A$2:$AS$46,11,FALSE))&lt;=0,IF(E21="",0,VLOOKUP(E21,Bausteine!$A$2:$AS$46,11,FALSE))&gt;1),"UNGUELTIG","OK"),"FEHLER")</f>
        <v/>
      </c>
      <c r="Z21" t="n">
        <v>2200</v>
      </c>
      <c r="AA21" t="n">
        <v>53</v>
      </c>
      <c r="AB21" t="inlineStr">
        <is>
          <t>Base price fitted; speaker electrical load and mass may reduce speed. Existing support behavior reused, not simulated here.</t>
        </is>
      </c>
      <c r="AC21" t="inlineStr"/>
      <c r="AD21">
        <f>IF(AC21="",1,IF(AC21="",0,VLOOKUP(AC21,Bausteine!$A$2:$AS$46,37,FALSE))/100)</f>
        <v/>
      </c>
      <c r="AE21">
        <f>P21*AD21</f>
        <v/>
      </c>
      <c r="AF21" t="inlineStr"/>
      <c r="AG21" t="inlineStr"/>
      <c r="AH21" t="inlineStr"/>
      <c r="AI21">
        <f>SUMIF(Startbesatzung!$A$2:$A$7,A21,Startbesatzung!$D$2:$D$7)</f>
        <v/>
      </c>
      <c r="AJ21">
        <f>SUMIF(Startbesatzung!$A$2:$A$7,A21,Startbesatzung!$E$2:$E$7)</f>
        <v/>
      </c>
      <c r="AK21">
        <f>MAX(0,IF(Startbesatzung!A2=A21,Startbesatzung!G2,0),IF(Startbesatzung!A3=A21,Startbesatzung!G3,0),IF(Startbesatzung!A4=A21,Startbesatzung!G4,0),IF(Startbesatzung!A5=A21,Startbesatzung!G5,0),IF(Startbesatzung!A6=A21,Startbesatzung!G6,0),IF(Startbesatzung!A7=A21,Startbesatzung!G7,0))</f>
        <v/>
      </c>
      <c r="AL21">
        <f>IF(AF21="","",IF(IF(AH21="",0,VLOOKUP(AH21,Bausteine!$A$2:$AS$46,38,FALSE))&gt;0,IF(AH21="",0,VLOOKUP(AH21,Bausteine!$A$2:$AS$46,38,FALSE)),IF(AG21="",0,VLOOKUP(AG21,Bausteine!$A$2:$AS$46,28,FALSE))))</f>
        <v/>
      </c>
      <c r="AM21">
        <f>IF(AF21="","",IF(AG21="",0,VLOOKUP(AG21,Bausteine!$A$2:$AS$46,44,FALSE)))</f>
        <v/>
      </c>
      <c r="AN21">
        <f>IF(AF21="","",IF(AF21="",0,VLOOKUP(AF21,Bausteine!$A$2:$AS$46,27,FALSE)))</f>
        <v/>
      </c>
      <c r="AO21">
        <f>IF(AF21="","",IF(AF21="",0,VLOOKUP(AF21,Bausteine!$A$2:$AS$46,25,FALSE)))</f>
        <v/>
      </c>
      <c r="AP21">
        <f>IF(AF21="","",IF(AH21="",0,VLOOKUP(AH21,Bausteine!$A$2:$AS$46,29,FALSE)))</f>
        <v/>
      </c>
    </row>
    <row r="22">
      <c r="A22" t="inlineStr">
        <is>
          <t>Overlord Propaganda PDL</t>
        </is>
      </c>
      <c r="B22" t="inlineStr">
        <is>
          <t>china</t>
        </is>
      </c>
      <c r="C22" t="inlineStr">
        <is>
          <t>overlord-chassis</t>
        </is>
      </c>
      <c r="D22" t="inlineStr">
        <is>
          <t>diesel-heavy-boost</t>
        </is>
      </c>
      <c r="E22" t="inlineStr">
        <is>
          <t>efficient-generator</t>
        </is>
      </c>
      <c r="F22" t="inlineStr">
        <is>
          <t>heavy</t>
        </is>
      </c>
      <c r="G22" t="inlineStr">
        <is>
          <t>heavy-twin-turret</t>
        </is>
      </c>
      <c r="H22" t="inlineStr">
        <is>
          <t>overlord-cannon</t>
        </is>
      </c>
      <c r="I22" t="inlineStr">
        <is>
          <t>heavy-shell</t>
        </is>
      </c>
      <c r="J22" t="inlineStr">
        <is>
          <t>propaganda-speaker</t>
        </is>
      </c>
      <c r="K22" t="inlineStr">
        <is>
          <t>pdl</t>
        </is>
      </c>
      <c r="L22" t="inlineStr"/>
      <c r="M22">
        <f>IF(C22="",0,VLOOKUP(C22,Bausteine!$A$2:$AS$46,4,FALSE))+IF(D22="",0,VLOOKUP(D22,Bausteine!$A$2:$AS$46,4,FALSE))+IF(E22="",0,VLOOKUP(E22,Bausteine!$A$2:$AS$46,4,FALSE))+IF(F22="",0,VLOOKUP(F22,Bausteine!$A$2:$AS$46,4,FALSE))+IF(G22="",0,VLOOKUP(G22,Bausteine!$A$2:$AS$46,4,FALSE))+IF(H22="",0,VLOOKUP(H22,Bausteine!$A$2:$AS$46,4,FALSE))+IF(I22="",0,VLOOKUP(I22,Bausteine!$A$2:$AS$46,4,FALSE))+IF(J22="",0,VLOOKUP(J22,Bausteine!$A$2:$AS$46,4,FALSE))+IF(K22="",0,VLOOKUP(K22,Bausteine!$A$2:$AS$46,4,FALSE))+IF(L22="",0,VLOOKUP(L22,Bausteine!$A$2:$AS$46,4,FALSE))+IF(AC22="",0,VLOOKUP(AC22,Bausteine!$A$2:$AS$46,4,FALSE))+IF(AF22="",0,VLOOKUP(AF22,Bausteine!$A$2:$AS$46,4,FALSE))+IF(AG22="",0,VLOOKUP(AG22,Bausteine!$A$2:$AS$46,4,FALSE))+IF(AH22="",0,VLOOKUP(AH22,Bausteine!$A$2:$AS$46,4,FALSE))</f>
        <v/>
      </c>
      <c r="N22">
        <f>IF(C22="",0,VLOOKUP(C22,Bausteine!$A$2:$AS$46,5,FALSE))+IF(D22="",0,VLOOKUP(D22,Bausteine!$A$2:$AS$46,5,FALSE))+IF(E22="",0,VLOOKUP(E22,Bausteine!$A$2:$AS$46,5,FALSE))+IF(F22="",0,VLOOKUP(F22,Bausteine!$A$2:$AS$46,5,FALSE))+IF(G22="",0,VLOOKUP(G22,Bausteine!$A$2:$AS$46,5,FALSE))+IF(H22="",0,VLOOKUP(H22,Bausteine!$A$2:$AS$46,5,FALSE))+IF(I22="",0,VLOOKUP(I22,Bausteine!$A$2:$AS$46,5,FALSE))+IF(J22="",0,VLOOKUP(J22,Bausteine!$A$2:$AS$46,5,FALSE))+IF(K22="",0,VLOOKUP(K22,Bausteine!$A$2:$AS$46,5,FALSE))+IF(L22="",0,VLOOKUP(L22,Bausteine!$A$2:$AS$46,5,FALSE))+IF(AC22="",0,VLOOKUP(AC22,Bausteine!$A$2:$AS$46,5,FALSE))+IF(AF22="",0,VLOOKUP(AF22,Bausteine!$A$2:$AS$46,5,FALSE))+IF(AG22="",0,VLOOKUP(AG22,Bausteine!$A$2:$AS$46,5,FALSE))+IF(AH22="",0,VLOOKUP(AH22,Bausteine!$A$2:$AS$46,5,FALSE))</f>
        <v/>
      </c>
      <c r="O22">
        <f>MAX(IF(C22="",0,VLOOKUP(C22,Bausteine!$A$2:$AS$46,6,FALSE)),IF(D22="",0,VLOOKUP(D22,Bausteine!$A$2:$AS$46,6,FALSE)),IF(E22="",0,VLOOKUP(E22,Bausteine!$A$2:$AS$46,6,FALSE)),IF(F22="",0,VLOOKUP(F22,Bausteine!$A$2:$AS$46,6,FALSE)),IF(G22="",0,VLOOKUP(G22,Bausteine!$A$2:$AS$46,6,FALSE)),IF(H22="",0,VLOOKUP(H22,Bausteine!$A$2:$AS$46,6,FALSE)),IF(I22="",0,VLOOKUP(I22,Bausteine!$A$2:$AS$46,6,FALSE)),IF(J22="",0,VLOOKUP(J22,Bausteine!$A$2:$AS$46,6,FALSE)),IF(K22="",0,VLOOKUP(K22,Bausteine!$A$2:$AS$46,6,FALSE)),IF(L22="",0,VLOOKUP(L22,Bausteine!$A$2:$AS$46,6,FALSE)),IF(AC22="",0,VLOOKUP(AC22,Bausteine!$A$2:$AS$46,6,FALSE)),IF(AF22="",0,VLOOKUP(AF22,Bausteine!$A$2:$AS$46,6,FALSE)),IF(AG22="",0,VLOOKUP(AG22,Bausteine!$A$2:$AS$46,6,FALSE)),IF(AH22="",0,VLOOKUP(AH22,Bausteine!$A$2:$AS$46,6,FALSE)),AK22)</f>
        <v/>
      </c>
      <c r="P22">
        <f>IF(C22="",0,VLOOKUP(C22,Bausteine!$A$2:$AS$46,7,FALSE))*IF(F22="",0,VLOOKUP(F22,Bausteine!$A$2:$AS$46,17,FALSE))/100+IF(D22="",0,VLOOKUP(D22,Bausteine!$A$2:$AS$46,7,FALSE))+IF(E22="",0,VLOOKUP(E22,Bausteine!$A$2:$AS$46,7,FALSE))+IF(G22="",0,VLOOKUP(G22,Bausteine!$A$2:$AS$46,7,FALSE))+IF(H22="",0,VLOOKUP(H22,Bausteine!$A$2:$AS$46,7,FALSE))+IF(I22="",0,VLOOKUP(I22,Bausteine!$A$2:$AS$46,7,FALSE))+IF(J22="",0,VLOOKUP(J22,Bausteine!$A$2:$AS$46,7,FALSE))+IF(K22="",0,VLOOKUP(K22,Bausteine!$A$2:$AS$46,7,FALSE))+IF(L22="",0,VLOOKUP(L22,Bausteine!$A$2:$AS$46,7,FALSE))+IF(AC22="",0,VLOOKUP(AC22,Bausteine!$A$2:$AS$46,7,FALSE))+IF(AF22="",0,VLOOKUP(AF22,Bausteine!$A$2:$AS$46,7,FALSE))+IF(AG22="",0,VLOOKUP(AG22,Bausteine!$A$2:$AS$46,7,FALSE))+IF(AH22="",0,VLOOKUP(AH22,Bausteine!$A$2:$AS$46,7,FALSE))+AI22</f>
        <v/>
      </c>
      <c r="Q22">
        <f>N22*Parameter!$B$2</f>
        <v/>
      </c>
      <c r="R22">
        <f>AE22-Q22</f>
        <v/>
      </c>
      <c r="S22">
        <f>IF(C22="",0,VLOOKUP(C22,Bausteine!$A$2:$AS$46,13,FALSE))*IF(F22="",0,VLOOKUP(F22,Bausteine!$A$2:$AS$46,16,FALSE))/100</f>
        <v/>
      </c>
      <c r="T22">
        <f>IF(C22="",0,VLOOKUP(C22,Bausteine!$A$2:$AS$46,8,FALSE))*IF(F22="",0,VLOOKUP(F22,Bausteine!$A$2:$AS$46,15,FALSE))/100+IF(D22="",0,VLOOKUP(D22,Bausteine!$A$2:$AS$46,8,FALSE))+IF(E22="",0,VLOOKUP(E22,Bausteine!$A$2:$AS$46,8,FALSE))+IF(G22="",0,VLOOKUP(G22,Bausteine!$A$2:$AS$46,8,FALSE))+IF(H22="",0,VLOOKUP(H22,Bausteine!$A$2:$AS$46,8,FALSE))+IF(I22="",0,VLOOKUP(I22,Bausteine!$A$2:$AS$46,8,FALSE))+IF(J22="",0,VLOOKUP(J22,Bausteine!$A$2:$AS$46,8,FALSE))+IF(K22="",0,VLOOKUP(K22,Bausteine!$A$2:$AS$46,8,FALSE))+IF(L22="",0,VLOOKUP(L22,Bausteine!$A$2:$AS$46,8,FALSE))+IF(AC22="",0,VLOOKUP(AC22,Bausteine!$A$2:$AS$46,8,FALSE))+IF(AF22="",0,VLOOKUP(AF22,Bausteine!$A$2:$AS$46,8,FALSE))+IF(AG22="",0,VLOOKUP(AG22,Bausteine!$A$2:$AS$46,8,FALSE))+IF(AH22="",0,VLOOKUP(AH22,Bausteine!$A$2:$AS$46,8,FALSE))+AJ22</f>
        <v/>
      </c>
      <c r="U22">
        <f>IF(C22="",0,VLOOKUP(C22,Bausteine!$A$2:$AS$46,9,FALSE))+IF(D22="",0,VLOOKUP(D22,Bausteine!$A$2:$AS$46,9,FALSE))+IF(E22="",0,VLOOKUP(E22,Bausteine!$A$2:$AS$46,9,FALSE))+IF(F22="",0,VLOOKUP(F22,Bausteine!$A$2:$AS$46,9,FALSE))+IF(G22="",0,VLOOKUP(G22,Bausteine!$A$2:$AS$46,9,FALSE))+IF(H22="",0,VLOOKUP(H22,Bausteine!$A$2:$AS$46,9,FALSE))+IF(I22="",0,VLOOKUP(I22,Bausteine!$A$2:$AS$46,9,FALSE))+IF(J22="",0,VLOOKUP(J22,Bausteine!$A$2:$AS$46,9,FALSE))+IF(K22="",0,VLOOKUP(K22,Bausteine!$A$2:$AS$46,9,FALSE))+IF(L22="",0,VLOOKUP(L22,Bausteine!$A$2:$AS$46,9,FALSE))+IF(AC22="",0,VLOOKUP(AC22,Bausteine!$A$2:$AS$46,9,FALSE))+IF(AF22="",0,VLOOKUP(AF22,Bausteine!$A$2:$AS$46,9,FALSE))+IF(AG22="",0,VLOOKUP(AG22,Bausteine!$A$2:$AS$46,9,FALSE))+IF(AH22="",0,VLOOKUP(AH22,Bausteine!$A$2:$AS$46,9,FALSE))</f>
        <v/>
      </c>
      <c r="V22">
        <f>IF(D22="",0,VLOOKUP(D22,Bausteine!$A$2:$AS$46,10,FALSE))-U22/IF(E22="",0,VLOOKUP(E22,Bausteine!$A$2:$AS$46,11,FALSE))</f>
        <v/>
      </c>
      <c r="W22">
        <f>IF(Y22&lt;&gt;"OK","",ROUND(MIN(IF(C22="",0,VLOOKUP(C22,Bausteine!$A$2:$AS$46,21,FALSE)),IF(C22="",0,VLOOKUP(C22,Bausteine!$A$2:$AS$46,20,FALSE))*(V22/T22/(IF(C22="",0,VLOOKUP(C22,Bausteine!$A$2:$AS$46,19,FALSE))/IF(C22="",0,VLOOKUP(C22,Bausteine!$A$2:$AS$46,18,FALSE))))^Parameter!$B$3),0))</f>
        <v/>
      </c>
      <c r="X22">
        <f>IF(F22="",0,VLOOKUP(F22,Bausteine!$A$2:$AS$46,14,FALSE))</f>
        <v/>
      </c>
      <c r="Y22">
        <f>IFERROR(IF(OR(AD22&lt;=0,AD22&gt;1,R22&lt;=0,T22&lt;=0,V22&lt;=0,U22&gt;IF(E22="",0,VLOOKUP(E22,Bausteine!$A$2:$AS$46,12,FALSE)),T22&gt;IF(C22="",0,VLOOKUP(C22,Bausteine!$A$2:$AS$46,22,FALSE)),IF(E22="",0,VLOOKUP(E22,Bausteine!$A$2:$AS$46,11,FALSE))&lt;=0,IF(E22="",0,VLOOKUP(E22,Bausteine!$A$2:$AS$46,11,FALSE))&gt;1),"UNGUELTIG","OK"),"FEHLER")</f>
        <v/>
      </c>
      <c r="Z22" t="n">
        <v>2850</v>
      </c>
      <c r="AA22" t="n">
        <v>55</v>
      </c>
      <c r="AB22" t="inlineStr"/>
      <c r="AC22" t="inlineStr"/>
      <c r="AD22">
        <f>IF(AC22="",1,IF(AC22="",0,VLOOKUP(AC22,Bausteine!$A$2:$AS$46,37,FALSE))/100)</f>
        <v/>
      </c>
      <c r="AE22">
        <f>P22*AD22</f>
        <v/>
      </c>
      <c r="AF22" t="inlineStr"/>
      <c r="AG22" t="inlineStr"/>
      <c r="AH22" t="inlineStr"/>
      <c r="AI22">
        <f>SUMIF(Startbesatzung!$A$2:$A$7,A22,Startbesatzung!$D$2:$D$7)</f>
        <v/>
      </c>
      <c r="AJ22">
        <f>SUMIF(Startbesatzung!$A$2:$A$7,A22,Startbesatzung!$E$2:$E$7)</f>
        <v/>
      </c>
      <c r="AK22">
        <f>MAX(0,IF(Startbesatzung!A2=A22,Startbesatzung!G2,0),IF(Startbesatzung!A3=A22,Startbesatzung!G3,0),IF(Startbesatzung!A4=A22,Startbesatzung!G4,0),IF(Startbesatzung!A5=A22,Startbesatzung!G5,0),IF(Startbesatzung!A6=A22,Startbesatzung!G6,0),IF(Startbesatzung!A7=A22,Startbesatzung!G7,0))</f>
        <v/>
      </c>
      <c r="AL22">
        <f>IF(AF22="","",IF(IF(AH22="",0,VLOOKUP(AH22,Bausteine!$A$2:$AS$46,38,FALSE))&gt;0,IF(AH22="",0,VLOOKUP(AH22,Bausteine!$A$2:$AS$46,38,FALSE)),IF(AG22="",0,VLOOKUP(AG22,Bausteine!$A$2:$AS$46,28,FALSE))))</f>
        <v/>
      </c>
      <c r="AM22">
        <f>IF(AF22="","",IF(AG22="",0,VLOOKUP(AG22,Bausteine!$A$2:$AS$46,44,FALSE)))</f>
        <v/>
      </c>
      <c r="AN22">
        <f>IF(AF22="","",IF(AF22="",0,VLOOKUP(AF22,Bausteine!$A$2:$AS$46,27,FALSE)))</f>
        <v/>
      </c>
      <c r="AO22">
        <f>IF(AF22="","",IF(AF22="",0,VLOOKUP(AF22,Bausteine!$A$2:$AS$46,25,FALSE)))</f>
        <v/>
      </c>
      <c r="AP22">
        <f>IF(AF22="","",IF(AH22="",0,VLOOKUP(AH22,Bausteine!$A$2:$AS$46,29,FALSE)))</f>
        <v/>
      </c>
    </row>
    <row r="23">
      <c r="A23" t="inlineStr">
        <is>
          <t>Overlord Propaganda Reflector</t>
        </is>
      </c>
      <c r="B23" t="inlineStr">
        <is>
          <t>china</t>
        </is>
      </c>
      <c r="C23" t="inlineStr">
        <is>
          <t>overlord-chassis</t>
        </is>
      </c>
      <c r="D23" t="inlineStr">
        <is>
          <t>diesel-heavy-boost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heavy-twin-turret</t>
        </is>
      </c>
      <c r="H23" t="inlineStr">
        <is>
          <t>overlord-cannon</t>
        </is>
      </c>
      <c r="I23" t="inlineStr">
        <is>
          <t>heavy-shell</t>
        </is>
      </c>
      <c r="J23" t="inlineStr">
        <is>
          <t>propaganda-speaker</t>
        </is>
      </c>
      <c r="K23" t="inlineStr"/>
      <c r="L23" t="inlineStr"/>
      <c r="M23">
        <f>IF(C23="",0,VLOOKUP(C23,Bausteine!$A$2:$AS$46,4,FALSE))+IF(D23="",0,VLOOKUP(D23,Bausteine!$A$2:$AS$46,4,FALSE))+IF(E23="",0,VLOOKUP(E23,Bausteine!$A$2:$AS$46,4,FALSE))+IF(F23="",0,VLOOKUP(F23,Bausteine!$A$2:$AS$46,4,FALSE))+IF(G23="",0,VLOOKUP(G23,Bausteine!$A$2:$AS$46,4,FALSE))+IF(H23="",0,VLOOKUP(H23,Bausteine!$A$2:$AS$46,4,FALSE))+IF(I23="",0,VLOOKUP(I23,Bausteine!$A$2:$AS$46,4,FALSE))+IF(J23="",0,VLOOKUP(J23,Bausteine!$A$2:$AS$46,4,FALSE))+IF(K23="",0,VLOOKUP(K23,Bausteine!$A$2:$AS$46,4,FALSE))+IF(L23="",0,VLOOKUP(L23,Bausteine!$A$2:$AS$46,4,FALSE))+IF(AC23="",0,VLOOKUP(AC23,Bausteine!$A$2:$AS$46,4,FALSE))+IF(AF23="",0,VLOOKUP(AF23,Bausteine!$A$2:$AS$46,4,FALSE))+IF(AG23="",0,VLOOKUP(AG23,Bausteine!$A$2:$AS$46,4,FALSE))+IF(AH23="",0,VLOOKUP(AH23,Bausteine!$A$2:$AS$46,4,FALSE))</f>
        <v/>
      </c>
      <c r="N23">
        <f>IF(C23="",0,VLOOKUP(C23,Bausteine!$A$2:$AS$46,5,FALSE))+IF(D23="",0,VLOOKUP(D23,Bausteine!$A$2:$AS$46,5,FALSE))+IF(E23="",0,VLOOKUP(E23,Bausteine!$A$2:$AS$46,5,FALSE))+IF(F23="",0,VLOOKUP(F23,Bausteine!$A$2:$AS$46,5,FALSE))+IF(G23="",0,VLOOKUP(G23,Bausteine!$A$2:$AS$46,5,FALSE))+IF(H23="",0,VLOOKUP(H23,Bausteine!$A$2:$AS$46,5,FALSE))+IF(I23="",0,VLOOKUP(I23,Bausteine!$A$2:$AS$46,5,FALSE))+IF(J23="",0,VLOOKUP(J23,Bausteine!$A$2:$AS$46,5,FALSE))+IF(K23="",0,VLOOKUP(K23,Bausteine!$A$2:$AS$46,5,FALSE))+IF(L23="",0,VLOOKUP(L23,Bausteine!$A$2:$AS$46,5,FALSE))+IF(AC23="",0,VLOOKUP(AC23,Bausteine!$A$2:$AS$46,5,FALSE))+IF(AF23="",0,VLOOKUP(AF23,Bausteine!$A$2:$AS$46,5,FALSE))+IF(AG23="",0,VLOOKUP(AG23,Bausteine!$A$2:$AS$46,5,FALSE))+IF(AH23="",0,VLOOKUP(AH23,Bausteine!$A$2:$AS$46,5,FALSE))</f>
        <v/>
      </c>
      <c r="O23">
        <f>MAX(IF(C23="",0,VLOOKUP(C23,Bausteine!$A$2:$AS$46,6,FALSE)),IF(D23="",0,VLOOKUP(D23,Bausteine!$A$2:$AS$46,6,FALSE)),IF(E23="",0,VLOOKUP(E23,Bausteine!$A$2:$AS$46,6,FALSE)),IF(F23="",0,VLOOKUP(F23,Bausteine!$A$2:$AS$46,6,FALSE)),IF(G23="",0,VLOOKUP(G23,Bausteine!$A$2:$AS$46,6,FALSE)),IF(H23="",0,VLOOKUP(H23,Bausteine!$A$2:$AS$46,6,FALSE)),IF(I23="",0,VLOOKUP(I23,Bausteine!$A$2:$AS$46,6,FALSE)),IF(J23="",0,VLOOKUP(J23,Bausteine!$A$2:$AS$46,6,FALSE)),IF(K23="",0,VLOOKUP(K23,Bausteine!$A$2:$AS$46,6,FALSE)),IF(L23="",0,VLOOKUP(L23,Bausteine!$A$2:$AS$46,6,FALSE)),IF(AC23="",0,VLOOKUP(AC23,Bausteine!$A$2:$AS$46,6,FALSE)),IF(AF23="",0,VLOOKUP(AF23,Bausteine!$A$2:$AS$46,6,FALSE)),IF(AG23="",0,VLOOKUP(AG23,Bausteine!$A$2:$AS$46,6,FALSE)),IF(AH23="",0,VLOOKUP(AH23,Bausteine!$A$2:$AS$46,6,FALSE)),AK23)</f>
        <v/>
      </c>
      <c r="P23">
        <f>IF(C23="",0,VLOOKUP(C23,Bausteine!$A$2:$AS$46,7,FALSE))*IF(F23="",0,VLOOKUP(F23,Bausteine!$A$2:$AS$46,17,FALSE))/100+IF(D23="",0,VLOOKUP(D23,Bausteine!$A$2:$AS$46,7,FALSE))+IF(E23="",0,VLOOKUP(E23,Bausteine!$A$2:$AS$46,7,FALSE))+IF(G23="",0,VLOOKUP(G23,Bausteine!$A$2:$AS$46,7,FALSE))+IF(H23="",0,VLOOKUP(H23,Bausteine!$A$2:$AS$46,7,FALSE))+IF(I23="",0,VLOOKUP(I23,Bausteine!$A$2:$AS$46,7,FALSE))+IF(J23="",0,VLOOKUP(J23,Bausteine!$A$2:$AS$46,7,FALSE))+IF(K23="",0,VLOOKUP(K23,Bausteine!$A$2:$AS$46,7,FALSE))+IF(L23="",0,VLOOKUP(L23,Bausteine!$A$2:$AS$46,7,FALSE))+IF(AC23="",0,VLOOKUP(AC23,Bausteine!$A$2:$AS$46,7,FALSE))+IF(AF23="",0,VLOOKUP(AF23,Bausteine!$A$2:$AS$46,7,FALSE))+IF(AG23="",0,VLOOKUP(AG23,Bausteine!$A$2:$AS$46,7,FALSE))+IF(AH23="",0,VLOOKUP(AH23,Bausteine!$A$2:$AS$46,7,FALSE))+AI23</f>
        <v/>
      </c>
      <c r="Q23">
        <f>N23*Parameter!$B$2</f>
        <v/>
      </c>
      <c r="R23">
        <f>AE23-Q23</f>
        <v/>
      </c>
      <c r="S23">
        <f>IF(C23="",0,VLOOKUP(C23,Bausteine!$A$2:$AS$46,13,FALSE))*IF(F23="",0,VLOOKUP(F23,Bausteine!$A$2:$AS$46,16,FALSE))/100</f>
        <v/>
      </c>
      <c r="T23">
        <f>IF(C23="",0,VLOOKUP(C23,Bausteine!$A$2:$AS$46,8,FALSE))*IF(F23="",0,VLOOKUP(F23,Bausteine!$A$2:$AS$46,15,FALSE))/100+IF(D23="",0,VLOOKUP(D23,Bausteine!$A$2:$AS$46,8,FALSE))+IF(E23="",0,VLOOKUP(E23,Bausteine!$A$2:$AS$46,8,FALSE))+IF(G23="",0,VLOOKUP(G23,Bausteine!$A$2:$AS$46,8,FALSE))+IF(H23="",0,VLOOKUP(H23,Bausteine!$A$2:$AS$46,8,FALSE))+IF(I23="",0,VLOOKUP(I23,Bausteine!$A$2:$AS$46,8,FALSE))+IF(J23="",0,VLOOKUP(J23,Bausteine!$A$2:$AS$46,8,FALSE))+IF(K23="",0,VLOOKUP(K23,Bausteine!$A$2:$AS$46,8,FALSE))+IF(L23="",0,VLOOKUP(L23,Bausteine!$A$2:$AS$46,8,FALSE))+IF(AC23="",0,VLOOKUP(AC23,Bausteine!$A$2:$AS$46,8,FALSE))+IF(AF23="",0,VLOOKUP(AF23,Bausteine!$A$2:$AS$46,8,FALSE))+IF(AG23="",0,VLOOKUP(AG23,Bausteine!$A$2:$AS$46,8,FALSE))+IF(AH23="",0,VLOOKUP(AH23,Bausteine!$A$2:$AS$46,8,FALSE))+AJ23</f>
        <v/>
      </c>
      <c r="U23">
        <f>IF(C23="",0,VLOOKUP(C23,Bausteine!$A$2:$AS$46,9,FALSE))+IF(D23="",0,VLOOKUP(D23,Bausteine!$A$2:$AS$46,9,FALSE))+IF(E23="",0,VLOOKUP(E23,Bausteine!$A$2:$AS$46,9,FALSE))+IF(F23="",0,VLOOKUP(F23,Bausteine!$A$2:$AS$46,9,FALSE))+IF(G23="",0,VLOOKUP(G23,Bausteine!$A$2:$AS$46,9,FALSE))+IF(H23="",0,VLOOKUP(H23,Bausteine!$A$2:$AS$46,9,FALSE))+IF(I23="",0,VLOOKUP(I23,Bausteine!$A$2:$AS$46,9,FALSE))+IF(J23="",0,VLOOKUP(J23,Bausteine!$A$2:$AS$46,9,FALSE))+IF(K23="",0,VLOOKUP(K23,Bausteine!$A$2:$AS$46,9,FALSE))+IF(L23="",0,VLOOKUP(L23,Bausteine!$A$2:$AS$46,9,FALSE))+IF(AC23="",0,VLOOKUP(AC23,Bausteine!$A$2:$AS$46,9,FALSE))+IF(AF23="",0,VLOOKUP(AF23,Bausteine!$A$2:$AS$46,9,FALSE))+IF(AG23="",0,VLOOKUP(AG23,Bausteine!$A$2:$AS$46,9,FALSE))+IF(AH23="",0,VLOOKUP(AH23,Bausteine!$A$2:$AS$46,9,FALSE))</f>
        <v/>
      </c>
      <c r="V23">
        <f>IF(D23="",0,VLOOKUP(D23,Bausteine!$A$2:$AS$46,10,FALSE))-U23/IF(E23="",0,VLOOKUP(E23,Bausteine!$A$2:$AS$46,11,FALSE))</f>
        <v/>
      </c>
      <c r="W23">
        <f>IF(Y23&lt;&gt;"OK","",ROUND(MIN(IF(C23="",0,VLOOKUP(C23,Bausteine!$A$2:$AS$46,21,FALSE)),IF(C23="",0,VLOOKUP(C23,Bausteine!$A$2:$AS$46,20,FALSE))*(V23/T23/(IF(C23="",0,VLOOKUP(C23,Bausteine!$A$2:$AS$46,19,FALSE))/IF(C23="",0,VLOOKUP(C23,Bausteine!$A$2:$AS$46,18,FALSE))))^Parameter!$B$3),0))</f>
        <v/>
      </c>
      <c r="X23">
        <f>IF(F23="",0,VLOOKUP(F23,Bausteine!$A$2:$AS$46,14,FALSE))</f>
        <v/>
      </c>
      <c r="Y23">
        <f>IFERROR(IF(OR(AD23&lt;=0,AD23&gt;1,R23&lt;=0,T23&lt;=0,V23&lt;=0,U23&gt;IF(E23="",0,VLOOKUP(E23,Bausteine!$A$2:$AS$46,12,FALSE)),T23&gt;IF(C23="",0,VLOOKUP(C23,Bausteine!$A$2:$AS$46,22,FALSE)),IF(E23="",0,VLOOKUP(E23,Bausteine!$A$2:$AS$46,11,FALSE))&lt;=0,IF(E23="",0,VLOOKUP(E23,Bausteine!$A$2:$AS$46,11,FALSE))&gt;1),"UNGUELTIG","OK"),"FEHLER")</f>
        <v/>
      </c>
      <c r="Z23" t="n">
        <v>2200</v>
      </c>
      <c r="AA23" t="n">
        <v>55</v>
      </c>
      <c r="AB23" t="inlineStr"/>
      <c r="AC23" t="inlineStr"/>
      <c r="AD23">
        <f>IF(AC23="",1,IF(AC23="",0,VLOOKUP(AC23,Bausteine!$A$2:$AS$46,37,FALSE))/100)</f>
        <v/>
      </c>
      <c r="AE23">
        <f>P23*AD23</f>
        <v/>
      </c>
      <c r="AF23" t="inlineStr"/>
      <c r="AG23" t="inlineStr"/>
      <c r="AH23" t="inlineStr"/>
      <c r="AI23">
        <f>SUMIF(Startbesatzung!$A$2:$A$7,A23,Startbesatzung!$D$2:$D$7)</f>
        <v/>
      </c>
      <c r="AJ23">
        <f>SUMIF(Startbesatzung!$A$2:$A$7,A23,Startbesatzung!$E$2:$E$7)</f>
        <v/>
      </c>
      <c r="AK23">
        <f>MAX(0,IF(Startbesatzung!A2=A23,Startbesatzung!G2,0),IF(Startbesatzung!A3=A23,Startbesatzung!G3,0),IF(Startbesatzung!A4=A23,Startbesatzung!G4,0),IF(Startbesatzung!A5=A23,Startbesatzung!G5,0),IF(Startbesatzung!A6=A23,Startbesatzung!G6,0),IF(Startbesatzung!A7=A23,Startbesatzung!G7,0))</f>
        <v/>
      </c>
      <c r="AL23">
        <f>IF(AF23="","",IF(IF(AH23="",0,VLOOKUP(AH23,Bausteine!$A$2:$AS$46,38,FALSE))&gt;0,IF(AH23="",0,VLOOKUP(AH23,Bausteine!$A$2:$AS$46,38,FALSE)),IF(AG23="",0,VLOOKUP(AG23,Bausteine!$A$2:$AS$46,28,FALSE))))</f>
        <v/>
      </c>
      <c r="AM23">
        <f>IF(AF23="","",IF(AG23="",0,VLOOKUP(AG23,Bausteine!$A$2:$AS$46,44,FALSE)))</f>
        <v/>
      </c>
      <c r="AN23">
        <f>IF(AF23="","",IF(AF23="",0,VLOOKUP(AF23,Bausteine!$A$2:$AS$46,27,FALSE)))</f>
        <v/>
      </c>
      <c r="AO23">
        <f>IF(AF23="","",IF(AF23="",0,VLOOKUP(AF23,Bausteine!$A$2:$AS$46,25,FALSE)))</f>
        <v/>
      </c>
      <c r="AP23">
        <f>IF(AF23="","",IF(AH23="",0,VLOOKUP(AH23,Bausteine!$A$2:$AS$46,29,FALSE)))</f>
        <v/>
      </c>
    </row>
    <row r="24">
      <c r="A24" t="inlineStr">
        <is>
          <t>Dragon Tank</t>
        </is>
      </c>
      <c r="B24" t="inlineStr">
        <is>
          <t>china</t>
        </is>
      </c>
      <c r="C24" t="inlineStr">
        <is>
          <t>dragon-chassis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flame-turret</t>
        </is>
      </c>
      <c r="H24" t="inlineStr">
        <is>
          <t>dragon-flamer</t>
        </is>
      </c>
      <c r="I24" t="inlineStr">
        <is>
          <t>flame-fuel</t>
        </is>
      </c>
      <c r="J24" t="inlineStr"/>
      <c r="K24" t="inlineStr"/>
      <c r="L24" t="inlineStr"/>
      <c r="M24">
        <f>IF(C24="",0,VLOOKUP(C24,Bausteine!$A$2:$AS$46,4,FALSE))+IF(D24="",0,VLOOKUP(D24,Bausteine!$A$2:$AS$46,4,FALSE))+IF(E24="",0,VLOOKUP(E24,Bausteine!$A$2:$AS$46,4,FALSE))+IF(F24="",0,VLOOKUP(F24,Bausteine!$A$2:$AS$46,4,FALSE))+IF(G24="",0,VLOOKUP(G24,Bausteine!$A$2:$AS$46,4,FALSE))+IF(H24="",0,VLOOKUP(H24,Bausteine!$A$2:$AS$46,4,FALSE))+IF(I24="",0,VLOOKUP(I24,Bausteine!$A$2:$AS$46,4,FALSE))+IF(J24="",0,VLOOKUP(J24,Bausteine!$A$2:$AS$46,4,FALSE))+IF(K24="",0,VLOOKUP(K24,Bausteine!$A$2:$AS$46,4,FALSE))+IF(L24="",0,VLOOKUP(L24,Bausteine!$A$2:$AS$46,4,FALSE))+IF(AC24="",0,VLOOKUP(AC24,Bausteine!$A$2:$AS$46,4,FALSE))+IF(AF24="",0,VLOOKUP(AF24,Bausteine!$A$2:$AS$46,4,FALSE))+IF(AG24="",0,VLOOKUP(AG24,Bausteine!$A$2:$AS$46,4,FALSE))+IF(AH24="",0,VLOOKUP(AH24,Bausteine!$A$2:$AS$46,4,FALSE))</f>
        <v/>
      </c>
      <c r="N24">
        <f>IF(C24="",0,VLOOKUP(C24,Bausteine!$A$2:$AS$46,5,FALSE))+IF(D24="",0,VLOOKUP(D24,Bausteine!$A$2:$AS$46,5,FALSE))+IF(E24="",0,VLOOKUP(E24,Bausteine!$A$2:$AS$46,5,FALSE))+IF(F24="",0,VLOOKUP(F24,Bausteine!$A$2:$AS$46,5,FALSE))+IF(G24="",0,VLOOKUP(G24,Bausteine!$A$2:$AS$46,5,FALSE))+IF(H24="",0,VLOOKUP(H24,Bausteine!$A$2:$AS$46,5,FALSE))+IF(I24="",0,VLOOKUP(I24,Bausteine!$A$2:$AS$46,5,FALSE))+IF(J24="",0,VLOOKUP(J24,Bausteine!$A$2:$AS$46,5,FALSE))+IF(K24="",0,VLOOKUP(K24,Bausteine!$A$2:$AS$46,5,FALSE))+IF(L24="",0,VLOOKUP(L24,Bausteine!$A$2:$AS$46,5,FALSE))+IF(AC24="",0,VLOOKUP(AC24,Bausteine!$A$2:$AS$46,5,FALSE))+IF(AF24="",0,VLOOKUP(AF24,Bausteine!$A$2:$AS$46,5,FALSE))+IF(AG24="",0,VLOOKUP(AG24,Bausteine!$A$2:$AS$46,5,FALSE))+IF(AH24="",0,VLOOKUP(AH24,Bausteine!$A$2:$AS$46,5,FALSE))</f>
        <v/>
      </c>
      <c r="O24">
        <f>MAX(IF(C24="",0,VLOOKUP(C24,Bausteine!$A$2:$AS$46,6,FALSE)),IF(D24="",0,VLOOKUP(D24,Bausteine!$A$2:$AS$46,6,FALSE)),IF(E24="",0,VLOOKUP(E24,Bausteine!$A$2:$AS$46,6,FALSE)),IF(F24="",0,VLOOKUP(F24,Bausteine!$A$2:$AS$46,6,FALSE)),IF(G24="",0,VLOOKUP(G24,Bausteine!$A$2:$AS$46,6,FALSE)),IF(H24="",0,VLOOKUP(H24,Bausteine!$A$2:$AS$46,6,FALSE)),IF(I24="",0,VLOOKUP(I24,Bausteine!$A$2:$AS$46,6,FALSE)),IF(J24="",0,VLOOKUP(J24,Bausteine!$A$2:$AS$46,6,FALSE)),IF(K24="",0,VLOOKUP(K24,Bausteine!$A$2:$AS$46,6,FALSE)),IF(L24="",0,VLOOKUP(L24,Bausteine!$A$2:$AS$46,6,FALSE)),IF(AC24="",0,VLOOKUP(AC24,Bausteine!$A$2:$AS$46,6,FALSE)),IF(AF24="",0,VLOOKUP(AF24,Bausteine!$A$2:$AS$46,6,FALSE)),IF(AG24="",0,VLOOKUP(AG24,Bausteine!$A$2:$AS$46,6,FALSE)),IF(AH24="",0,VLOOKUP(AH24,Bausteine!$A$2:$AS$46,6,FALSE)),AK24)</f>
        <v/>
      </c>
      <c r="P24">
        <f>IF(C24="",0,VLOOKUP(C24,Bausteine!$A$2:$AS$46,7,FALSE))*IF(F24="",0,VLOOKUP(F24,Bausteine!$A$2:$AS$46,17,FALSE))/100+IF(D24="",0,VLOOKUP(D24,Bausteine!$A$2:$AS$46,7,FALSE))+IF(E24="",0,VLOOKUP(E24,Bausteine!$A$2:$AS$46,7,FALSE))+IF(G24="",0,VLOOKUP(G24,Bausteine!$A$2:$AS$46,7,FALSE))+IF(H24="",0,VLOOKUP(H24,Bausteine!$A$2:$AS$46,7,FALSE))+IF(I24="",0,VLOOKUP(I24,Bausteine!$A$2:$AS$46,7,FALSE))+IF(J24="",0,VLOOKUP(J24,Bausteine!$A$2:$AS$46,7,FALSE))+IF(K24="",0,VLOOKUP(K24,Bausteine!$A$2:$AS$46,7,FALSE))+IF(L24="",0,VLOOKUP(L24,Bausteine!$A$2:$AS$46,7,FALSE))+IF(AC24="",0,VLOOKUP(AC24,Bausteine!$A$2:$AS$46,7,FALSE))+IF(AF24="",0,VLOOKUP(AF24,Bausteine!$A$2:$AS$46,7,FALSE))+IF(AG24="",0,VLOOKUP(AG24,Bausteine!$A$2:$AS$46,7,FALSE))+IF(AH24="",0,VLOOKUP(AH24,Bausteine!$A$2:$AS$46,7,FALSE))+AI24</f>
        <v/>
      </c>
      <c r="Q24">
        <f>N24*Parameter!$B$2</f>
        <v/>
      </c>
      <c r="R24">
        <f>AE24-Q24</f>
        <v/>
      </c>
      <c r="S24">
        <f>IF(C24="",0,VLOOKUP(C24,Bausteine!$A$2:$AS$46,13,FALSE))*IF(F24="",0,VLOOKUP(F24,Bausteine!$A$2:$AS$46,16,FALSE))/100</f>
        <v/>
      </c>
      <c r="T24">
        <f>IF(C24="",0,VLOOKUP(C24,Bausteine!$A$2:$AS$46,8,FALSE))*IF(F24="",0,VLOOKUP(F24,Bausteine!$A$2:$AS$46,15,FALSE))/100+IF(D24="",0,VLOOKUP(D24,Bausteine!$A$2:$AS$46,8,FALSE))+IF(E24="",0,VLOOKUP(E24,Bausteine!$A$2:$AS$46,8,FALSE))+IF(G24="",0,VLOOKUP(G24,Bausteine!$A$2:$AS$46,8,FALSE))+IF(H24="",0,VLOOKUP(H24,Bausteine!$A$2:$AS$46,8,FALSE))+IF(I24="",0,VLOOKUP(I24,Bausteine!$A$2:$AS$46,8,FALSE))+IF(J24="",0,VLOOKUP(J24,Bausteine!$A$2:$AS$46,8,FALSE))+IF(K24="",0,VLOOKUP(K24,Bausteine!$A$2:$AS$46,8,FALSE))+IF(L24="",0,VLOOKUP(L24,Bausteine!$A$2:$AS$46,8,FALSE))+IF(AC24="",0,VLOOKUP(AC24,Bausteine!$A$2:$AS$46,8,FALSE))+IF(AF24="",0,VLOOKUP(AF24,Bausteine!$A$2:$AS$46,8,FALSE))+IF(AG24="",0,VLOOKUP(AG24,Bausteine!$A$2:$AS$46,8,FALSE))+IF(AH24="",0,VLOOKUP(AH24,Bausteine!$A$2:$AS$46,8,FALSE))+AJ24</f>
        <v/>
      </c>
      <c r="U24">
        <f>IF(C24="",0,VLOOKUP(C24,Bausteine!$A$2:$AS$46,9,FALSE))+IF(D24="",0,VLOOKUP(D24,Bausteine!$A$2:$AS$46,9,FALSE))+IF(E24="",0,VLOOKUP(E24,Bausteine!$A$2:$AS$46,9,FALSE))+IF(F24="",0,VLOOKUP(F24,Bausteine!$A$2:$AS$46,9,FALSE))+IF(G24="",0,VLOOKUP(G24,Bausteine!$A$2:$AS$46,9,FALSE))+IF(H24="",0,VLOOKUP(H24,Bausteine!$A$2:$AS$46,9,FALSE))+IF(I24="",0,VLOOKUP(I24,Bausteine!$A$2:$AS$46,9,FALSE))+IF(J24="",0,VLOOKUP(J24,Bausteine!$A$2:$AS$46,9,FALSE))+IF(K24="",0,VLOOKUP(K24,Bausteine!$A$2:$AS$46,9,FALSE))+IF(L24="",0,VLOOKUP(L24,Bausteine!$A$2:$AS$46,9,FALSE))+IF(AC24="",0,VLOOKUP(AC24,Bausteine!$A$2:$AS$46,9,FALSE))+IF(AF24="",0,VLOOKUP(AF24,Bausteine!$A$2:$AS$46,9,FALSE))+IF(AG24="",0,VLOOKUP(AG24,Bausteine!$A$2:$AS$46,9,FALSE))+IF(AH24="",0,VLOOKUP(AH24,Bausteine!$A$2:$AS$46,9,FALSE))</f>
        <v/>
      </c>
      <c r="V24">
        <f>IF(D24="",0,VLOOKUP(D24,Bausteine!$A$2:$AS$46,10,FALSE))-U24/IF(E24="",0,VLOOKUP(E24,Bausteine!$A$2:$AS$46,11,FALSE))</f>
        <v/>
      </c>
      <c r="W24">
        <f>IF(Y24&lt;&gt;"OK","",ROUND(MIN(IF(C24="",0,VLOOKUP(C24,Bausteine!$A$2:$AS$46,21,FALSE)),IF(C24="",0,VLOOKUP(C24,Bausteine!$A$2:$AS$46,20,FALSE))*(V24/T24/(IF(C24="",0,VLOOKUP(C24,Bausteine!$A$2:$AS$46,19,FALSE))/IF(C24="",0,VLOOKUP(C24,Bausteine!$A$2:$AS$46,18,FALSE))))^Parameter!$B$3),0))</f>
        <v/>
      </c>
      <c r="X24">
        <f>IF(F24="",0,VLOOKUP(F24,Bausteine!$A$2:$AS$46,14,FALSE))</f>
        <v/>
      </c>
      <c r="Y24">
        <f>IFERROR(IF(OR(AD24&lt;=0,AD24&gt;1,R24&lt;=0,T24&lt;=0,V24&lt;=0,U24&gt;IF(E24="",0,VLOOKUP(E24,Bausteine!$A$2:$AS$46,12,FALSE)),T24&gt;IF(C24="",0,VLOOKUP(C24,Bausteine!$A$2:$AS$46,22,FALSE)),IF(E24="",0,VLOOKUP(E24,Bausteine!$A$2:$AS$46,11,FALSE))&lt;=0,IF(E24="",0,VLOOKUP(E24,Bausteine!$A$2:$AS$46,11,FALSE))&gt;1),"UNGUELTIG","OK"),"FEHLER")</f>
        <v/>
      </c>
      <c r="Z24" t="n">
        <v>600</v>
      </c>
      <c r="AA24" t="n">
        <v>103</v>
      </c>
      <c r="AB24" t="inlineStr">
        <is>
          <t>Normal non-deployed, no Black Napalm. Full Firewall behavior not modeled.</t>
        </is>
      </c>
      <c r="AC24" t="inlineStr"/>
      <c r="AD24">
        <f>IF(AC24="",1,IF(AC24="",0,VLOOKUP(AC24,Bausteine!$A$2:$AS$46,37,FALSE))/100)</f>
        <v/>
      </c>
      <c r="AE24">
        <f>P24*AD24</f>
        <v/>
      </c>
      <c r="AF24" t="inlineStr"/>
      <c r="AG24" t="inlineStr"/>
      <c r="AH24" t="inlineStr"/>
      <c r="AI24">
        <f>SUMIF(Startbesatzung!$A$2:$A$7,A24,Startbesatzung!$D$2:$D$7)</f>
        <v/>
      </c>
      <c r="AJ24">
        <f>SUMIF(Startbesatzung!$A$2:$A$7,A24,Startbesatzung!$E$2:$E$7)</f>
        <v/>
      </c>
      <c r="AK24">
        <f>MAX(0,IF(Startbesatzung!A2=A24,Startbesatzung!G2,0),IF(Startbesatzung!A3=A24,Startbesatzung!G3,0),IF(Startbesatzung!A4=A24,Startbesatzung!G4,0),IF(Startbesatzung!A5=A24,Startbesatzung!G5,0),IF(Startbesatzung!A6=A24,Startbesatzung!G6,0),IF(Startbesatzung!A7=A24,Startbesatzung!G7,0))</f>
        <v/>
      </c>
      <c r="AL24">
        <f>IF(AF24="","",IF(IF(AH24="",0,VLOOKUP(AH24,Bausteine!$A$2:$AS$46,38,FALSE))&gt;0,IF(AH24="",0,VLOOKUP(AH24,Bausteine!$A$2:$AS$46,38,FALSE)),IF(AG24="",0,VLOOKUP(AG24,Bausteine!$A$2:$AS$46,28,FALSE))))</f>
        <v/>
      </c>
      <c r="AM24">
        <f>IF(AF24="","",IF(AG24="",0,VLOOKUP(AG24,Bausteine!$A$2:$AS$46,44,FALSE)))</f>
        <v/>
      </c>
      <c r="AN24">
        <f>IF(AF24="","",IF(AF24="",0,VLOOKUP(AF24,Bausteine!$A$2:$AS$46,27,FALSE)))</f>
        <v/>
      </c>
      <c r="AO24">
        <f>IF(AF24="","",IF(AF24="",0,VLOOKUP(AF24,Bausteine!$A$2:$AS$46,25,FALSE)))</f>
        <v/>
      </c>
      <c r="AP24">
        <f>IF(AF24="","",IF(AH24="",0,VLOOKUP(AH24,Bausteine!$A$2:$AS$46,29,FALSE)))</f>
        <v/>
      </c>
    </row>
    <row r="25">
      <c r="A25" t="inlineStr">
        <is>
          <t>Dragon Tank PDL</t>
        </is>
      </c>
      <c r="B25" t="inlineStr">
        <is>
          <t>china</t>
        </is>
      </c>
      <c r="C25" t="inlineStr">
        <is>
          <t>dragon-chassis</t>
        </is>
      </c>
      <c r="D25" t="inlineStr">
        <is>
          <t>diesel-large</t>
        </is>
      </c>
      <c r="E25" t="inlineStr">
        <is>
          <t>efficient-generator</t>
        </is>
      </c>
      <c r="F25" t="inlineStr">
        <is>
          <t>heavy</t>
        </is>
      </c>
      <c r="G25" t="inlineStr">
        <is>
          <t>flame-turret</t>
        </is>
      </c>
      <c r="H25" t="inlineStr">
        <is>
          <t>dragon-flamer</t>
        </is>
      </c>
      <c r="I25" t="inlineStr">
        <is>
          <t>flame-fuel</t>
        </is>
      </c>
      <c r="J25" t="inlineStr">
        <is>
          <t>pdl</t>
        </is>
      </c>
      <c r="K25" t="inlineStr"/>
      <c r="L25" t="inlineStr"/>
      <c r="M25">
        <f>IF(C25="",0,VLOOKUP(C25,Bausteine!$A$2:$AS$46,4,FALSE))+IF(D25="",0,VLOOKUP(D25,Bausteine!$A$2:$AS$46,4,FALSE))+IF(E25="",0,VLOOKUP(E25,Bausteine!$A$2:$AS$46,4,FALSE))+IF(F25="",0,VLOOKUP(F25,Bausteine!$A$2:$AS$46,4,FALSE))+IF(G25="",0,VLOOKUP(G25,Bausteine!$A$2:$AS$46,4,FALSE))+IF(H25="",0,VLOOKUP(H25,Bausteine!$A$2:$AS$46,4,FALSE))+IF(I25="",0,VLOOKUP(I25,Bausteine!$A$2:$AS$46,4,FALSE))+IF(J25="",0,VLOOKUP(J25,Bausteine!$A$2:$AS$46,4,FALSE))+IF(K25="",0,VLOOKUP(K25,Bausteine!$A$2:$AS$46,4,FALSE))+IF(L25="",0,VLOOKUP(L25,Bausteine!$A$2:$AS$46,4,FALSE))+IF(AC25="",0,VLOOKUP(AC25,Bausteine!$A$2:$AS$46,4,FALSE))+IF(AF25="",0,VLOOKUP(AF25,Bausteine!$A$2:$AS$46,4,FALSE))+IF(AG25="",0,VLOOKUP(AG25,Bausteine!$A$2:$AS$46,4,FALSE))+IF(AH25="",0,VLOOKUP(AH25,Bausteine!$A$2:$AS$46,4,FALSE))</f>
        <v/>
      </c>
      <c r="N25">
        <f>IF(C25="",0,VLOOKUP(C25,Bausteine!$A$2:$AS$46,5,FALSE))+IF(D25="",0,VLOOKUP(D25,Bausteine!$A$2:$AS$46,5,FALSE))+IF(E25="",0,VLOOKUP(E25,Bausteine!$A$2:$AS$46,5,FALSE))+IF(F25="",0,VLOOKUP(F25,Bausteine!$A$2:$AS$46,5,FALSE))+IF(G25="",0,VLOOKUP(G25,Bausteine!$A$2:$AS$46,5,FALSE))+IF(H25="",0,VLOOKUP(H25,Bausteine!$A$2:$AS$46,5,FALSE))+IF(I25="",0,VLOOKUP(I25,Bausteine!$A$2:$AS$46,5,FALSE))+IF(J25="",0,VLOOKUP(J25,Bausteine!$A$2:$AS$46,5,FALSE))+IF(K25="",0,VLOOKUP(K25,Bausteine!$A$2:$AS$46,5,FALSE))+IF(L25="",0,VLOOKUP(L25,Bausteine!$A$2:$AS$46,5,FALSE))+IF(AC25="",0,VLOOKUP(AC25,Bausteine!$A$2:$AS$46,5,FALSE))+IF(AF25="",0,VLOOKUP(AF25,Bausteine!$A$2:$AS$46,5,FALSE))+IF(AG25="",0,VLOOKUP(AG25,Bausteine!$A$2:$AS$46,5,FALSE))+IF(AH25="",0,VLOOKUP(AH25,Bausteine!$A$2:$AS$46,5,FALSE))</f>
        <v/>
      </c>
      <c r="O25">
        <f>MAX(IF(C25="",0,VLOOKUP(C25,Bausteine!$A$2:$AS$46,6,FALSE)),IF(D25="",0,VLOOKUP(D25,Bausteine!$A$2:$AS$46,6,FALSE)),IF(E25="",0,VLOOKUP(E25,Bausteine!$A$2:$AS$46,6,FALSE)),IF(F25="",0,VLOOKUP(F25,Bausteine!$A$2:$AS$46,6,FALSE)),IF(G25="",0,VLOOKUP(G25,Bausteine!$A$2:$AS$46,6,FALSE)),IF(H25="",0,VLOOKUP(H25,Bausteine!$A$2:$AS$46,6,FALSE)),IF(I25="",0,VLOOKUP(I25,Bausteine!$A$2:$AS$46,6,FALSE)),IF(J25="",0,VLOOKUP(J25,Bausteine!$A$2:$AS$46,6,FALSE)),IF(K25="",0,VLOOKUP(K25,Bausteine!$A$2:$AS$46,6,FALSE)),IF(L25="",0,VLOOKUP(L25,Bausteine!$A$2:$AS$46,6,FALSE)),IF(AC25="",0,VLOOKUP(AC25,Bausteine!$A$2:$AS$46,6,FALSE)),IF(AF25="",0,VLOOKUP(AF25,Bausteine!$A$2:$AS$46,6,FALSE)),IF(AG25="",0,VLOOKUP(AG25,Bausteine!$A$2:$AS$46,6,FALSE)),IF(AH25="",0,VLOOKUP(AH25,Bausteine!$A$2:$AS$46,6,FALSE)),AK25)</f>
        <v/>
      </c>
      <c r="P25">
        <f>IF(C25="",0,VLOOKUP(C25,Bausteine!$A$2:$AS$46,7,FALSE))*IF(F25="",0,VLOOKUP(F25,Bausteine!$A$2:$AS$46,17,FALSE))/100+IF(D25="",0,VLOOKUP(D25,Bausteine!$A$2:$AS$46,7,FALSE))+IF(E25="",0,VLOOKUP(E25,Bausteine!$A$2:$AS$46,7,FALSE))+IF(G25="",0,VLOOKUP(G25,Bausteine!$A$2:$AS$46,7,FALSE))+IF(H25="",0,VLOOKUP(H25,Bausteine!$A$2:$AS$46,7,FALSE))+IF(I25="",0,VLOOKUP(I25,Bausteine!$A$2:$AS$46,7,FALSE))+IF(J25="",0,VLOOKUP(J25,Bausteine!$A$2:$AS$46,7,FALSE))+IF(K25="",0,VLOOKUP(K25,Bausteine!$A$2:$AS$46,7,FALSE))+IF(L25="",0,VLOOKUP(L25,Bausteine!$A$2:$AS$46,7,FALSE))+IF(AC25="",0,VLOOKUP(AC25,Bausteine!$A$2:$AS$46,7,FALSE))+IF(AF25="",0,VLOOKUP(AF25,Bausteine!$A$2:$AS$46,7,FALSE))+IF(AG25="",0,VLOOKUP(AG25,Bausteine!$A$2:$AS$46,7,FALSE))+IF(AH25="",0,VLOOKUP(AH25,Bausteine!$A$2:$AS$46,7,FALSE))+AI25</f>
        <v/>
      </c>
      <c r="Q25">
        <f>N25*Parameter!$B$2</f>
        <v/>
      </c>
      <c r="R25">
        <f>AE25-Q25</f>
        <v/>
      </c>
      <c r="S25">
        <f>IF(C25="",0,VLOOKUP(C25,Bausteine!$A$2:$AS$46,13,FALSE))*IF(F25="",0,VLOOKUP(F25,Bausteine!$A$2:$AS$46,16,FALSE))/100</f>
        <v/>
      </c>
      <c r="T25">
        <f>IF(C25="",0,VLOOKUP(C25,Bausteine!$A$2:$AS$46,8,FALSE))*IF(F25="",0,VLOOKUP(F25,Bausteine!$A$2:$AS$46,15,FALSE))/100+IF(D25="",0,VLOOKUP(D25,Bausteine!$A$2:$AS$46,8,FALSE))+IF(E25="",0,VLOOKUP(E25,Bausteine!$A$2:$AS$46,8,FALSE))+IF(G25="",0,VLOOKUP(G25,Bausteine!$A$2:$AS$46,8,FALSE))+IF(H25="",0,VLOOKUP(H25,Bausteine!$A$2:$AS$46,8,FALSE))+IF(I25="",0,VLOOKUP(I25,Bausteine!$A$2:$AS$46,8,FALSE))+IF(J25="",0,VLOOKUP(J25,Bausteine!$A$2:$AS$46,8,FALSE))+IF(K25="",0,VLOOKUP(K25,Bausteine!$A$2:$AS$46,8,FALSE))+IF(L25="",0,VLOOKUP(L25,Bausteine!$A$2:$AS$46,8,FALSE))+IF(AC25="",0,VLOOKUP(AC25,Bausteine!$A$2:$AS$46,8,FALSE))+IF(AF25="",0,VLOOKUP(AF25,Bausteine!$A$2:$AS$46,8,FALSE))+IF(AG25="",0,VLOOKUP(AG25,Bausteine!$A$2:$AS$46,8,FALSE))+IF(AH25="",0,VLOOKUP(AH25,Bausteine!$A$2:$AS$46,8,FALSE))+AJ25</f>
        <v/>
      </c>
      <c r="U25">
        <f>IF(C25="",0,VLOOKUP(C25,Bausteine!$A$2:$AS$46,9,FALSE))+IF(D25="",0,VLOOKUP(D25,Bausteine!$A$2:$AS$46,9,FALSE))+IF(E25="",0,VLOOKUP(E25,Bausteine!$A$2:$AS$46,9,FALSE))+IF(F25="",0,VLOOKUP(F25,Bausteine!$A$2:$AS$46,9,FALSE))+IF(G25="",0,VLOOKUP(G25,Bausteine!$A$2:$AS$46,9,FALSE))+IF(H25="",0,VLOOKUP(H25,Bausteine!$A$2:$AS$46,9,FALSE))+IF(I25="",0,VLOOKUP(I25,Bausteine!$A$2:$AS$46,9,FALSE))+IF(J25="",0,VLOOKUP(J25,Bausteine!$A$2:$AS$46,9,FALSE))+IF(K25="",0,VLOOKUP(K25,Bausteine!$A$2:$AS$46,9,FALSE))+IF(L25="",0,VLOOKUP(L25,Bausteine!$A$2:$AS$46,9,FALSE))+IF(AC25="",0,VLOOKUP(AC25,Bausteine!$A$2:$AS$46,9,FALSE))+IF(AF25="",0,VLOOKUP(AF25,Bausteine!$A$2:$AS$46,9,FALSE))+IF(AG25="",0,VLOOKUP(AG25,Bausteine!$A$2:$AS$46,9,FALSE))+IF(AH25="",0,VLOOKUP(AH25,Bausteine!$A$2:$AS$46,9,FALSE))</f>
        <v/>
      </c>
      <c r="V25">
        <f>IF(D25="",0,VLOOKUP(D25,Bausteine!$A$2:$AS$46,10,FALSE))-U25/IF(E25="",0,VLOOKUP(E25,Bausteine!$A$2:$AS$46,11,FALSE))</f>
        <v/>
      </c>
      <c r="W25">
        <f>IF(Y25&lt;&gt;"OK","",ROUND(MIN(IF(C25="",0,VLOOKUP(C25,Bausteine!$A$2:$AS$46,21,FALSE)),IF(C25="",0,VLOOKUP(C25,Bausteine!$A$2:$AS$46,20,FALSE))*(V25/T25/(IF(C25="",0,VLOOKUP(C25,Bausteine!$A$2:$AS$46,19,FALSE))/IF(C25="",0,VLOOKUP(C25,Bausteine!$A$2:$AS$46,18,FALSE))))^Parameter!$B$3),0))</f>
        <v/>
      </c>
      <c r="X25">
        <f>IF(F25="",0,VLOOKUP(F25,Bausteine!$A$2:$AS$46,14,FALSE))</f>
        <v/>
      </c>
      <c r="Y25">
        <f>IFERROR(IF(OR(AD25&lt;=0,AD25&gt;1,R25&lt;=0,T25&lt;=0,V25&lt;=0,U25&gt;IF(E25="",0,VLOOKUP(E25,Bausteine!$A$2:$AS$46,12,FALSE)),T25&gt;IF(C25="",0,VLOOKUP(C25,Bausteine!$A$2:$AS$46,22,FALSE)),IF(E25="",0,VLOOKUP(E25,Bausteine!$A$2:$AS$46,11,FALSE))&lt;=0,IF(E25="",0,VLOOKUP(E25,Bausteine!$A$2:$AS$46,11,FALSE))&gt;1),"UNGUELTIG","OK"),"FEHLER")</f>
        <v/>
      </c>
      <c r="Z25" t="n">
        <v>1250</v>
      </c>
      <c r="AA25" t="n">
        <v>103</v>
      </c>
      <c r="AB25" t="inlineStr">
        <is>
          <t>Existing shared PDL package; no family-specific discount.</t>
        </is>
      </c>
      <c r="AC25" t="inlineStr"/>
      <c r="AD25">
        <f>IF(AC25="",1,IF(AC25="",0,VLOOKUP(AC25,Bausteine!$A$2:$AS$46,37,FALSE))/100)</f>
        <v/>
      </c>
      <c r="AE25">
        <f>P25*AD25</f>
        <v/>
      </c>
      <c r="AF25" t="inlineStr"/>
      <c r="AG25" t="inlineStr"/>
      <c r="AH25" t="inlineStr"/>
      <c r="AI25">
        <f>SUMIF(Startbesatzung!$A$2:$A$7,A25,Startbesatzung!$D$2:$D$7)</f>
        <v/>
      </c>
      <c r="AJ25">
        <f>SUMIF(Startbesatzung!$A$2:$A$7,A25,Startbesatzung!$E$2:$E$7)</f>
        <v/>
      </c>
      <c r="AK25">
        <f>MAX(0,IF(Startbesatzung!A2=A25,Startbesatzung!G2,0),IF(Startbesatzung!A3=A25,Startbesatzung!G3,0),IF(Startbesatzung!A4=A25,Startbesatzung!G4,0),IF(Startbesatzung!A5=A25,Startbesatzung!G5,0),IF(Startbesatzung!A6=A25,Startbesatzung!G6,0),IF(Startbesatzung!A7=A25,Startbesatzung!G7,0))</f>
        <v/>
      </c>
      <c r="AL25">
        <f>IF(AF25="","",IF(IF(AH25="",0,VLOOKUP(AH25,Bausteine!$A$2:$AS$46,38,FALSE))&gt;0,IF(AH25="",0,VLOOKUP(AH25,Bausteine!$A$2:$AS$46,38,FALSE)),IF(AG25="",0,VLOOKUP(AG25,Bausteine!$A$2:$AS$46,28,FALSE))))</f>
        <v/>
      </c>
      <c r="AM25">
        <f>IF(AF25="","",IF(AG25="",0,VLOOKUP(AG25,Bausteine!$A$2:$AS$46,44,FALSE)))</f>
        <v/>
      </c>
      <c r="AN25">
        <f>IF(AF25="","",IF(AF25="",0,VLOOKUP(AF25,Bausteine!$A$2:$AS$46,27,FALSE)))</f>
        <v/>
      </c>
      <c r="AO25">
        <f>IF(AF25="","",IF(AF25="",0,VLOOKUP(AF25,Bausteine!$A$2:$AS$46,25,FALSE)))</f>
        <v/>
      </c>
      <c r="AP25">
        <f>IF(AF25="","",IF(AH25="",0,VLOOKUP(AH25,Bausteine!$A$2:$AS$46,29,FALSE)))</f>
        <v/>
      </c>
    </row>
    <row r="26">
      <c r="A26" t="inlineStr">
        <is>
          <t>Dragon Tank Reflector</t>
        </is>
      </c>
      <c r="B26" t="inlineStr">
        <is>
          <t>china</t>
        </is>
      </c>
      <c r="C26" t="inlineStr">
        <is>
          <t>dragon-chassis</t>
        </is>
      </c>
      <c r="D26" t="inlineStr">
        <is>
          <t>diesel-large</t>
        </is>
      </c>
      <c r="E26" t="inlineStr">
        <is>
          <t>efficient-generator</t>
        </is>
      </c>
      <c r="F26" t="inlineStr">
        <is>
          <t>reflector</t>
        </is>
      </c>
      <c r="G26" t="inlineStr">
        <is>
          <t>flame-turret</t>
        </is>
      </c>
      <c r="H26" t="inlineStr">
        <is>
          <t>dragon-flamer</t>
        </is>
      </c>
      <c r="I26" t="inlineStr">
        <is>
          <t>flame-fuel</t>
        </is>
      </c>
      <c r="J26" t="inlineStr"/>
      <c r="K26" t="inlineStr"/>
      <c r="L26" t="inlineStr"/>
      <c r="M26">
        <f>IF(C26="",0,VLOOKUP(C26,Bausteine!$A$2:$AS$46,4,FALSE))+IF(D26="",0,VLOOKUP(D26,Bausteine!$A$2:$AS$46,4,FALSE))+IF(E26="",0,VLOOKUP(E26,Bausteine!$A$2:$AS$46,4,FALSE))+IF(F26="",0,VLOOKUP(F26,Bausteine!$A$2:$AS$46,4,FALSE))+IF(G26="",0,VLOOKUP(G26,Bausteine!$A$2:$AS$46,4,FALSE))+IF(H26="",0,VLOOKUP(H26,Bausteine!$A$2:$AS$46,4,FALSE))+IF(I26="",0,VLOOKUP(I26,Bausteine!$A$2:$AS$46,4,FALSE))+IF(J26="",0,VLOOKUP(J26,Bausteine!$A$2:$AS$46,4,FALSE))+IF(K26="",0,VLOOKUP(K26,Bausteine!$A$2:$AS$46,4,FALSE))+IF(L26="",0,VLOOKUP(L26,Bausteine!$A$2:$AS$46,4,FALSE))+IF(AC26="",0,VLOOKUP(AC26,Bausteine!$A$2:$AS$46,4,FALSE))+IF(AF26="",0,VLOOKUP(AF26,Bausteine!$A$2:$AS$46,4,FALSE))+IF(AG26="",0,VLOOKUP(AG26,Bausteine!$A$2:$AS$46,4,FALSE))+IF(AH26="",0,VLOOKUP(AH26,Bausteine!$A$2:$AS$46,4,FALSE))</f>
        <v/>
      </c>
      <c r="N26">
        <f>IF(C26="",0,VLOOKUP(C26,Bausteine!$A$2:$AS$46,5,FALSE))+IF(D26="",0,VLOOKUP(D26,Bausteine!$A$2:$AS$46,5,FALSE))+IF(E26="",0,VLOOKUP(E26,Bausteine!$A$2:$AS$46,5,FALSE))+IF(F26="",0,VLOOKUP(F26,Bausteine!$A$2:$AS$46,5,FALSE))+IF(G26="",0,VLOOKUP(G26,Bausteine!$A$2:$AS$46,5,FALSE))+IF(H26="",0,VLOOKUP(H26,Bausteine!$A$2:$AS$46,5,FALSE))+IF(I26="",0,VLOOKUP(I26,Bausteine!$A$2:$AS$46,5,FALSE))+IF(J26="",0,VLOOKUP(J26,Bausteine!$A$2:$AS$46,5,FALSE))+IF(K26="",0,VLOOKUP(K26,Bausteine!$A$2:$AS$46,5,FALSE))+IF(L26="",0,VLOOKUP(L26,Bausteine!$A$2:$AS$46,5,FALSE))+IF(AC26="",0,VLOOKUP(AC26,Bausteine!$A$2:$AS$46,5,FALSE))+IF(AF26="",0,VLOOKUP(AF26,Bausteine!$A$2:$AS$46,5,FALSE))+IF(AG26="",0,VLOOKUP(AG26,Bausteine!$A$2:$AS$46,5,FALSE))+IF(AH26="",0,VLOOKUP(AH26,Bausteine!$A$2:$AS$46,5,FALSE))</f>
        <v/>
      </c>
      <c r="O26">
        <f>MAX(IF(C26="",0,VLOOKUP(C26,Bausteine!$A$2:$AS$46,6,FALSE)),IF(D26="",0,VLOOKUP(D26,Bausteine!$A$2:$AS$46,6,FALSE)),IF(E26="",0,VLOOKUP(E26,Bausteine!$A$2:$AS$46,6,FALSE)),IF(F26="",0,VLOOKUP(F26,Bausteine!$A$2:$AS$46,6,FALSE)),IF(G26="",0,VLOOKUP(G26,Bausteine!$A$2:$AS$46,6,FALSE)),IF(H26="",0,VLOOKUP(H26,Bausteine!$A$2:$AS$46,6,FALSE)),IF(I26="",0,VLOOKUP(I26,Bausteine!$A$2:$AS$46,6,FALSE)),IF(J26="",0,VLOOKUP(J26,Bausteine!$A$2:$AS$46,6,FALSE)),IF(K26="",0,VLOOKUP(K26,Bausteine!$A$2:$AS$46,6,FALSE)),IF(L26="",0,VLOOKUP(L26,Bausteine!$A$2:$AS$46,6,FALSE)),IF(AC26="",0,VLOOKUP(AC26,Bausteine!$A$2:$AS$46,6,FALSE)),IF(AF26="",0,VLOOKUP(AF26,Bausteine!$A$2:$AS$46,6,FALSE)),IF(AG26="",0,VLOOKUP(AG26,Bausteine!$A$2:$AS$46,6,FALSE)),IF(AH26="",0,VLOOKUP(AH26,Bausteine!$A$2:$AS$46,6,FALSE)),AK26)</f>
        <v/>
      </c>
      <c r="P26">
        <f>IF(C26="",0,VLOOKUP(C26,Bausteine!$A$2:$AS$46,7,FALSE))*IF(F26="",0,VLOOKUP(F26,Bausteine!$A$2:$AS$46,17,FALSE))/100+IF(D26="",0,VLOOKUP(D26,Bausteine!$A$2:$AS$46,7,FALSE))+IF(E26="",0,VLOOKUP(E26,Bausteine!$A$2:$AS$46,7,FALSE))+IF(G26="",0,VLOOKUP(G26,Bausteine!$A$2:$AS$46,7,FALSE))+IF(H26="",0,VLOOKUP(H26,Bausteine!$A$2:$AS$46,7,FALSE))+IF(I26="",0,VLOOKUP(I26,Bausteine!$A$2:$AS$46,7,FALSE))+IF(J26="",0,VLOOKUP(J26,Bausteine!$A$2:$AS$46,7,FALSE))+IF(K26="",0,VLOOKUP(K26,Bausteine!$A$2:$AS$46,7,FALSE))+IF(L26="",0,VLOOKUP(L26,Bausteine!$A$2:$AS$46,7,FALSE))+IF(AC26="",0,VLOOKUP(AC26,Bausteine!$A$2:$AS$46,7,FALSE))+IF(AF26="",0,VLOOKUP(AF26,Bausteine!$A$2:$AS$46,7,FALSE))+IF(AG26="",0,VLOOKUP(AG26,Bausteine!$A$2:$AS$46,7,FALSE))+IF(AH26="",0,VLOOKUP(AH26,Bausteine!$A$2:$AS$46,7,FALSE))+AI26</f>
        <v/>
      </c>
      <c r="Q26">
        <f>N26*Parameter!$B$2</f>
        <v/>
      </c>
      <c r="R26">
        <f>AE26-Q26</f>
        <v/>
      </c>
      <c r="S26">
        <f>IF(C26="",0,VLOOKUP(C26,Bausteine!$A$2:$AS$46,13,FALSE))*IF(F26="",0,VLOOKUP(F26,Bausteine!$A$2:$AS$46,16,FALSE))/100</f>
        <v/>
      </c>
      <c r="T26">
        <f>IF(C26="",0,VLOOKUP(C26,Bausteine!$A$2:$AS$46,8,FALSE))*IF(F26="",0,VLOOKUP(F26,Bausteine!$A$2:$AS$46,15,FALSE))/100+IF(D26="",0,VLOOKUP(D26,Bausteine!$A$2:$AS$46,8,FALSE))+IF(E26="",0,VLOOKUP(E26,Bausteine!$A$2:$AS$46,8,FALSE))+IF(G26="",0,VLOOKUP(G26,Bausteine!$A$2:$AS$46,8,FALSE))+IF(H26="",0,VLOOKUP(H26,Bausteine!$A$2:$AS$46,8,FALSE))+IF(I26="",0,VLOOKUP(I26,Bausteine!$A$2:$AS$46,8,FALSE))+IF(J26="",0,VLOOKUP(J26,Bausteine!$A$2:$AS$46,8,FALSE))+IF(K26="",0,VLOOKUP(K26,Bausteine!$A$2:$AS$46,8,FALSE))+IF(L26="",0,VLOOKUP(L26,Bausteine!$A$2:$AS$46,8,FALSE))+IF(AC26="",0,VLOOKUP(AC26,Bausteine!$A$2:$AS$46,8,FALSE))+IF(AF26="",0,VLOOKUP(AF26,Bausteine!$A$2:$AS$46,8,FALSE))+IF(AG26="",0,VLOOKUP(AG26,Bausteine!$A$2:$AS$46,8,FALSE))+IF(AH26="",0,VLOOKUP(AH26,Bausteine!$A$2:$AS$46,8,FALSE))+AJ26</f>
        <v/>
      </c>
      <c r="U26">
        <f>IF(C26="",0,VLOOKUP(C26,Bausteine!$A$2:$AS$46,9,FALSE))+IF(D26="",0,VLOOKUP(D26,Bausteine!$A$2:$AS$46,9,FALSE))+IF(E26="",0,VLOOKUP(E26,Bausteine!$A$2:$AS$46,9,FALSE))+IF(F26="",0,VLOOKUP(F26,Bausteine!$A$2:$AS$46,9,FALSE))+IF(G26="",0,VLOOKUP(G26,Bausteine!$A$2:$AS$46,9,FALSE))+IF(H26="",0,VLOOKUP(H26,Bausteine!$A$2:$AS$46,9,FALSE))+IF(I26="",0,VLOOKUP(I26,Bausteine!$A$2:$AS$46,9,FALSE))+IF(J26="",0,VLOOKUP(J26,Bausteine!$A$2:$AS$46,9,FALSE))+IF(K26="",0,VLOOKUP(K26,Bausteine!$A$2:$AS$46,9,FALSE))+IF(L26="",0,VLOOKUP(L26,Bausteine!$A$2:$AS$46,9,FALSE))+IF(AC26="",0,VLOOKUP(AC26,Bausteine!$A$2:$AS$46,9,FALSE))+IF(AF26="",0,VLOOKUP(AF26,Bausteine!$A$2:$AS$46,9,FALSE))+IF(AG26="",0,VLOOKUP(AG26,Bausteine!$A$2:$AS$46,9,FALSE))+IF(AH26="",0,VLOOKUP(AH26,Bausteine!$A$2:$AS$46,9,FALSE))</f>
        <v/>
      </c>
      <c r="V26">
        <f>IF(D26="",0,VLOOKUP(D26,Bausteine!$A$2:$AS$46,10,FALSE))-U26/IF(E26="",0,VLOOKUP(E26,Bausteine!$A$2:$AS$46,11,FALSE))</f>
        <v/>
      </c>
      <c r="W26">
        <f>IF(Y26&lt;&gt;"OK","",ROUND(MIN(IF(C26="",0,VLOOKUP(C26,Bausteine!$A$2:$AS$46,21,FALSE)),IF(C26="",0,VLOOKUP(C26,Bausteine!$A$2:$AS$46,20,FALSE))*(V26/T26/(IF(C26="",0,VLOOKUP(C26,Bausteine!$A$2:$AS$46,19,FALSE))/IF(C26="",0,VLOOKUP(C26,Bausteine!$A$2:$AS$46,18,FALSE))))^Parameter!$B$3),0))</f>
        <v/>
      </c>
      <c r="X26">
        <f>IF(F26="",0,VLOOKUP(F26,Bausteine!$A$2:$AS$46,14,FALSE))</f>
        <v/>
      </c>
      <c r="Y26">
        <f>IFERROR(IF(OR(AD26&lt;=0,AD26&gt;1,R26&lt;=0,T26&lt;=0,V26&lt;=0,U26&gt;IF(E26="",0,VLOOKUP(E26,Bausteine!$A$2:$AS$46,12,FALSE)),T26&gt;IF(C26="",0,VLOOKUP(C26,Bausteine!$A$2:$AS$46,22,FALSE)),IF(E26="",0,VLOOKUP(E26,Bausteine!$A$2:$AS$46,11,FALSE))&lt;=0,IF(E26="",0,VLOOKUP(E26,Bausteine!$A$2:$AS$46,11,FALSE))&gt;1),"UNGUELTIG","OK"),"FEHLER")</f>
        <v/>
      </c>
      <c r="Z26" t="n">
        <v>600</v>
      </c>
      <c r="AA26" t="n">
        <v>103</v>
      </c>
      <c r="AB26" t="inlineStr"/>
      <c r="AC26" t="inlineStr"/>
      <c r="AD26">
        <f>IF(AC26="",1,IF(AC26="",0,VLOOKUP(AC26,Bausteine!$A$2:$AS$46,37,FALSE))/100)</f>
        <v/>
      </c>
      <c r="AE26">
        <f>P26*AD26</f>
        <v/>
      </c>
      <c r="AF26" t="inlineStr"/>
      <c r="AG26" t="inlineStr"/>
      <c r="AH26" t="inlineStr"/>
      <c r="AI26">
        <f>SUMIF(Startbesatzung!$A$2:$A$7,A26,Startbesatzung!$D$2:$D$7)</f>
        <v/>
      </c>
      <c r="AJ26">
        <f>SUMIF(Startbesatzung!$A$2:$A$7,A26,Startbesatzung!$E$2:$E$7)</f>
        <v/>
      </c>
      <c r="AK26">
        <f>MAX(0,IF(Startbesatzung!A2=A26,Startbesatzung!G2,0),IF(Startbesatzung!A3=A26,Startbesatzung!G3,0),IF(Startbesatzung!A4=A26,Startbesatzung!G4,0),IF(Startbesatzung!A5=A26,Startbesatzung!G5,0),IF(Startbesatzung!A6=A26,Startbesatzung!G6,0),IF(Startbesatzung!A7=A26,Startbesatzung!G7,0))</f>
        <v/>
      </c>
      <c r="AL26">
        <f>IF(AF26="","",IF(IF(AH26="",0,VLOOKUP(AH26,Bausteine!$A$2:$AS$46,38,FALSE))&gt;0,IF(AH26="",0,VLOOKUP(AH26,Bausteine!$A$2:$AS$46,38,FALSE)),IF(AG26="",0,VLOOKUP(AG26,Bausteine!$A$2:$AS$46,28,FALSE))))</f>
        <v/>
      </c>
      <c r="AM26">
        <f>IF(AF26="","",IF(AG26="",0,VLOOKUP(AG26,Bausteine!$A$2:$AS$46,44,FALSE)))</f>
        <v/>
      </c>
      <c r="AN26">
        <f>IF(AF26="","",IF(AF26="",0,VLOOKUP(AF26,Bausteine!$A$2:$AS$46,27,FALSE)))</f>
        <v/>
      </c>
      <c r="AO26">
        <f>IF(AF26="","",IF(AF26="",0,VLOOKUP(AF26,Bausteine!$A$2:$AS$46,25,FALSE)))</f>
        <v/>
      </c>
      <c r="AP26">
        <f>IF(AF26="","",IF(AH26="",0,VLOOKUP(AH26,Bausteine!$A$2:$AS$46,29,FALSE)))</f>
        <v/>
      </c>
    </row>
    <row r="27">
      <c r="A27" t="inlineStr">
        <is>
          <t>Gatling Tank</t>
        </is>
      </c>
      <c r="B27" t="inlineStr">
        <is>
          <t>china</t>
        </is>
      </c>
      <c r="C27" t="inlineStr">
        <is>
          <t>gatling-chassis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gatling-turret</t>
        </is>
      </c>
      <c r="H27" t="inlineStr">
        <is>
          <t>gatling-gun</t>
        </is>
      </c>
      <c r="I27" t="inlineStr">
        <is>
          <t>gatling-rounds</t>
        </is>
      </c>
      <c r="J27" t="inlineStr"/>
      <c r="K27" t="inlineStr"/>
      <c r="L27" t="inlineStr"/>
      <c r="M27">
        <f>IF(C27="",0,VLOOKUP(C27,Bausteine!$A$2:$AS$46,4,FALSE))+IF(D27="",0,VLOOKUP(D27,Bausteine!$A$2:$AS$46,4,FALSE))+IF(E27="",0,VLOOKUP(E27,Bausteine!$A$2:$AS$46,4,FALSE))+IF(F27="",0,VLOOKUP(F27,Bausteine!$A$2:$AS$46,4,FALSE))+IF(G27="",0,VLOOKUP(G27,Bausteine!$A$2:$AS$46,4,FALSE))+IF(H27="",0,VLOOKUP(H27,Bausteine!$A$2:$AS$46,4,FALSE))+IF(I27="",0,VLOOKUP(I27,Bausteine!$A$2:$AS$46,4,FALSE))+IF(J27="",0,VLOOKUP(J27,Bausteine!$A$2:$AS$46,4,FALSE))+IF(K27="",0,VLOOKUP(K27,Bausteine!$A$2:$AS$46,4,FALSE))+IF(L27="",0,VLOOKUP(L27,Bausteine!$A$2:$AS$46,4,FALSE))+IF(AC27="",0,VLOOKUP(AC27,Bausteine!$A$2:$AS$46,4,FALSE))+IF(AF27="",0,VLOOKUP(AF27,Bausteine!$A$2:$AS$46,4,FALSE))+IF(AG27="",0,VLOOKUP(AG27,Bausteine!$A$2:$AS$46,4,FALSE))+IF(AH27="",0,VLOOKUP(AH27,Bausteine!$A$2:$AS$46,4,FALSE))</f>
        <v/>
      </c>
      <c r="N27">
        <f>IF(C27="",0,VLOOKUP(C27,Bausteine!$A$2:$AS$46,5,FALSE))+IF(D27="",0,VLOOKUP(D27,Bausteine!$A$2:$AS$46,5,FALSE))+IF(E27="",0,VLOOKUP(E27,Bausteine!$A$2:$AS$46,5,FALSE))+IF(F27="",0,VLOOKUP(F27,Bausteine!$A$2:$AS$46,5,FALSE))+IF(G27="",0,VLOOKUP(G27,Bausteine!$A$2:$AS$46,5,FALSE))+IF(H27="",0,VLOOKUP(H27,Bausteine!$A$2:$AS$46,5,FALSE))+IF(I27="",0,VLOOKUP(I27,Bausteine!$A$2:$AS$46,5,FALSE))+IF(J27="",0,VLOOKUP(J27,Bausteine!$A$2:$AS$46,5,FALSE))+IF(K27="",0,VLOOKUP(K27,Bausteine!$A$2:$AS$46,5,FALSE))+IF(L27="",0,VLOOKUP(L27,Bausteine!$A$2:$AS$46,5,FALSE))+IF(AC27="",0,VLOOKUP(AC27,Bausteine!$A$2:$AS$46,5,FALSE))+IF(AF27="",0,VLOOKUP(AF27,Bausteine!$A$2:$AS$46,5,FALSE))+IF(AG27="",0,VLOOKUP(AG27,Bausteine!$A$2:$AS$46,5,FALSE))+IF(AH27="",0,VLOOKUP(AH27,Bausteine!$A$2:$AS$46,5,FALSE))</f>
        <v/>
      </c>
      <c r="O27">
        <f>MAX(IF(C27="",0,VLOOKUP(C27,Bausteine!$A$2:$AS$46,6,FALSE)),IF(D27="",0,VLOOKUP(D27,Bausteine!$A$2:$AS$46,6,FALSE)),IF(E27="",0,VLOOKUP(E27,Bausteine!$A$2:$AS$46,6,FALSE)),IF(F27="",0,VLOOKUP(F27,Bausteine!$A$2:$AS$46,6,FALSE)),IF(G27="",0,VLOOKUP(G27,Bausteine!$A$2:$AS$46,6,FALSE)),IF(H27="",0,VLOOKUP(H27,Bausteine!$A$2:$AS$46,6,FALSE)),IF(I27="",0,VLOOKUP(I27,Bausteine!$A$2:$AS$46,6,FALSE)),IF(J27="",0,VLOOKUP(J27,Bausteine!$A$2:$AS$46,6,FALSE)),IF(K27="",0,VLOOKUP(K27,Bausteine!$A$2:$AS$46,6,FALSE)),IF(L27="",0,VLOOKUP(L27,Bausteine!$A$2:$AS$46,6,FALSE)),IF(AC27="",0,VLOOKUP(AC27,Bausteine!$A$2:$AS$46,6,FALSE)),IF(AF27="",0,VLOOKUP(AF27,Bausteine!$A$2:$AS$46,6,FALSE)),IF(AG27="",0,VLOOKUP(AG27,Bausteine!$A$2:$AS$46,6,FALSE)),IF(AH27="",0,VLOOKUP(AH27,Bausteine!$A$2:$AS$46,6,FALSE)),AK27)</f>
        <v/>
      </c>
      <c r="P27">
        <f>IF(C27="",0,VLOOKUP(C27,Bausteine!$A$2:$AS$46,7,FALSE))*IF(F27="",0,VLOOKUP(F27,Bausteine!$A$2:$AS$46,17,FALSE))/100+IF(D27="",0,VLOOKUP(D27,Bausteine!$A$2:$AS$46,7,FALSE))+IF(E27="",0,VLOOKUP(E27,Bausteine!$A$2:$AS$46,7,FALSE))+IF(G27="",0,VLOOKUP(G27,Bausteine!$A$2:$AS$46,7,FALSE))+IF(H27="",0,VLOOKUP(H27,Bausteine!$A$2:$AS$46,7,FALSE))+IF(I27="",0,VLOOKUP(I27,Bausteine!$A$2:$AS$46,7,FALSE))+IF(J27="",0,VLOOKUP(J27,Bausteine!$A$2:$AS$46,7,FALSE))+IF(K27="",0,VLOOKUP(K27,Bausteine!$A$2:$AS$46,7,FALSE))+IF(L27="",0,VLOOKUP(L27,Bausteine!$A$2:$AS$46,7,FALSE))+IF(AC27="",0,VLOOKUP(AC27,Bausteine!$A$2:$AS$46,7,FALSE))+IF(AF27="",0,VLOOKUP(AF27,Bausteine!$A$2:$AS$46,7,FALSE))+IF(AG27="",0,VLOOKUP(AG27,Bausteine!$A$2:$AS$46,7,FALSE))+IF(AH27="",0,VLOOKUP(AH27,Bausteine!$A$2:$AS$46,7,FALSE))+AI27</f>
        <v/>
      </c>
      <c r="Q27">
        <f>N27*Parameter!$B$2</f>
        <v/>
      </c>
      <c r="R27">
        <f>AE27-Q27</f>
        <v/>
      </c>
      <c r="S27">
        <f>IF(C27="",0,VLOOKUP(C27,Bausteine!$A$2:$AS$46,13,FALSE))*IF(F27="",0,VLOOKUP(F27,Bausteine!$A$2:$AS$46,16,FALSE))/100</f>
        <v/>
      </c>
      <c r="T27">
        <f>IF(C27="",0,VLOOKUP(C27,Bausteine!$A$2:$AS$46,8,FALSE))*IF(F27="",0,VLOOKUP(F27,Bausteine!$A$2:$AS$46,15,FALSE))/100+IF(D27="",0,VLOOKUP(D27,Bausteine!$A$2:$AS$46,8,FALSE))+IF(E27="",0,VLOOKUP(E27,Bausteine!$A$2:$AS$46,8,FALSE))+IF(G27="",0,VLOOKUP(G27,Bausteine!$A$2:$AS$46,8,FALSE))+IF(H27="",0,VLOOKUP(H27,Bausteine!$A$2:$AS$46,8,FALSE))+IF(I27="",0,VLOOKUP(I27,Bausteine!$A$2:$AS$46,8,FALSE))+IF(J27="",0,VLOOKUP(J27,Bausteine!$A$2:$AS$46,8,FALSE))+IF(K27="",0,VLOOKUP(K27,Bausteine!$A$2:$AS$46,8,FALSE))+IF(L27="",0,VLOOKUP(L27,Bausteine!$A$2:$AS$46,8,FALSE))+IF(AC27="",0,VLOOKUP(AC27,Bausteine!$A$2:$AS$46,8,FALSE))+IF(AF27="",0,VLOOKUP(AF27,Bausteine!$A$2:$AS$46,8,FALSE))+IF(AG27="",0,VLOOKUP(AG27,Bausteine!$A$2:$AS$46,8,FALSE))+IF(AH27="",0,VLOOKUP(AH27,Bausteine!$A$2:$AS$46,8,FALSE))+AJ27</f>
        <v/>
      </c>
      <c r="U27">
        <f>IF(C27="",0,VLOOKUP(C27,Bausteine!$A$2:$AS$46,9,FALSE))+IF(D27="",0,VLOOKUP(D27,Bausteine!$A$2:$AS$46,9,FALSE))+IF(E27="",0,VLOOKUP(E27,Bausteine!$A$2:$AS$46,9,FALSE))+IF(F27="",0,VLOOKUP(F27,Bausteine!$A$2:$AS$46,9,FALSE))+IF(G27="",0,VLOOKUP(G27,Bausteine!$A$2:$AS$46,9,FALSE))+IF(H27="",0,VLOOKUP(H27,Bausteine!$A$2:$AS$46,9,FALSE))+IF(I27="",0,VLOOKUP(I27,Bausteine!$A$2:$AS$46,9,FALSE))+IF(J27="",0,VLOOKUP(J27,Bausteine!$A$2:$AS$46,9,FALSE))+IF(K27="",0,VLOOKUP(K27,Bausteine!$A$2:$AS$46,9,FALSE))+IF(L27="",0,VLOOKUP(L27,Bausteine!$A$2:$AS$46,9,FALSE))+IF(AC27="",0,VLOOKUP(AC27,Bausteine!$A$2:$AS$46,9,FALSE))+IF(AF27="",0,VLOOKUP(AF27,Bausteine!$A$2:$AS$46,9,FALSE))+IF(AG27="",0,VLOOKUP(AG27,Bausteine!$A$2:$AS$46,9,FALSE))+IF(AH27="",0,VLOOKUP(AH27,Bausteine!$A$2:$AS$46,9,FALSE))</f>
        <v/>
      </c>
      <c r="V27">
        <f>IF(D27="",0,VLOOKUP(D27,Bausteine!$A$2:$AS$46,10,FALSE))-U27/IF(E27="",0,VLOOKUP(E27,Bausteine!$A$2:$AS$46,11,FALSE))</f>
        <v/>
      </c>
      <c r="W27">
        <f>IF(Y27&lt;&gt;"OK","",ROUND(MIN(IF(C27="",0,VLOOKUP(C27,Bausteine!$A$2:$AS$46,21,FALSE)),IF(C27="",0,VLOOKUP(C27,Bausteine!$A$2:$AS$46,20,FALSE))*(V27/T27/(IF(C27="",0,VLOOKUP(C27,Bausteine!$A$2:$AS$46,19,FALSE))/IF(C27="",0,VLOOKUP(C27,Bausteine!$A$2:$AS$46,18,FALSE))))^Parameter!$B$3),0))</f>
        <v/>
      </c>
      <c r="X27">
        <f>IF(F27="",0,VLOOKUP(F27,Bausteine!$A$2:$AS$46,14,FALSE))</f>
        <v/>
      </c>
      <c r="Y27">
        <f>IFERROR(IF(OR(AD27&lt;=0,AD27&gt;1,R27&lt;=0,T27&lt;=0,V27&lt;=0,U27&gt;IF(E27="",0,VLOOKUP(E27,Bausteine!$A$2:$AS$46,12,FALSE)),T27&gt;IF(C27="",0,VLOOKUP(C27,Bausteine!$A$2:$AS$46,22,FALSE)),IF(E27="",0,VLOOKUP(E27,Bausteine!$A$2:$AS$46,11,FALSE))&lt;=0,IF(E27="",0,VLOOKUP(E27,Bausteine!$A$2:$AS$46,11,FALSE))&gt;1),"UNGUELTIG","OK"),"FEHLER")</f>
        <v/>
      </c>
      <c r="Z27" t="n">
        <v>800</v>
      </c>
      <c r="AA27" t="n">
        <v>108</v>
      </c>
      <c r="AB27" t="inlineStr">
        <is>
          <t>AA/ground spin-up and 6-cell sight override recorded, not implemented in calculator.</t>
        </is>
      </c>
      <c r="AC27" t="inlineStr"/>
      <c r="AD27">
        <f>IF(AC27="",1,IF(AC27="",0,VLOOKUP(AC27,Bausteine!$A$2:$AS$46,37,FALSE))/100)</f>
        <v/>
      </c>
      <c r="AE27">
        <f>P27*AD27</f>
        <v/>
      </c>
      <c r="AF27" t="inlineStr"/>
      <c r="AG27" t="inlineStr"/>
      <c r="AH27" t="inlineStr"/>
      <c r="AI27">
        <f>SUMIF(Startbesatzung!$A$2:$A$7,A27,Startbesatzung!$D$2:$D$7)</f>
        <v/>
      </c>
      <c r="AJ27">
        <f>SUMIF(Startbesatzung!$A$2:$A$7,A27,Startbesatzung!$E$2:$E$7)</f>
        <v/>
      </c>
      <c r="AK27">
        <f>MAX(0,IF(Startbesatzung!A2=A27,Startbesatzung!G2,0),IF(Startbesatzung!A3=A27,Startbesatzung!G3,0),IF(Startbesatzung!A4=A27,Startbesatzung!G4,0),IF(Startbesatzung!A5=A27,Startbesatzung!G5,0),IF(Startbesatzung!A6=A27,Startbesatzung!G6,0),IF(Startbesatzung!A7=A27,Startbesatzung!G7,0))</f>
        <v/>
      </c>
      <c r="AL27">
        <f>IF(AF27="","",IF(IF(AH27="",0,VLOOKUP(AH27,Bausteine!$A$2:$AS$46,38,FALSE))&gt;0,IF(AH27="",0,VLOOKUP(AH27,Bausteine!$A$2:$AS$46,38,FALSE)),IF(AG27="",0,VLOOKUP(AG27,Bausteine!$A$2:$AS$46,28,FALSE))))</f>
        <v/>
      </c>
      <c r="AM27">
        <f>IF(AF27="","",IF(AG27="",0,VLOOKUP(AG27,Bausteine!$A$2:$AS$46,44,FALSE)))</f>
        <v/>
      </c>
      <c r="AN27">
        <f>IF(AF27="","",IF(AF27="",0,VLOOKUP(AF27,Bausteine!$A$2:$AS$46,27,FALSE)))</f>
        <v/>
      </c>
      <c r="AO27">
        <f>IF(AF27="","",IF(AF27="",0,VLOOKUP(AF27,Bausteine!$A$2:$AS$46,25,FALSE)))</f>
        <v/>
      </c>
      <c r="AP27">
        <f>IF(AF27="","",IF(AH27="",0,VLOOKUP(AH27,Bausteine!$A$2:$AS$46,29,FALSE)))</f>
        <v/>
      </c>
    </row>
    <row r="28">
      <c r="A28" t="inlineStr">
        <is>
          <t>Gatling Tank PDL</t>
        </is>
      </c>
      <c r="B28" t="inlineStr">
        <is>
          <t>china</t>
        </is>
      </c>
      <c r="C28" t="inlineStr">
        <is>
          <t>gatling-chassis</t>
        </is>
      </c>
      <c r="D28" t="inlineStr">
        <is>
          <t>diesel-large</t>
        </is>
      </c>
      <c r="E28" t="inlineStr">
        <is>
          <t>efficient-generator</t>
        </is>
      </c>
      <c r="F28" t="inlineStr">
        <is>
          <t>heavy</t>
        </is>
      </c>
      <c r="G28" t="inlineStr">
        <is>
          <t>gatling-turret</t>
        </is>
      </c>
      <c r="H28" t="inlineStr">
        <is>
          <t>gatling-gun</t>
        </is>
      </c>
      <c r="I28" t="inlineStr">
        <is>
          <t>gatling-rounds</t>
        </is>
      </c>
      <c r="J28" t="inlineStr">
        <is>
          <t>pdl</t>
        </is>
      </c>
      <c r="K28" t="inlineStr"/>
      <c r="L28" t="inlineStr"/>
      <c r="M28">
        <f>IF(C28="",0,VLOOKUP(C28,Bausteine!$A$2:$AS$46,4,FALSE))+IF(D28="",0,VLOOKUP(D28,Bausteine!$A$2:$AS$46,4,FALSE))+IF(E28="",0,VLOOKUP(E28,Bausteine!$A$2:$AS$46,4,FALSE))+IF(F28="",0,VLOOKUP(F28,Bausteine!$A$2:$AS$46,4,FALSE))+IF(G28="",0,VLOOKUP(G28,Bausteine!$A$2:$AS$46,4,FALSE))+IF(H28="",0,VLOOKUP(H28,Bausteine!$A$2:$AS$46,4,FALSE))+IF(I28="",0,VLOOKUP(I28,Bausteine!$A$2:$AS$46,4,FALSE))+IF(J28="",0,VLOOKUP(J28,Bausteine!$A$2:$AS$46,4,FALSE))+IF(K28="",0,VLOOKUP(K28,Bausteine!$A$2:$AS$46,4,FALSE))+IF(L28="",0,VLOOKUP(L28,Bausteine!$A$2:$AS$46,4,FALSE))+IF(AC28="",0,VLOOKUP(AC28,Bausteine!$A$2:$AS$46,4,FALSE))+IF(AF28="",0,VLOOKUP(AF28,Bausteine!$A$2:$AS$46,4,FALSE))+IF(AG28="",0,VLOOKUP(AG28,Bausteine!$A$2:$AS$46,4,FALSE))+IF(AH28="",0,VLOOKUP(AH28,Bausteine!$A$2:$AS$46,4,FALSE))</f>
        <v/>
      </c>
      <c r="N28">
        <f>IF(C28="",0,VLOOKUP(C28,Bausteine!$A$2:$AS$46,5,FALSE))+IF(D28="",0,VLOOKUP(D28,Bausteine!$A$2:$AS$46,5,FALSE))+IF(E28="",0,VLOOKUP(E28,Bausteine!$A$2:$AS$46,5,FALSE))+IF(F28="",0,VLOOKUP(F28,Bausteine!$A$2:$AS$46,5,FALSE))+IF(G28="",0,VLOOKUP(G28,Bausteine!$A$2:$AS$46,5,FALSE))+IF(H28="",0,VLOOKUP(H28,Bausteine!$A$2:$AS$46,5,FALSE))+IF(I28="",0,VLOOKUP(I28,Bausteine!$A$2:$AS$46,5,FALSE))+IF(J28="",0,VLOOKUP(J28,Bausteine!$A$2:$AS$46,5,FALSE))+IF(K28="",0,VLOOKUP(K28,Bausteine!$A$2:$AS$46,5,FALSE))+IF(L28="",0,VLOOKUP(L28,Bausteine!$A$2:$AS$46,5,FALSE))+IF(AC28="",0,VLOOKUP(AC28,Bausteine!$A$2:$AS$46,5,FALSE))+IF(AF28="",0,VLOOKUP(AF28,Bausteine!$A$2:$AS$46,5,FALSE))+IF(AG28="",0,VLOOKUP(AG28,Bausteine!$A$2:$AS$46,5,FALSE))+IF(AH28="",0,VLOOKUP(AH28,Bausteine!$A$2:$AS$46,5,FALSE))</f>
        <v/>
      </c>
      <c r="O28">
        <f>MAX(IF(C28="",0,VLOOKUP(C28,Bausteine!$A$2:$AS$46,6,FALSE)),IF(D28="",0,VLOOKUP(D28,Bausteine!$A$2:$AS$46,6,FALSE)),IF(E28="",0,VLOOKUP(E28,Bausteine!$A$2:$AS$46,6,FALSE)),IF(F28="",0,VLOOKUP(F28,Bausteine!$A$2:$AS$46,6,FALSE)),IF(G28="",0,VLOOKUP(G28,Bausteine!$A$2:$AS$46,6,FALSE)),IF(H28="",0,VLOOKUP(H28,Bausteine!$A$2:$AS$46,6,FALSE)),IF(I28="",0,VLOOKUP(I28,Bausteine!$A$2:$AS$46,6,FALSE)),IF(J28="",0,VLOOKUP(J28,Bausteine!$A$2:$AS$46,6,FALSE)),IF(K28="",0,VLOOKUP(K28,Bausteine!$A$2:$AS$46,6,FALSE)),IF(L28="",0,VLOOKUP(L28,Bausteine!$A$2:$AS$46,6,FALSE)),IF(AC28="",0,VLOOKUP(AC28,Bausteine!$A$2:$AS$46,6,FALSE)),IF(AF28="",0,VLOOKUP(AF28,Bausteine!$A$2:$AS$46,6,FALSE)),IF(AG28="",0,VLOOKUP(AG28,Bausteine!$A$2:$AS$46,6,FALSE)),IF(AH28="",0,VLOOKUP(AH28,Bausteine!$A$2:$AS$46,6,FALSE)),AK28)</f>
        <v/>
      </c>
      <c r="P28">
        <f>IF(C28="",0,VLOOKUP(C28,Bausteine!$A$2:$AS$46,7,FALSE))*IF(F28="",0,VLOOKUP(F28,Bausteine!$A$2:$AS$46,17,FALSE))/100+IF(D28="",0,VLOOKUP(D28,Bausteine!$A$2:$AS$46,7,FALSE))+IF(E28="",0,VLOOKUP(E28,Bausteine!$A$2:$AS$46,7,FALSE))+IF(G28="",0,VLOOKUP(G28,Bausteine!$A$2:$AS$46,7,FALSE))+IF(H28="",0,VLOOKUP(H28,Bausteine!$A$2:$AS$46,7,FALSE))+IF(I28="",0,VLOOKUP(I28,Bausteine!$A$2:$AS$46,7,FALSE))+IF(J28="",0,VLOOKUP(J28,Bausteine!$A$2:$AS$46,7,FALSE))+IF(K28="",0,VLOOKUP(K28,Bausteine!$A$2:$AS$46,7,FALSE))+IF(L28="",0,VLOOKUP(L28,Bausteine!$A$2:$AS$46,7,FALSE))+IF(AC28="",0,VLOOKUP(AC28,Bausteine!$A$2:$AS$46,7,FALSE))+IF(AF28="",0,VLOOKUP(AF28,Bausteine!$A$2:$AS$46,7,FALSE))+IF(AG28="",0,VLOOKUP(AG28,Bausteine!$A$2:$AS$46,7,FALSE))+IF(AH28="",0,VLOOKUP(AH28,Bausteine!$A$2:$AS$46,7,FALSE))+AI28</f>
        <v/>
      </c>
      <c r="Q28">
        <f>N28*Parameter!$B$2</f>
        <v/>
      </c>
      <c r="R28">
        <f>AE28-Q28</f>
        <v/>
      </c>
      <c r="S28">
        <f>IF(C28="",0,VLOOKUP(C28,Bausteine!$A$2:$AS$46,13,FALSE))*IF(F28="",0,VLOOKUP(F28,Bausteine!$A$2:$AS$46,16,FALSE))/100</f>
        <v/>
      </c>
      <c r="T28">
        <f>IF(C28="",0,VLOOKUP(C28,Bausteine!$A$2:$AS$46,8,FALSE))*IF(F28="",0,VLOOKUP(F28,Bausteine!$A$2:$AS$46,15,FALSE))/100+IF(D28="",0,VLOOKUP(D28,Bausteine!$A$2:$AS$46,8,FALSE))+IF(E28="",0,VLOOKUP(E28,Bausteine!$A$2:$AS$46,8,FALSE))+IF(G28="",0,VLOOKUP(G28,Bausteine!$A$2:$AS$46,8,FALSE))+IF(H28="",0,VLOOKUP(H28,Bausteine!$A$2:$AS$46,8,FALSE))+IF(I28="",0,VLOOKUP(I28,Bausteine!$A$2:$AS$46,8,FALSE))+IF(J28="",0,VLOOKUP(J28,Bausteine!$A$2:$AS$46,8,FALSE))+IF(K28="",0,VLOOKUP(K28,Bausteine!$A$2:$AS$46,8,FALSE))+IF(L28="",0,VLOOKUP(L28,Bausteine!$A$2:$AS$46,8,FALSE))+IF(AC28="",0,VLOOKUP(AC28,Bausteine!$A$2:$AS$46,8,FALSE))+IF(AF28="",0,VLOOKUP(AF28,Bausteine!$A$2:$AS$46,8,FALSE))+IF(AG28="",0,VLOOKUP(AG28,Bausteine!$A$2:$AS$46,8,FALSE))+IF(AH28="",0,VLOOKUP(AH28,Bausteine!$A$2:$AS$46,8,FALSE))+AJ28</f>
        <v/>
      </c>
      <c r="U28">
        <f>IF(C28="",0,VLOOKUP(C28,Bausteine!$A$2:$AS$46,9,FALSE))+IF(D28="",0,VLOOKUP(D28,Bausteine!$A$2:$AS$46,9,FALSE))+IF(E28="",0,VLOOKUP(E28,Bausteine!$A$2:$AS$46,9,FALSE))+IF(F28="",0,VLOOKUP(F28,Bausteine!$A$2:$AS$46,9,FALSE))+IF(G28="",0,VLOOKUP(G28,Bausteine!$A$2:$AS$46,9,FALSE))+IF(H28="",0,VLOOKUP(H28,Bausteine!$A$2:$AS$46,9,FALSE))+IF(I28="",0,VLOOKUP(I28,Bausteine!$A$2:$AS$46,9,FALSE))+IF(J28="",0,VLOOKUP(J28,Bausteine!$A$2:$AS$46,9,FALSE))+IF(K28="",0,VLOOKUP(K28,Bausteine!$A$2:$AS$46,9,FALSE))+IF(L28="",0,VLOOKUP(L28,Bausteine!$A$2:$AS$46,9,FALSE))+IF(AC28="",0,VLOOKUP(AC28,Bausteine!$A$2:$AS$46,9,FALSE))+IF(AF28="",0,VLOOKUP(AF28,Bausteine!$A$2:$AS$46,9,FALSE))+IF(AG28="",0,VLOOKUP(AG28,Bausteine!$A$2:$AS$46,9,FALSE))+IF(AH28="",0,VLOOKUP(AH28,Bausteine!$A$2:$AS$46,9,FALSE))</f>
        <v/>
      </c>
      <c r="V28">
        <f>IF(D28="",0,VLOOKUP(D28,Bausteine!$A$2:$AS$46,10,FALSE))-U28/IF(E28="",0,VLOOKUP(E28,Bausteine!$A$2:$AS$46,11,FALSE))</f>
        <v/>
      </c>
      <c r="W28">
        <f>IF(Y28&lt;&gt;"OK","",ROUND(MIN(IF(C28="",0,VLOOKUP(C28,Bausteine!$A$2:$AS$46,21,FALSE)),IF(C28="",0,VLOOKUP(C28,Bausteine!$A$2:$AS$46,20,FALSE))*(V28/T28/(IF(C28="",0,VLOOKUP(C28,Bausteine!$A$2:$AS$46,19,FALSE))/IF(C28="",0,VLOOKUP(C28,Bausteine!$A$2:$AS$46,18,FALSE))))^Parameter!$B$3),0))</f>
        <v/>
      </c>
      <c r="X28">
        <f>IF(F28="",0,VLOOKUP(F28,Bausteine!$A$2:$AS$46,14,FALSE))</f>
        <v/>
      </c>
      <c r="Y28">
        <f>IFERROR(IF(OR(AD28&lt;=0,AD28&gt;1,R28&lt;=0,T28&lt;=0,V28&lt;=0,U28&gt;IF(E28="",0,VLOOKUP(E28,Bausteine!$A$2:$AS$46,12,FALSE)),T28&gt;IF(C28="",0,VLOOKUP(C28,Bausteine!$A$2:$AS$46,22,FALSE)),IF(E28="",0,VLOOKUP(E28,Bausteine!$A$2:$AS$46,11,FALSE))&lt;=0,IF(E28="",0,VLOOKUP(E28,Bausteine!$A$2:$AS$46,11,FALSE))&gt;1),"UNGUELTIG","OK"),"FEHLER")</f>
        <v/>
      </c>
      <c r="Z28" t="n">
        <v>1450</v>
      </c>
      <c r="AA28" t="n">
        <v>108</v>
      </c>
      <c r="AB28" t="inlineStr">
        <is>
          <t>Legacy promotion restricted to Tank General; catalog uses China base faction as agreed.</t>
        </is>
      </c>
      <c r="AC28" t="inlineStr"/>
      <c r="AD28">
        <f>IF(AC28="",1,IF(AC28="",0,VLOOKUP(AC28,Bausteine!$A$2:$AS$46,37,FALSE))/100)</f>
        <v/>
      </c>
      <c r="AE28">
        <f>P28*AD28</f>
        <v/>
      </c>
      <c r="AF28" t="inlineStr"/>
      <c r="AG28" t="inlineStr"/>
      <c r="AH28" t="inlineStr"/>
      <c r="AI28">
        <f>SUMIF(Startbesatzung!$A$2:$A$7,A28,Startbesatzung!$D$2:$D$7)</f>
        <v/>
      </c>
      <c r="AJ28">
        <f>SUMIF(Startbesatzung!$A$2:$A$7,A28,Startbesatzung!$E$2:$E$7)</f>
        <v/>
      </c>
      <c r="AK28">
        <f>MAX(0,IF(Startbesatzung!A2=A28,Startbesatzung!G2,0),IF(Startbesatzung!A3=A28,Startbesatzung!G3,0),IF(Startbesatzung!A4=A28,Startbesatzung!G4,0),IF(Startbesatzung!A5=A28,Startbesatzung!G5,0),IF(Startbesatzung!A6=A28,Startbesatzung!G6,0),IF(Startbesatzung!A7=A28,Startbesatzung!G7,0))</f>
        <v/>
      </c>
      <c r="AL28">
        <f>IF(AF28="","",IF(IF(AH28="",0,VLOOKUP(AH28,Bausteine!$A$2:$AS$46,38,FALSE))&gt;0,IF(AH28="",0,VLOOKUP(AH28,Bausteine!$A$2:$AS$46,38,FALSE)),IF(AG28="",0,VLOOKUP(AG28,Bausteine!$A$2:$AS$46,28,FALSE))))</f>
        <v/>
      </c>
      <c r="AM28">
        <f>IF(AF28="","",IF(AG28="",0,VLOOKUP(AG28,Bausteine!$A$2:$AS$46,44,FALSE)))</f>
        <v/>
      </c>
      <c r="AN28">
        <f>IF(AF28="","",IF(AF28="",0,VLOOKUP(AF28,Bausteine!$A$2:$AS$46,27,FALSE)))</f>
        <v/>
      </c>
      <c r="AO28">
        <f>IF(AF28="","",IF(AF28="",0,VLOOKUP(AF28,Bausteine!$A$2:$AS$46,25,FALSE)))</f>
        <v/>
      </c>
      <c r="AP28">
        <f>IF(AF28="","",IF(AH28="",0,VLOOKUP(AH28,Bausteine!$A$2:$AS$46,29,FALSE)))</f>
        <v/>
      </c>
    </row>
    <row r="29">
      <c r="A29" t="inlineStr">
        <is>
          <t>Gatling Tank Reflector</t>
        </is>
      </c>
      <c r="B29" t="inlineStr">
        <is>
          <t>china</t>
        </is>
      </c>
      <c r="C29" t="inlineStr">
        <is>
          <t>gatling-chassis</t>
        </is>
      </c>
      <c r="D29" t="inlineStr">
        <is>
          <t>diesel-large</t>
        </is>
      </c>
      <c r="E29" t="inlineStr">
        <is>
          <t>efficient-generator</t>
        </is>
      </c>
      <c r="F29" t="inlineStr">
        <is>
          <t>reflector</t>
        </is>
      </c>
      <c r="G29" t="inlineStr">
        <is>
          <t>gatling-turret</t>
        </is>
      </c>
      <c r="H29" t="inlineStr">
        <is>
          <t>gatling-gun</t>
        </is>
      </c>
      <c r="I29" t="inlineStr">
        <is>
          <t>gatling-rounds</t>
        </is>
      </c>
      <c r="J29" t="inlineStr"/>
      <c r="K29" t="inlineStr"/>
      <c r="L29" t="inlineStr"/>
      <c r="M29">
        <f>IF(C29="",0,VLOOKUP(C29,Bausteine!$A$2:$AS$46,4,FALSE))+IF(D29="",0,VLOOKUP(D29,Bausteine!$A$2:$AS$46,4,FALSE))+IF(E29="",0,VLOOKUP(E29,Bausteine!$A$2:$AS$46,4,FALSE))+IF(F29="",0,VLOOKUP(F29,Bausteine!$A$2:$AS$46,4,FALSE))+IF(G29="",0,VLOOKUP(G29,Bausteine!$A$2:$AS$46,4,FALSE))+IF(H29="",0,VLOOKUP(H29,Bausteine!$A$2:$AS$46,4,FALSE))+IF(I29="",0,VLOOKUP(I29,Bausteine!$A$2:$AS$46,4,FALSE))+IF(J29="",0,VLOOKUP(J29,Bausteine!$A$2:$AS$46,4,FALSE))+IF(K29="",0,VLOOKUP(K29,Bausteine!$A$2:$AS$46,4,FALSE))+IF(L29="",0,VLOOKUP(L29,Bausteine!$A$2:$AS$46,4,FALSE))+IF(AC29="",0,VLOOKUP(AC29,Bausteine!$A$2:$AS$46,4,FALSE))+IF(AF29="",0,VLOOKUP(AF29,Bausteine!$A$2:$AS$46,4,FALSE))+IF(AG29="",0,VLOOKUP(AG29,Bausteine!$A$2:$AS$46,4,FALSE))+IF(AH29="",0,VLOOKUP(AH29,Bausteine!$A$2:$AS$46,4,FALSE))</f>
        <v/>
      </c>
      <c r="N29">
        <f>IF(C29="",0,VLOOKUP(C29,Bausteine!$A$2:$AS$46,5,FALSE))+IF(D29="",0,VLOOKUP(D29,Bausteine!$A$2:$AS$46,5,FALSE))+IF(E29="",0,VLOOKUP(E29,Bausteine!$A$2:$AS$46,5,FALSE))+IF(F29="",0,VLOOKUP(F29,Bausteine!$A$2:$AS$46,5,FALSE))+IF(G29="",0,VLOOKUP(G29,Bausteine!$A$2:$AS$46,5,FALSE))+IF(H29="",0,VLOOKUP(H29,Bausteine!$A$2:$AS$46,5,FALSE))+IF(I29="",0,VLOOKUP(I29,Bausteine!$A$2:$AS$46,5,FALSE))+IF(J29="",0,VLOOKUP(J29,Bausteine!$A$2:$AS$46,5,FALSE))+IF(K29="",0,VLOOKUP(K29,Bausteine!$A$2:$AS$46,5,FALSE))+IF(L29="",0,VLOOKUP(L29,Bausteine!$A$2:$AS$46,5,FALSE))+IF(AC29="",0,VLOOKUP(AC29,Bausteine!$A$2:$AS$46,5,FALSE))+IF(AF29="",0,VLOOKUP(AF29,Bausteine!$A$2:$AS$46,5,FALSE))+IF(AG29="",0,VLOOKUP(AG29,Bausteine!$A$2:$AS$46,5,FALSE))+IF(AH29="",0,VLOOKUP(AH29,Bausteine!$A$2:$AS$46,5,FALSE))</f>
        <v/>
      </c>
      <c r="O29">
        <f>MAX(IF(C29="",0,VLOOKUP(C29,Bausteine!$A$2:$AS$46,6,FALSE)),IF(D29="",0,VLOOKUP(D29,Bausteine!$A$2:$AS$46,6,FALSE)),IF(E29="",0,VLOOKUP(E29,Bausteine!$A$2:$AS$46,6,FALSE)),IF(F29="",0,VLOOKUP(F29,Bausteine!$A$2:$AS$46,6,FALSE)),IF(G29="",0,VLOOKUP(G29,Bausteine!$A$2:$AS$46,6,FALSE)),IF(H29="",0,VLOOKUP(H29,Bausteine!$A$2:$AS$46,6,FALSE)),IF(I29="",0,VLOOKUP(I29,Bausteine!$A$2:$AS$46,6,FALSE)),IF(J29="",0,VLOOKUP(J29,Bausteine!$A$2:$AS$46,6,FALSE)),IF(K29="",0,VLOOKUP(K29,Bausteine!$A$2:$AS$46,6,FALSE)),IF(L29="",0,VLOOKUP(L29,Bausteine!$A$2:$AS$46,6,FALSE)),IF(AC29="",0,VLOOKUP(AC29,Bausteine!$A$2:$AS$46,6,FALSE)),IF(AF29="",0,VLOOKUP(AF29,Bausteine!$A$2:$AS$46,6,FALSE)),IF(AG29="",0,VLOOKUP(AG29,Bausteine!$A$2:$AS$46,6,FALSE)),IF(AH29="",0,VLOOKUP(AH29,Bausteine!$A$2:$AS$46,6,FALSE)),AK29)</f>
        <v/>
      </c>
      <c r="P29">
        <f>IF(C29="",0,VLOOKUP(C29,Bausteine!$A$2:$AS$46,7,FALSE))*IF(F29="",0,VLOOKUP(F29,Bausteine!$A$2:$AS$46,17,FALSE))/100+IF(D29="",0,VLOOKUP(D29,Bausteine!$A$2:$AS$46,7,FALSE))+IF(E29="",0,VLOOKUP(E29,Bausteine!$A$2:$AS$46,7,FALSE))+IF(G29="",0,VLOOKUP(G29,Bausteine!$A$2:$AS$46,7,FALSE))+IF(H29="",0,VLOOKUP(H29,Bausteine!$A$2:$AS$46,7,FALSE))+IF(I29="",0,VLOOKUP(I29,Bausteine!$A$2:$AS$46,7,FALSE))+IF(J29="",0,VLOOKUP(J29,Bausteine!$A$2:$AS$46,7,FALSE))+IF(K29="",0,VLOOKUP(K29,Bausteine!$A$2:$AS$46,7,FALSE))+IF(L29="",0,VLOOKUP(L29,Bausteine!$A$2:$AS$46,7,FALSE))+IF(AC29="",0,VLOOKUP(AC29,Bausteine!$A$2:$AS$46,7,FALSE))+IF(AF29="",0,VLOOKUP(AF29,Bausteine!$A$2:$AS$46,7,FALSE))+IF(AG29="",0,VLOOKUP(AG29,Bausteine!$A$2:$AS$46,7,FALSE))+IF(AH29="",0,VLOOKUP(AH29,Bausteine!$A$2:$AS$46,7,FALSE))+AI29</f>
        <v/>
      </c>
      <c r="Q29">
        <f>N29*Parameter!$B$2</f>
        <v/>
      </c>
      <c r="R29">
        <f>AE29-Q29</f>
        <v/>
      </c>
      <c r="S29">
        <f>IF(C29="",0,VLOOKUP(C29,Bausteine!$A$2:$AS$46,13,FALSE))*IF(F29="",0,VLOOKUP(F29,Bausteine!$A$2:$AS$46,16,FALSE))/100</f>
        <v/>
      </c>
      <c r="T29">
        <f>IF(C29="",0,VLOOKUP(C29,Bausteine!$A$2:$AS$46,8,FALSE))*IF(F29="",0,VLOOKUP(F29,Bausteine!$A$2:$AS$46,15,FALSE))/100+IF(D29="",0,VLOOKUP(D29,Bausteine!$A$2:$AS$46,8,FALSE))+IF(E29="",0,VLOOKUP(E29,Bausteine!$A$2:$AS$46,8,FALSE))+IF(G29="",0,VLOOKUP(G29,Bausteine!$A$2:$AS$46,8,FALSE))+IF(H29="",0,VLOOKUP(H29,Bausteine!$A$2:$AS$46,8,FALSE))+IF(I29="",0,VLOOKUP(I29,Bausteine!$A$2:$AS$46,8,FALSE))+IF(J29="",0,VLOOKUP(J29,Bausteine!$A$2:$AS$46,8,FALSE))+IF(K29="",0,VLOOKUP(K29,Bausteine!$A$2:$AS$46,8,FALSE))+IF(L29="",0,VLOOKUP(L29,Bausteine!$A$2:$AS$46,8,FALSE))+IF(AC29="",0,VLOOKUP(AC29,Bausteine!$A$2:$AS$46,8,FALSE))+IF(AF29="",0,VLOOKUP(AF29,Bausteine!$A$2:$AS$46,8,FALSE))+IF(AG29="",0,VLOOKUP(AG29,Bausteine!$A$2:$AS$46,8,FALSE))+IF(AH29="",0,VLOOKUP(AH29,Bausteine!$A$2:$AS$46,8,FALSE))+AJ29</f>
        <v/>
      </c>
      <c r="U29">
        <f>IF(C29="",0,VLOOKUP(C29,Bausteine!$A$2:$AS$46,9,FALSE))+IF(D29="",0,VLOOKUP(D29,Bausteine!$A$2:$AS$46,9,FALSE))+IF(E29="",0,VLOOKUP(E29,Bausteine!$A$2:$AS$46,9,FALSE))+IF(F29="",0,VLOOKUP(F29,Bausteine!$A$2:$AS$46,9,FALSE))+IF(G29="",0,VLOOKUP(G29,Bausteine!$A$2:$AS$46,9,FALSE))+IF(H29="",0,VLOOKUP(H29,Bausteine!$A$2:$AS$46,9,FALSE))+IF(I29="",0,VLOOKUP(I29,Bausteine!$A$2:$AS$46,9,FALSE))+IF(J29="",0,VLOOKUP(J29,Bausteine!$A$2:$AS$46,9,FALSE))+IF(K29="",0,VLOOKUP(K29,Bausteine!$A$2:$AS$46,9,FALSE))+IF(L29="",0,VLOOKUP(L29,Bausteine!$A$2:$AS$46,9,FALSE))+IF(AC29="",0,VLOOKUP(AC29,Bausteine!$A$2:$AS$46,9,FALSE))+IF(AF29="",0,VLOOKUP(AF29,Bausteine!$A$2:$AS$46,9,FALSE))+IF(AG29="",0,VLOOKUP(AG29,Bausteine!$A$2:$AS$46,9,FALSE))+IF(AH29="",0,VLOOKUP(AH29,Bausteine!$A$2:$AS$46,9,FALSE))</f>
        <v/>
      </c>
      <c r="V29">
        <f>IF(D29="",0,VLOOKUP(D29,Bausteine!$A$2:$AS$46,10,FALSE))-U29/IF(E29="",0,VLOOKUP(E29,Bausteine!$A$2:$AS$46,11,FALSE))</f>
        <v/>
      </c>
      <c r="W29">
        <f>IF(Y29&lt;&gt;"OK","",ROUND(MIN(IF(C29="",0,VLOOKUP(C29,Bausteine!$A$2:$AS$46,21,FALSE)),IF(C29="",0,VLOOKUP(C29,Bausteine!$A$2:$AS$46,20,FALSE))*(V29/T29/(IF(C29="",0,VLOOKUP(C29,Bausteine!$A$2:$AS$46,19,FALSE))/IF(C29="",0,VLOOKUP(C29,Bausteine!$A$2:$AS$46,18,FALSE))))^Parameter!$B$3),0))</f>
        <v/>
      </c>
      <c r="X29">
        <f>IF(F29="",0,VLOOKUP(F29,Bausteine!$A$2:$AS$46,14,FALSE))</f>
        <v/>
      </c>
      <c r="Y29">
        <f>IFERROR(IF(OR(AD29&lt;=0,AD29&gt;1,R29&lt;=0,T29&lt;=0,V29&lt;=0,U29&gt;IF(E29="",0,VLOOKUP(E29,Bausteine!$A$2:$AS$46,12,FALSE)),T29&gt;IF(C29="",0,VLOOKUP(C29,Bausteine!$A$2:$AS$46,22,FALSE)),IF(E29="",0,VLOOKUP(E29,Bausteine!$A$2:$AS$46,11,FALSE))&lt;=0,IF(E29="",0,VLOOKUP(E29,Bausteine!$A$2:$AS$46,11,FALSE))&gt;1),"UNGUELTIG","OK"),"FEHLER")</f>
        <v/>
      </c>
      <c r="Z29" t="n">
        <v>800</v>
      </c>
      <c r="AA29" t="n">
        <v>108</v>
      </c>
      <c r="AB29" t="inlineStr">
        <is>
          <t>Legacy promotion restricted to Tank General; catalog uses China base faction as agreed.</t>
        </is>
      </c>
      <c r="AC29" t="inlineStr"/>
      <c r="AD29">
        <f>IF(AC29="",1,IF(AC29="",0,VLOOKUP(AC29,Bausteine!$A$2:$AS$46,37,FALSE))/100)</f>
        <v/>
      </c>
      <c r="AE29">
        <f>P29*AD29</f>
        <v/>
      </c>
      <c r="AF29" t="inlineStr"/>
      <c r="AG29" t="inlineStr"/>
      <c r="AH29" t="inlineStr"/>
      <c r="AI29">
        <f>SUMIF(Startbesatzung!$A$2:$A$7,A29,Startbesatzung!$D$2:$D$7)</f>
        <v/>
      </c>
      <c r="AJ29">
        <f>SUMIF(Startbesatzung!$A$2:$A$7,A29,Startbesatzung!$E$2:$E$7)</f>
        <v/>
      </c>
      <c r="AK29">
        <f>MAX(0,IF(Startbesatzung!A2=A29,Startbesatzung!G2,0),IF(Startbesatzung!A3=A29,Startbesatzung!G3,0),IF(Startbesatzung!A4=A29,Startbesatzung!G4,0),IF(Startbesatzung!A5=A29,Startbesatzung!G5,0),IF(Startbesatzung!A6=A29,Startbesatzung!G6,0),IF(Startbesatzung!A7=A29,Startbesatzung!G7,0))</f>
        <v/>
      </c>
      <c r="AL29">
        <f>IF(AF29="","",IF(IF(AH29="",0,VLOOKUP(AH29,Bausteine!$A$2:$AS$46,38,FALSE))&gt;0,IF(AH29="",0,VLOOKUP(AH29,Bausteine!$A$2:$AS$46,38,FALSE)),IF(AG29="",0,VLOOKUP(AG29,Bausteine!$A$2:$AS$46,28,FALSE))))</f>
        <v/>
      </c>
      <c r="AM29">
        <f>IF(AF29="","",IF(AG29="",0,VLOOKUP(AG29,Bausteine!$A$2:$AS$46,44,FALSE)))</f>
        <v/>
      </c>
      <c r="AN29">
        <f>IF(AF29="","",IF(AF29="",0,VLOOKUP(AF29,Bausteine!$A$2:$AS$46,27,FALSE)))</f>
        <v/>
      </c>
      <c r="AO29">
        <f>IF(AF29="","",IF(AF29="",0,VLOOKUP(AF29,Bausteine!$A$2:$AS$46,25,FALSE)))</f>
        <v/>
      </c>
      <c r="AP29">
        <f>IF(AF29="","",IF(AH29="",0,VLOOKUP(AH29,Bausteine!$A$2:$AS$46,29,FALSE)))</f>
        <v/>
      </c>
    </row>
    <row r="30">
      <c r="A30" t="inlineStr">
        <is>
          <t>Battlemaster Nuclear Shells</t>
        </is>
      </c>
      <c r="B30" t="inlineStr">
        <is>
          <t>china</t>
        </is>
      </c>
      <c r="C30" t="inlineStr">
        <is>
          <t>battlemaster</t>
        </is>
      </c>
      <c r="D30" t="inlineStr">
        <is>
          <t>diesel</t>
        </is>
      </c>
      <c r="E30" t="inlineStr">
        <is>
          <t>baseline-generator</t>
        </is>
      </c>
      <c r="F30" t="inlineStr">
        <is>
          <t>heavy</t>
        </is>
      </c>
      <c r="G30" t="inlineStr">
        <is>
          <t>cannon-turret</t>
        </is>
      </c>
      <c r="H30" t="inlineStr">
        <is>
          <t>cannon</t>
        </is>
      </c>
      <c r="I30" t="inlineStr">
        <is>
          <t>nuclear-shell</t>
        </is>
      </c>
      <c r="J30" t="inlineStr"/>
      <c r="K30" t="inlineStr"/>
      <c r="L30" t="inlineStr"/>
      <c r="M30">
        <f>IF(C30="",0,VLOOKUP(C30,Bausteine!$A$2:$AS$46,4,FALSE))+IF(D30="",0,VLOOKUP(D30,Bausteine!$A$2:$AS$46,4,FALSE))+IF(E30="",0,VLOOKUP(E30,Bausteine!$A$2:$AS$46,4,FALSE))+IF(F30="",0,VLOOKUP(F30,Bausteine!$A$2:$AS$46,4,FALSE))+IF(G30="",0,VLOOKUP(G30,Bausteine!$A$2:$AS$46,4,FALSE))+IF(H30="",0,VLOOKUP(H30,Bausteine!$A$2:$AS$46,4,FALSE))+IF(I30="",0,VLOOKUP(I30,Bausteine!$A$2:$AS$46,4,FALSE))+IF(J30="",0,VLOOKUP(J30,Bausteine!$A$2:$AS$46,4,FALSE))+IF(K30="",0,VLOOKUP(K30,Bausteine!$A$2:$AS$46,4,FALSE))+IF(L30="",0,VLOOKUP(L30,Bausteine!$A$2:$AS$46,4,FALSE))+IF(AC30="",0,VLOOKUP(AC30,Bausteine!$A$2:$AS$46,4,FALSE))+IF(AF30="",0,VLOOKUP(AF30,Bausteine!$A$2:$AS$46,4,FALSE))+IF(AG30="",0,VLOOKUP(AG30,Bausteine!$A$2:$AS$46,4,FALSE))+IF(AH30="",0,VLOOKUP(AH30,Bausteine!$A$2:$AS$46,4,FALSE))</f>
        <v/>
      </c>
      <c r="N30">
        <f>IF(C30="",0,VLOOKUP(C30,Bausteine!$A$2:$AS$46,5,FALSE))+IF(D30="",0,VLOOKUP(D30,Bausteine!$A$2:$AS$46,5,FALSE))+IF(E30="",0,VLOOKUP(E30,Bausteine!$A$2:$AS$46,5,FALSE))+IF(F30="",0,VLOOKUP(F30,Bausteine!$A$2:$AS$46,5,FALSE))+IF(G30="",0,VLOOKUP(G30,Bausteine!$A$2:$AS$46,5,FALSE))+IF(H30="",0,VLOOKUP(H30,Bausteine!$A$2:$AS$46,5,FALSE))+IF(I30="",0,VLOOKUP(I30,Bausteine!$A$2:$AS$46,5,FALSE))+IF(J30="",0,VLOOKUP(J30,Bausteine!$A$2:$AS$46,5,FALSE))+IF(K30="",0,VLOOKUP(K30,Bausteine!$A$2:$AS$46,5,FALSE))+IF(L30="",0,VLOOKUP(L30,Bausteine!$A$2:$AS$46,5,FALSE))+IF(AC30="",0,VLOOKUP(AC30,Bausteine!$A$2:$AS$46,5,FALSE))+IF(AF30="",0,VLOOKUP(AF30,Bausteine!$A$2:$AS$46,5,FALSE))+IF(AG30="",0,VLOOKUP(AG30,Bausteine!$A$2:$AS$46,5,FALSE))+IF(AH30="",0,VLOOKUP(AH30,Bausteine!$A$2:$AS$46,5,FALSE))</f>
        <v/>
      </c>
      <c r="O30">
        <f>MAX(IF(C30="",0,VLOOKUP(C30,Bausteine!$A$2:$AS$46,6,FALSE)),IF(D30="",0,VLOOKUP(D30,Bausteine!$A$2:$AS$46,6,FALSE)),IF(E30="",0,VLOOKUP(E30,Bausteine!$A$2:$AS$46,6,FALSE)),IF(F30="",0,VLOOKUP(F30,Bausteine!$A$2:$AS$46,6,FALSE)),IF(G30="",0,VLOOKUP(G30,Bausteine!$A$2:$AS$46,6,FALSE)),IF(H30="",0,VLOOKUP(H30,Bausteine!$A$2:$AS$46,6,FALSE)),IF(I30="",0,VLOOKUP(I30,Bausteine!$A$2:$AS$46,6,FALSE)),IF(J30="",0,VLOOKUP(J30,Bausteine!$A$2:$AS$46,6,FALSE)),IF(K30="",0,VLOOKUP(K30,Bausteine!$A$2:$AS$46,6,FALSE)),IF(L30="",0,VLOOKUP(L30,Bausteine!$A$2:$AS$46,6,FALSE)),IF(AC30="",0,VLOOKUP(AC30,Bausteine!$A$2:$AS$46,6,FALSE)),IF(AF30="",0,VLOOKUP(AF30,Bausteine!$A$2:$AS$46,6,FALSE)),IF(AG30="",0,VLOOKUP(AG30,Bausteine!$A$2:$AS$46,6,FALSE)),IF(AH30="",0,VLOOKUP(AH30,Bausteine!$A$2:$AS$46,6,FALSE)),AK30)</f>
        <v/>
      </c>
      <c r="P30">
        <f>IF(C30="",0,VLOOKUP(C30,Bausteine!$A$2:$AS$46,7,FALSE))*IF(F30="",0,VLOOKUP(F30,Bausteine!$A$2:$AS$46,17,FALSE))/100+IF(D30="",0,VLOOKUP(D30,Bausteine!$A$2:$AS$46,7,FALSE))+IF(E30="",0,VLOOKUP(E30,Bausteine!$A$2:$AS$46,7,FALSE))+IF(G30="",0,VLOOKUP(G30,Bausteine!$A$2:$AS$46,7,FALSE))+IF(H30="",0,VLOOKUP(H30,Bausteine!$A$2:$AS$46,7,FALSE))+IF(I30="",0,VLOOKUP(I30,Bausteine!$A$2:$AS$46,7,FALSE))+IF(J30="",0,VLOOKUP(J30,Bausteine!$A$2:$AS$46,7,FALSE))+IF(K30="",0,VLOOKUP(K30,Bausteine!$A$2:$AS$46,7,FALSE))+IF(L30="",0,VLOOKUP(L30,Bausteine!$A$2:$AS$46,7,FALSE))+IF(AC30="",0,VLOOKUP(AC30,Bausteine!$A$2:$AS$46,7,FALSE))+IF(AF30="",0,VLOOKUP(AF30,Bausteine!$A$2:$AS$46,7,FALSE))+IF(AG30="",0,VLOOKUP(AG30,Bausteine!$A$2:$AS$46,7,FALSE))+IF(AH30="",0,VLOOKUP(AH30,Bausteine!$A$2:$AS$46,7,FALSE))+AI30</f>
        <v/>
      </c>
      <c r="Q30">
        <f>N30*Parameter!$B$2</f>
        <v/>
      </c>
      <c r="R30">
        <f>AE30-Q30</f>
        <v/>
      </c>
      <c r="S30">
        <f>IF(C30="",0,VLOOKUP(C30,Bausteine!$A$2:$AS$46,13,FALSE))*IF(F30="",0,VLOOKUP(F30,Bausteine!$A$2:$AS$46,16,FALSE))/100</f>
        <v/>
      </c>
      <c r="T30">
        <f>IF(C30="",0,VLOOKUP(C30,Bausteine!$A$2:$AS$46,8,FALSE))*IF(F30="",0,VLOOKUP(F30,Bausteine!$A$2:$AS$46,15,FALSE))/100+IF(D30="",0,VLOOKUP(D30,Bausteine!$A$2:$AS$46,8,FALSE))+IF(E30="",0,VLOOKUP(E30,Bausteine!$A$2:$AS$46,8,FALSE))+IF(G30="",0,VLOOKUP(G30,Bausteine!$A$2:$AS$46,8,FALSE))+IF(H30="",0,VLOOKUP(H30,Bausteine!$A$2:$AS$46,8,FALSE))+IF(I30="",0,VLOOKUP(I30,Bausteine!$A$2:$AS$46,8,FALSE))+IF(J30="",0,VLOOKUP(J30,Bausteine!$A$2:$AS$46,8,FALSE))+IF(K30="",0,VLOOKUP(K30,Bausteine!$A$2:$AS$46,8,FALSE))+IF(L30="",0,VLOOKUP(L30,Bausteine!$A$2:$AS$46,8,FALSE))+IF(AC30="",0,VLOOKUP(AC30,Bausteine!$A$2:$AS$46,8,FALSE))+IF(AF30="",0,VLOOKUP(AF30,Bausteine!$A$2:$AS$46,8,FALSE))+IF(AG30="",0,VLOOKUP(AG30,Bausteine!$A$2:$AS$46,8,FALSE))+IF(AH30="",0,VLOOKUP(AH30,Bausteine!$A$2:$AS$46,8,FALSE))+AJ30</f>
        <v/>
      </c>
      <c r="U30">
        <f>IF(C30="",0,VLOOKUP(C30,Bausteine!$A$2:$AS$46,9,FALSE))+IF(D30="",0,VLOOKUP(D30,Bausteine!$A$2:$AS$46,9,FALSE))+IF(E30="",0,VLOOKUP(E30,Bausteine!$A$2:$AS$46,9,FALSE))+IF(F30="",0,VLOOKUP(F30,Bausteine!$A$2:$AS$46,9,FALSE))+IF(G30="",0,VLOOKUP(G30,Bausteine!$A$2:$AS$46,9,FALSE))+IF(H30="",0,VLOOKUP(H30,Bausteine!$A$2:$AS$46,9,FALSE))+IF(I30="",0,VLOOKUP(I30,Bausteine!$A$2:$AS$46,9,FALSE))+IF(J30="",0,VLOOKUP(J30,Bausteine!$A$2:$AS$46,9,FALSE))+IF(K30="",0,VLOOKUP(K30,Bausteine!$A$2:$AS$46,9,FALSE))+IF(L30="",0,VLOOKUP(L30,Bausteine!$A$2:$AS$46,9,FALSE))+IF(AC30="",0,VLOOKUP(AC30,Bausteine!$A$2:$AS$46,9,FALSE))+IF(AF30="",0,VLOOKUP(AF30,Bausteine!$A$2:$AS$46,9,FALSE))+IF(AG30="",0,VLOOKUP(AG30,Bausteine!$A$2:$AS$46,9,FALSE))+IF(AH30="",0,VLOOKUP(AH30,Bausteine!$A$2:$AS$46,9,FALSE))</f>
        <v/>
      </c>
      <c r="V30">
        <f>IF(D30="",0,VLOOKUP(D30,Bausteine!$A$2:$AS$46,10,FALSE))-U30/IF(E30="",0,VLOOKUP(E30,Bausteine!$A$2:$AS$46,11,FALSE))</f>
        <v/>
      </c>
      <c r="W30">
        <f>IF(Y30&lt;&gt;"OK","",ROUND(MIN(IF(C30="",0,VLOOKUP(C30,Bausteine!$A$2:$AS$46,21,FALSE)),IF(C30="",0,VLOOKUP(C30,Bausteine!$A$2:$AS$46,20,FALSE))*(V30/T30/(IF(C30="",0,VLOOKUP(C30,Bausteine!$A$2:$AS$46,19,FALSE))/IF(C30="",0,VLOOKUP(C30,Bausteine!$A$2:$AS$46,18,FALSE))))^Parameter!$B$3),0))</f>
        <v/>
      </c>
      <c r="X30">
        <f>IF(F30="",0,VLOOKUP(F30,Bausteine!$A$2:$AS$46,14,FALSE))</f>
        <v/>
      </c>
      <c r="Y30">
        <f>IFERROR(IF(OR(AD30&lt;=0,AD30&gt;1,R30&lt;=0,T30&lt;=0,V30&lt;=0,U30&gt;IF(E30="",0,VLOOKUP(E30,Bausteine!$A$2:$AS$46,12,FALSE)),T30&gt;IF(C30="",0,VLOOKUP(C30,Bausteine!$A$2:$AS$46,22,FALSE)),IF(E30="",0,VLOOKUP(E30,Bausteine!$A$2:$AS$46,11,FALSE))&lt;=0,IF(E30="",0,VLOOKUP(E30,Bausteine!$A$2:$AS$46,11,FALSE))&gt;1),"UNGUELTIG","OK"),"FEHLER")</f>
        <v/>
      </c>
      <c r="Z30" t="n">
        <v>950</v>
      </c>
      <c r="AA30" t="n">
        <v>100</v>
      </c>
      <c r="AB30" t="inlineStr"/>
      <c r="AC30" t="inlineStr"/>
      <c r="AD30">
        <f>IF(AC30="",1,IF(AC30="",0,VLOOKUP(AC30,Bausteine!$A$2:$AS$46,37,FALSE))/100)</f>
        <v/>
      </c>
      <c r="AE30">
        <f>P30*AD30</f>
        <v/>
      </c>
      <c r="AF30" t="inlineStr"/>
      <c r="AG30" t="inlineStr"/>
      <c r="AH30" t="inlineStr"/>
      <c r="AI30">
        <f>SUMIF(Startbesatzung!$A$2:$A$7,A30,Startbesatzung!$D$2:$D$7)</f>
        <v/>
      </c>
      <c r="AJ30">
        <f>SUMIF(Startbesatzung!$A$2:$A$7,A30,Startbesatzung!$E$2:$E$7)</f>
        <v/>
      </c>
      <c r="AK30">
        <f>MAX(0,IF(Startbesatzung!A2=A30,Startbesatzung!G2,0),IF(Startbesatzung!A3=A30,Startbesatzung!G3,0),IF(Startbesatzung!A4=A30,Startbesatzung!G4,0),IF(Startbesatzung!A5=A30,Startbesatzung!G5,0),IF(Startbesatzung!A6=A30,Startbesatzung!G6,0),IF(Startbesatzung!A7=A30,Startbesatzung!G7,0))</f>
        <v/>
      </c>
      <c r="AL30">
        <f>IF(AF30="","",IF(IF(AH30="",0,VLOOKUP(AH30,Bausteine!$A$2:$AS$46,38,FALSE))&gt;0,IF(AH30="",0,VLOOKUP(AH30,Bausteine!$A$2:$AS$46,38,FALSE)),IF(AG30="",0,VLOOKUP(AG30,Bausteine!$A$2:$AS$46,28,FALSE))))</f>
        <v/>
      </c>
      <c r="AM30">
        <f>IF(AF30="","",IF(AG30="",0,VLOOKUP(AG30,Bausteine!$A$2:$AS$46,44,FALSE)))</f>
        <v/>
      </c>
      <c r="AN30">
        <f>IF(AF30="","",IF(AF30="",0,VLOOKUP(AF30,Bausteine!$A$2:$AS$46,27,FALSE)))</f>
        <v/>
      </c>
      <c r="AO30">
        <f>IF(AF30="","",IF(AF30="",0,VLOOKUP(AF30,Bausteine!$A$2:$AS$46,25,FALSE)))</f>
        <v/>
      </c>
      <c r="AP30">
        <f>IF(AF30="","",IF(AH30="",0,VLOOKUP(AH30,Bausteine!$A$2:$AS$46,29,FALSE)))</f>
        <v/>
      </c>
    </row>
    <row r="31">
      <c r="A31" t="inlineStr">
        <is>
          <t>Battlemaster Nuclear Shells PDL</t>
        </is>
      </c>
      <c r="B31" t="inlineStr">
        <is>
          <t>china</t>
        </is>
      </c>
      <c r="C31" t="inlineStr">
        <is>
          <t>battlemaster</t>
        </is>
      </c>
      <c r="D31" t="inlineStr">
        <is>
          <t>diesel-large</t>
        </is>
      </c>
      <c r="E31" t="inlineStr">
        <is>
          <t>efficient-generator</t>
        </is>
      </c>
      <c r="F31" t="inlineStr">
        <is>
          <t>heavy</t>
        </is>
      </c>
      <c r="G31" t="inlineStr">
        <is>
          <t>cannon-turret</t>
        </is>
      </c>
      <c r="H31" t="inlineStr">
        <is>
          <t>cannon</t>
        </is>
      </c>
      <c r="I31" t="inlineStr">
        <is>
          <t>nuclear-shell</t>
        </is>
      </c>
      <c r="J31" t="inlineStr">
        <is>
          <t>pdl</t>
        </is>
      </c>
      <c r="K31" t="inlineStr"/>
      <c r="L31" t="inlineStr"/>
      <c r="M31">
        <f>IF(C31="",0,VLOOKUP(C31,Bausteine!$A$2:$AS$46,4,FALSE))+IF(D31="",0,VLOOKUP(D31,Bausteine!$A$2:$AS$46,4,FALSE))+IF(E31="",0,VLOOKUP(E31,Bausteine!$A$2:$AS$46,4,FALSE))+IF(F31="",0,VLOOKUP(F31,Bausteine!$A$2:$AS$46,4,FALSE))+IF(G31="",0,VLOOKUP(G31,Bausteine!$A$2:$AS$46,4,FALSE))+IF(H31="",0,VLOOKUP(H31,Bausteine!$A$2:$AS$46,4,FALSE))+IF(I31="",0,VLOOKUP(I31,Bausteine!$A$2:$AS$46,4,FALSE))+IF(J31="",0,VLOOKUP(J31,Bausteine!$A$2:$AS$46,4,FALSE))+IF(K31="",0,VLOOKUP(K31,Bausteine!$A$2:$AS$46,4,FALSE))+IF(L31="",0,VLOOKUP(L31,Bausteine!$A$2:$AS$46,4,FALSE))+IF(AC31="",0,VLOOKUP(AC31,Bausteine!$A$2:$AS$46,4,FALSE))+IF(AF31="",0,VLOOKUP(AF31,Bausteine!$A$2:$AS$46,4,FALSE))+IF(AG31="",0,VLOOKUP(AG31,Bausteine!$A$2:$AS$46,4,FALSE))+IF(AH31="",0,VLOOKUP(AH31,Bausteine!$A$2:$AS$46,4,FALSE))</f>
        <v/>
      </c>
      <c r="N31">
        <f>IF(C31="",0,VLOOKUP(C31,Bausteine!$A$2:$AS$46,5,FALSE))+IF(D31="",0,VLOOKUP(D31,Bausteine!$A$2:$AS$46,5,FALSE))+IF(E31="",0,VLOOKUP(E31,Bausteine!$A$2:$AS$46,5,FALSE))+IF(F31="",0,VLOOKUP(F31,Bausteine!$A$2:$AS$46,5,FALSE))+IF(G31="",0,VLOOKUP(G31,Bausteine!$A$2:$AS$46,5,FALSE))+IF(H31="",0,VLOOKUP(H31,Bausteine!$A$2:$AS$46,5,FALSE))+IF(I31="",0,VLOOKUP(I31,Bausteine!$A$2:$AS$46,5,FALSE))+IF(J31="",0,VLOOKUP(J31,Bausteine!$A$2:$AS$46,5,FALSE))+IF(K31="",0,VLOOKUP(K31,Bausteine!$A$2:$AS$46,5,FALSE))+IF(L31="",0,VLOOKUP(L31,Bausteine!$A$2:$AS$46,5,FALSE))+IF(AC31="",0,VLOOKUP(AC31,Bausteine!$A$2:$AS$46,5,FALSE))+IF(AF31="",0,VLOOKUP(AF31,Bausteine!$A$2:$AS$46,5,FALSE))+IF(AG31="",0,VLOOKUP(AG31,Bausteine!$A$2:$AS$46,5,FALSE))+IF(AH31="",0,VLOOKUP(AH31,Bausteine!$A$2:$AS$46,5,FALSE))</f>
        <v/>
      </c>
      <c r="O31">
        <f>MAX(IF(C31="",0,VLOOKUP(C31,Bausteine!$A$2:$AS$46,6,FALSE)),IF(D31="",0,VLOOKUP(D31,Bausteine!$A$2:$AS$46,6,FALSE)),IF(E31="",0,VLOOKUP(E31,Bausteine!$A$2:$AS$46,6,FALSE)),IF(F31="",0,VLOOKUP(F31,Bausteine!$A$2:$AS$46,6,FALSE)),IF(G31="",0,VLOOKUP(G31,Bausteine!$A$2:$AS$46,6,FALSE)),IF(H31="",0,VLOOKUP(H31,Bausteine!$A$2:$AS$46,6,FALSE)),IF(I31="",0,VLOOKUP(I31,Bausteine!$A$2:$AS$46,6,FALSE)),IF(J31="",0,VLOOKUP(J31,Bausteine!$A$2:$AS$46,6,FALSE)),IF(K31="",0,VLOOKUP(K31,Bausteine!$A$2:$AS$46,6,FALSE)),IF(L31="",0,VLOOKUP(L31,Bausteine!$A$2:$AS$46,6,FALSE)),IF(AC31="",0,VLOOKUP(AC31,Bausteine!$A$2:$AS$46,6,FALSE)),IF(AF31="",0,VLOOKUP(AF31,Bausteine!$A$2:$AS$46,6,FALSE)),IF(AG31="",0,VLOOKUP(AG31,Bausteine!$A$2:$AS$46,6,FALSE)),IF(AH31="",0,VLOOKUP(AH31,Bausteine!$A$2:$AS$46,6,FALSE)),AK31)</f>
        <v/>
      </c>
      <c r="P31">
        <f>IF(C31="",0,VLOOKUP(C31,Bausteine!$A$2:$AS$46,7,FALSE))*IF(F31="",0,VLOOKUP(F31,Bausteine!$A$2:$AS$46,17,FALSE))/100+IF(D31="",0,VLOOKUP(D31,Bausteine!$A$2:$AS$46,7,FALSE))+IF(E31="",0,VLOOKUP(E31,Bausteine!$A$2:$AS$46,7,FALSE))+IF(G31="",0,VLOOKUP(G31,Bausteine!$A$2:$AS$46,7,FALSE))+IF(H31="",0,VLOOKUP(H31,Bausteine!$A$2:$AS$46,7,FALSE))+IF(I31="",0,VLOOKUP(I31,Bausteine!$A$2:$AS$46,7,FALSE))+IF(J31="",0,VLOOKUP(J31,Bausteine!$A$2:$AS$46,7,FALSE))+IF(K31="",0,VLOOKUP(K31,Bausteine!$A$2:$AS$46,7,FALSE))+IF(L31="",0,VLOOKUP(L31,Bausteine!$A$2:$AS$46,7,FALSE))+IF(AC31="",0,VLOOKUP(AC31,Bausteine!$A$2:$AS$46,7,FALSE))+IF(AF31="",0,VLOOKUP(AF31,Bausteine!$A$2:$AS$46,7,FALSE))+IF(AG31="",0,VLOOKUP(AG31,Bausteine!$A$2:$AS$46,7,FALSE))+IF(AH31="",0,VLOOKUP(AH31,Bausteine!$A$2:$AS$46,7,FALSE))+AI31</f>
        <v/>
      </c>
      <c r="Q31">
        <f>N31*Parameter!$B$2</f>
        <v/>
      </c>
      <c r="R31">
        <f>AE31-Q31</f>
        <v/>
      </c>
      <c r="S31">
        <f>IF(C31="",0,VLOOKUP(C31,Bausteine!$A$2:$AS$46,13,FALSE))*IF(F31="",0,VLOOKUP(F31,Bausteine!$A$2:$AS$46,16,FALSE))/100</f>
        <v/>
      </c>
      <c r="T31">
        <f>IF(C31="",0,VLOOKUP(C31,Bausteine!$A$2:$AS$46,8,FALSE))*IF(F31="",0,VLOOKUP(F31,Bausteine!$A$2:$AS$46,15,FALSE))/100+IF(D31="",0,VLOOKUP(D31,Bausteine!$A$2:$AS$46,8,FALSE))+IF(E31="",0,VLOOKUP(E31,Bausteine!$A$2:$AS$46,8,FALSE))+IF(G31="",0,VLOOKUP(G31,Bausteine!$A$2:$AS$46,8,FALSE))+IF(H31="",0,VLOOKUP(H31,Bausteine!$A$2:$AS$46,8,FALSE))+IF(I31="",0,VLOOKUP(I31,Bausteine!$A$2:$AS$46,8,FALSE))+IF(J31="",0,VLOOKUP(J31,Bausteine!$A$2:$AS$46,8,FALSE))+IF(K31="",0,VLOOKUP(K31,Bausteine!$A$2:$AS$46,8,FALSE))+IF(L31="",0,VLOOKUP(L31,Bausteine!$A$2:$AS$46,8,FALSE))+IF(AC31="",0,VLOOKUP(AC31,Bausteine!$A$2:$AS$46,8,FALSE))+IF(AF31="",0,VLOOKUP(AF31,Bausteine!$A$2:$AS$46,8,FALSE))+IF(AG31="",0,VLOOKUP(AG31,Bausteine!$A$2:$AS$46,8,FALSE))+IF(AH31="",0,VLOOKUP(AH31,Bausteine!$A$2:$AS$46,8,FALSE))+AJ31</f>
        <v/>
      </c>
      <c r="U31">
        <f>IF(C31="",0,VLOOKUP(C31,Bausteine!$A$2:$AS$46,9,FALSE))+IF(D31="",0,VLOOKUP(D31,Bausteine!$A$2:$AS$46,9,FALSE))+IF(E31="",0,VLOOKUP(E31,Bausteine!$A$2:$AS$46,9,FALSE))+IF(F31="",0,VLOOKUP(F31,Bausteine!$A$2:$AS$46,9,FALSE))+IF(G31="",0,VLOOKUP(G31,Bausteine!$A$2:$AS$46,9,FALSE))+IF(H31="",0,VLOOKUP(H31,Bausteine!$A$2:$AS$46,9,FALSE))+IF(I31="",0,VLOOKUP(I31,Bausteine!$A$2:$AS$46,9,FALSE))+IF(J31="",0,VLOOKUP(J31,Bausteine!$A$2:$AS$46,9,FALSE))+IF(K31="",0,VLOOKUP(K31,Bausteine!$A$2:$AS$46,9,FALSE))+IF(L31="",0,VLOOKUP(L31,Bausteine!$A$2:$AS$46,9,FALSE))+IF(AC31="",0,VLOOKUP(AC31,Bausteine!$A$2:$AS$46,9,FALSE))+IF(AF31="",0,VLOOKUP(AF31,Bausteine!$A$2:$AS$46,9,FALSE))+IF(AG31="",0,VLOOKUP(AG31,Bausteine!$A$2:$AS$46,9,FALSE))+IF(AH31="",0,VLOOKUP(AH31,Bausteine!$A$2:$AS$46,9,FALSE))</f>
        <v/>
      </c>
      <c r="V31">
        <f>IF(D31="",0,VLOOKUP(D31,Bausteine!$A$2:$AS$46,10,FALSE))-U31/IF(E31="",0,VLOOKUP(E31,Bausteine!$A$2:$AS$46,11,FALSE))</f>
        <v/>
      </c>
      <c r="W31">
        <f>IF(Y31&lt;&gt;"OK","",ROUND(MIN(IF(C31="",0,VLOOKUP(C31,Bausteine!$A$2:$AS$46,21,FALSE)),IF(C31="",0,VLOOKUP(C31,Bausteine!$A$2:$AS$46,20,FALSE))*(V31/T31/(IF(C31="",0,VLOOKUP(C31,Bausteine!$A$2:$AS$46,19,FALSE))/IF(C31="",0,VLOOKUP(C31,Bausteine!$A$2:$AS$46,18,FALSE))))^Parameter!$B$3),0))</f>
        <v/>
      </c>
      <c r="X31">
        <f>IF(F31="",0,VLOOKUP(F31,Bausteine!$A$2:$AS$46,14,FALSE))</f>
        <v/>
      </c>
      <c r="Y31">
        <f>IFERROR(IF(OR(AD31&lt;=0,AD31&gt;1,R31&lt;=0,T31&lt;=0,V31&lt;=0,U31&gt;IF(E31="",0,VLOOKUP(E31,Bausteine!$A$2:$AS$46,12,FALSE)),T31&gt;IF(C31="",0,VLOOKUP(C31,Bausteine!$A$2:$AS$46,22,FALSE)),IF(E31="",0,VLOOKUP(E31,Bausteine!$A$2:$AS$46,11,FALSE))&lt;=0,IF(E31="",0,VLOOKUP(E31,Bausteine!$A$2:$AS$46,11,FALSE))&gt;1),"UNGUELTIG","OK"),"FEHLER")</f>
        <v/>
      </c>
      <c r="Z31" t="n">
        <v>1600</v>
      </c>
      <c r="AA31" t="n">
        <v>100</v>
      </c>
      <c r="AB31" t="inlineStr"/>
      <c r="AC31" t="inlineStr"/>
      <c r="AD31">
        <f>IF(AC31="",1,IF(AC31="",0,VLOOKUP(AC31,Bausteine!$A$2:$AS$46,37,FALSE))/100)</f>
        <v/>
      </c>
      <c r="AE31">
        <f>P31*AD31</f>
        <v/>
      </c>
      <c r="AF31" t="inlineStr"/>
      <c r="AG31" t="inlineStr"/>
      <c r="AH31" t="inlineStr"/>
      <c r="AI31">
        <f>SUMIF(Startbesatzung!$A$2:$A$7,A31,Startbesatzung!$D$2:$D$7)</f>
        <v/>
      </c>
      <c r="AJ31">
        <f>SUMIF(Startbesatzung!$A$2:$A$7,A31,Startbesatzung!$E$2:$E$7)</f>
        <v/>
      </c>
      <c r="AK31">
        <f>MAX(0,IF(Startbesatzung!A2=A31,Startbesatzung!G2,0),IF(Startbesatzung!A3=A31,Startbesatzung!G3,0),IF(Startbesatzung!A4=A31,Startbesatzung!G4,0),IF(Startbesatzung!A5=A31,Startbesatzung!G5,0),IF(Startbesatzung!A6=A31,Startbesatzung!G6,0),IF(Startbesatzung!A7=A31,Startbesatzung!G7,0))</f>
        <v/>
      </c>
      <c r="AL31">
        <f>IF(AF31="","",IF(IF(AH31="",0,VLOOKUP(AH31,Bausteine!$A$2:$AS$46,38,FALSE))&gt;0,IF(AH31="",0,VLOOKUP(AH31,Bausteine!$A$2:$AS$46,38,FALSE)),IF(AG31="",0,VLOOKUP(AG31,Bausteine!$A$2:$AS$46,28,FALSE))))</f>
        <v/>
      </c>
      <c r="AM31">
        <f>IF(AF31="","",IF(AG31="",0,VLOOKUP(AG31,Bausteine!$A$2:$AS$46,44,FALSE)))</f>
        <v/>
      </c>
      <c r="AN31">
        <f>IF(AF31="","",IF(AF31="",0,VLOOKUP(AF31,Bausteine!$A$2:$AS$46,27,FALSE)))</f>
        <v/>
      </c>
      <c r="AO31">
        <f>IF(AF31="","",IF(AF31="",0,VLOOKUP(AF31,Bausteine!$A$2:$AS$46,25,FALSE)))</f>
        <v/>
      </c>
      <c r="AP31">
        <f>IF(AF31="","",IF(AH31="",0,VLOOKUP(AH31,Bausteine!$A$2:$AS$46,29,FALSE)))</f>
        <v/>
      </c>
    </row>
    <row r="32">
      <c r="A32" t="inlineStr">
        <is>
          <t>Battlemaster Nuclear Shells Reflector</t>
        </is>
      </c>
      <c r="B32" t="inlineStr">
        <is>
          <t>china</t>
        </is>
      </c>
      <c r="C32" t="inlineStr">
        <is>
          <t>battlemaster</t>
        </is>
      </c>
      <c r="D32" t="inlineStr">
        <is>
          <t>diesel-large</t>
        </is>
      </c>
      <c r="E32" t="inlineStr">
        <is>
          <t>efficient-generator</t>
        </is>
      </c>
      <c r="F32" t="inlineStr">
        <is>
          <t>reflector</t>
        </is>
      </c>
      <c r="G32" t="inlineStr">
        <is>
          <t>cannon-turret</t>
        </is>
      </c>
      <c r="H32" t="inlineStr">
        <is>
          <t>cannon</t>
        </is>
      </c>
      <c r="I32" t="inlineStr">
        <is>
          <t>nuclear-shell</t>
        </is>
      </c>
      <c r="J32" t="inlineStr"/>
      <c r="K32" t="inlineStr"/>
      <c r="L32" t="inlineStr"/>
      <c r="M32">
        <f>IF(C32="",0,VLOOKUP(C32,Bausteine!$A$2:$AS$46,4,FALSE))+IF(D32="",0,VLOOKUP(D32,Bausteine!$A$2:$AS$46,4,FALSE))+IF(E32="",0,VLOOKUP(E32,Bausteine!$A$2:$AS$46,4,FALSE))+IF(F32="",0,VLOOKUP(F32,Bausteine!$A$2:$AS$46,4,FALSE))+IF(G32="",0,VLOOKUP(G32,Bausteine!$A$2:$AS$46,4,FALSE))+IF(H32="",0,VLOOKUP(H32,Bausteine!$A$2:$AS$46,4,FALSE))+IF(I32="",0,VLOOKUP(I32,Bausteine!$A$2:$AS$46,4,FALSE))+IF(J32="",0,VLOOKUP(J32,Bausteine!$A$2:$AS$46,4,FALSE))+IF(K32="",0,VLOOKUP(K32,Bausteine!$A$2:$AS$46,4,FALSE))+IF(L32="",0,VLOOKUP(L32,Bausteine!$A$2:$AS$46,4,FALSE))+IF(AC32="",0,VLOOKUP(AC32,Bausteine!$A$2:$AS$46,4,FALSE))+IF(AF32="",0,VLOOKUP(AF32,Bausteine!$A$2:$AS$46,4,FALSE))+IF(AG32="",0,VLOOKUP(AG32,Bausteine!$A$2:$AS$46,4,FALSE))+IF(AH32="",0,VLOOKUP(AH32,Bausteine!$A$2:$AS$46,4,FALSE))</f>
        <v/>
      </c>
      <c r="N32">
        <f>IF(C32="",0,VLOOKUP(C32,Bausteine!$A$2:$AS$46,5,FALSE))+IF(D32="",0,VLOOKUP(D32,Bausteine!$A$2:$AS$46,5,FALSE))+IF(E32="",0,VLOOKUP(E32,Bausteine!$A$2:$AS$46,5,FALSE))+IF(F32="",0,VLOOKUP(F32,Bausteine!$A$2:$AS$46,5,FALSE))+IF(G32="",0,VLOOKUP(G32,Bausteine!$A$2:$AS$46,5,FALSE))+IF(H32="",0,VLOOKUP(H32,Bausteine!$A$2:$AS$46,5,FALSE))+IF(I32="",0,VLOOKUP(I32,Bausteine!$A$2:$AS$46,5,FALSE))+IF(J32="",0,VLOOKUP(J32,Bausteine!$A$2:$AS$46,5,FALSE))+IF(K32="",0,VLOOKUP(K32,Bausteine!$A$2:$AS$46,5,FALSE))+IF(L32="",0,VLOOKUP(L32,Bausteine!$A$2:$AS$46,5,FALSE))+IF(AC32="",0,VLOOKUP(AC32,Bausteine!$A$2:$AS$46,5,FALSE))+IF(AF32="",0,VLOOKUP(AF32,Bausteine!$A$2:$AS$46,5,FALSE))+IF(AG32="",0,VLOOKUP(AG32,Bausteine!$A$2:$AS$46,5,FALSE))+IF(AH32="",0,VLOOKUP(AH32,Bausteine!$A$2:$AS$46,5,FALSE))</f>
        <v/>
      </c>
      <c r="O32">
        <f>MAX(IF(C32="",0,VLOOKUP(C32,Bausteine!$A$2:$AS$46,6,FALSE)),IF(D32="",0,VLOOKUP(D32,Bausteine!$A$2:$AS$46,6,FALSE)),IF(E32="",0,VLOOKUP(E32,Bausteine!$A$2:$AS$46,6,FALSE)),IF(F32="",0,VLOOKUP(F32,Bausteine!$A$2:$AS$46,6,FALSE)),IF(G32="",0,VLOOKUP(G32,Bausteine!$A$2:$AS$46,6,FALSE)),IF(H32="",0,VLOOKUP(H32,Bausteine!$A$2:$AS$46,6,FALSE)),IF(I32="",0,VLOOKUP(I32,Bausteine!$A$2:$AS$46,6,FALSE)),IF(J32="",0,VLOOKUP(J32,Bausteine!$A$2:$AS$46,6,FALSE)),IF(K32="",0,VLOOKUP(K32,Bausteine!$A$2:$AS$46,6,FALSE)),IF(L32="",0,VLOOKUP(L32,Bausteine!$A$2:$AS$46,6,FALSE)),IF(AC32="",0,VLOOKUP(AC32,Bausteine!$A$2:$AS$46,6,FALSE)),IF(AF32="",0,VLOOKUP(AF32,Bausteine!$A$2:$AS$46,6,FALSE)),IF(AG32="",0,VLOOKUP(AG32,Bausteine!$A$2:$AS$46,6,FALSE)),IF(AH32="",0,VLOOKUP(AH32,Bausteine!$A$2:$AS$46,6,FALSE)),AK32)</f>
        <v/>
      </c>
      <c r="P32">
        <f>IF(C32="",0,VLOOKUP(C32,Bausteine!$A$2:$AS$46,7,FALSE))*IF(F32="",0,VLOOKUP(F32,Bausteine!$A$2:$AS$46,17,FALSE))/100+IF(D32="",0,VLOOKUP(D32,Bausteine!$A$2:$AS$46,7,FALSE))+IF(E32="",0,VLOOKUP(E32,Bausteine!$A$2:$AS$46,7,FALSE))+IF(G32="",0,VLOOKUP(G32,Bausteine!$A$2:$AS$46,7,FALSE))+IF(H32="",0,VLOOKUP(H32,Bausteine!$A$2:$AS$46,7,FALSE))+IF(I32="",0,VLOOKUP(I32,Bausteine!$A$2:$AS$46,7,FALSE))+IF(J32="",0,VLOOKUP(J32,Bausteine!$A$2:$AS$46,7,FALSE))+IF(K32="",0,VLOOKUP(K32,Bausteine!$A$2:$AS$46,7,FALSE))+IF(L32="",0,VLOOKUP(L32,Bausteine!$A$2:$AS$46,7,FALSE))+IF(AC32="",0,VLOOKUP(AC32,Bausteine!$A$2:$AS$46,7,FALSE))+IF(AF32="",0,VLOOKUP(AF32,Bausteine!$A$2:$AS$46,7,FALSE))+IF(AG32="",0,VLOOKUP(AG32,Bausteine!$A$2:$AS$46,7,FALSE))+IF(AH32="",0,VLOOKUP(AH32,Bausteine!$A$2:$AS$46,7,FALSE))+AI32</f>
        <v/>
      </c>
      <c r="Q32">
        <f>N32*Parameter!$B$2</f>
        <v/>
      </c>
      <c r="R32">
        <f>AE32-Q32</f>
        <v/>
      </c>
      <c r="S32">
        <f>IF(C32="",0,VLOOKUP(C32,Bausteine!$A$2:$AS$46,13,FALSE))*IF(F32="",0,VLOOKUP(F32,Bausteine!$A$2:$AS$46,16,FALSE))/100</f>
        <v/>
      </c>
      <c r="T32">
        <f>IF(C32="",0,VLOOKUP(C32,Bausteine!$A$2:$AS$46,8,FALSE))*IF(F32="",0,VLOOKUP(F32,Bausteine!$A$2:$AS$46,15,FALSE))/100+IF(D32="",0,VLOOKUP(D32,Bausteine!$A$2:$AS$46,8,FALSE))+IF(E32="",0,VLOOKUP(E32,Bausteine!$A$2:$AS$46,8,FALSE))+IF(G32="",0,VLOOKUP(G32,Bausteine!$A$2:$AS$46,8,FALSE))+IF(H32="",0,VLOOKUP(H32,Bausteine!$A$2:$AS$46,8,FALSE))+IF(I32="",0,VLOOKUP(I32,Bausteine!$A$2:$AS$46,8,FALSE))+IF(J32="",0,VLOOKUP(J32,Bausteine!$A$2:$AS$46,8,FALSE))+IF(K32="",0,VLOOKUP(K32,Bausteine!$A$2:$AS$46,8,FALSE))+IF(L32="",0,VLOOKUP(L32,Bausteine!$A$2:$AS$46,8,FALSE))+IF(AC32="",0,VLOOKUP(AC32,Bausteine!$A$2:$AS$46,8,FALSE))+IF(AF32="",0,VLOOKUP(AF32,Bausteine!$A$2:$AS$46,8,FALSE))+IF(AG32="",0,VLOOKUP(AG32,Bausteine!$A$2:$AS$46,8,FALSE))+IF(AH32="",0,VLOOKUP(AH32,Bausteine!$A$2:$AS$46,8,FALSE))+AJ32</f>
        <v/>
      </c>
      <c r="U32">
        <f>IF(C32="",0,VLOOKUP(C32,Bausteine!$A$2:$AS$46,9,FALSE))+IF(D32="",0,VLOOKUP(D32,Bausteine!$A$2:$AS$46,9,FALSE))+IF(E32="",0,VLOOKUP(E32,Bausteine!$A$2:$AS$46,9,FALSE))+IF(F32="",0,VLOOKUP(F32,Bausteine!$A$2:$AS$46,9,FALSE))+IF(G32="",0,VLOOKUP(G32,Bausteine!$A$2:$AS$46,9,FALSE))+IF(H32="",0,VLOOKUP(H32,Bausteine!$A$2:$AS$46,9,FALSE))+IF(I32="",0,VLOOKUP(I32,Bausteine!$A$2:$AS$46,9,FALSE))+IF(J32="",0,VLOOKUP(J32,Bausteine!$A$2:$AS$46,9,FALSE))+IF(K32="",0,VLOOKUP(K32,Bausteine!$A$2:$AS$46,9,FALSE))+IF(L32="",0,VLOOKUP(L32,Bausteine!$A$2:$AS$46,9,FALSE))+IF(AC32="",0,VLOOKUP(AC32,Bausteine!$A$2:$AS$46,9,FALSE))+IF(AF32="",0,VLOOKUP(AF32,Bausteine!$A$2:$AS$46,9,FALSE))+IF(AG32="",0,VLOOKUP(AG32,Bausteine!$A$2:$AS$46,9,FALSE))+IF(AH32="",0,VLOOKUP(AH32,Bausteine!$A$2:$AS$46,9,FALSE))</f>
        <v/>
      </c>
      <c r="V32">
        <f>IF(D32="",0,VLOOKUP(D32,Bausteine!$A$2:$AS$46,10,FALSE))-U32/IF(E32="",0,VLOOKUP(E32,Bausteine!$A$2:$AS$46,11,FALSE))</f>
        <v/>
      </c>
      <c r="W32">
        <f>IF(Y32&lt;&gt;"OK","",ROUND(MIN(IF(C32="",0,VLOOKUP(C32,Bausteine!$A$2:$AS$46,21,FALSE)),IF(C32="",0,VLOOKUP(C32,Bausteine!$A$2:$AS$46,20,FALSE))*(V32/T32/(IF(C32="",0,VLOOKUP(C32,Bausteine!$A$2:$AS$46,19,FALSE))/IF(C32="",0,VLOOKUP(C32,Bausteine!$A$2:$AS$46,18,FALSE))))^Parameter!$B$3),0))</f>
        <v/>
      </c>
      <c r="X32">
        <f>IF(F32="",0,VLOOKUP(F32,Bausteine!$A$2:$AS$46,14,FALSE))</f>
        <v/>
      </c>
      <c r="Y32">
        <f>IFERROR(IF(OR(AD32&lt;=0,AD32&gt;1,R32&lt;=0,T32&lt;=0,V32&lt;=0,U32&gt;IF(E32="",0,VLOOKUP(E32,Bausteine!$A$2:$AS$46,12,FALSE)),T32&gt;IF(C32="",0,VLOOKUP(C32,Bausteine!$A$2:$AS$46,22,FALSE)),IF(E32="",0,VLOOKUP(E32,Bausteine!$A$2:$AS$46,11,FALSE))&lt;=0,IF(E32="",0,VLOOKUP(E32,Bausteine!$A$2:$AS$46,11,FALSE))&gt;1),"UNGUELTIG","OK"),"FEHLER")</f>
        <v/>
      </c>
      <c r="Z32" t="n">
        <v>950</v>
      </c>
      <c r="AA32" t="n">
        <v>100</v>
      </c>
      <c r="AB32" t="inlineStr"/>
      <c r="AC32" t="inlineStr"/>
      <c r="AD32">
        <f>IF(AC32="",1,IF(AC32="",0,VLOOKUP(AC32,Bausteine!$A$2:$AS$46,37,FALSE))/100)</f>
        <v/>
      </c>
      <c r="AE32">
        <f>P32*AD32</f>
        <v/>
      </c>
      <c r="AF32" t="inlineStr"/>
      <c r="AG32" t="inlineStr"/>
      <c r="AH32" t="inlineStr"/>
      <c r="AI32">
        <f>SUMIF(Startbesatzung!$A$2:$A$7,A32,Startbesatzung!$D$2:$D$7)</f>
        <v/>
      </c>
      <c r="AJ32">
        <f>SUMIF(Startbesatzung!$A$2:$A$7,A32,Startbesatzung!$E$2:$E$7)</f>
        <v/>
      </c>
      <c r="AK32">
        <f>MAX(0,IF(Startbesatzung!A2=A32,Startbesatzung!G2,0),IF(Startbesatzung!A3=A32,Startbesatzung!G3,0),IF(Startbesatzung!A4=A32,Startbesatzung!G4,0),IF(Startbesatzung!A5=A32,Startbesatzung!G5,0),IF(Startbesatzung!A6=A32,Startbesatzung!G6,0),IF(Startbesatzung!A7=A32,Startbesatzung!G7,0))</f>
        <v/>
      </c>
      <c r="AL32">
        <f>IF(AF32="","",IF(IF(AH32="",0,VLOOKUP(AH32,Bausteine!$A$2:$AS$46,38,FALSE))&gt;0,IF(AH32="",0,VLOOKUP(AH32,Bausteine!$A$2:$AS$46,38,FALSE)),IF(AG32="",0,VLOOKUP(AG32,Bausteine!$A$2:$AS$46,28,FALSE))))</f>
        <v/>
      </c>
      <c r="AM32">
        <f>IF(AF32="","",IF(AG32="",0,VLOOKUP(AG32,Bausteine!$A$2:$AS$46,44,FALSE)))</f>
        <v/>
      </c>
      <c r="AN32">
        <f>IF(AF32="","",IF(AF32="",0,VLOOKUP(AF32,Bausteine!$A$2:$AS$46,27,FALSE)))</f>
        <v/>
      </c>
      <c r="AO32">
        <f>IF(AF32="","",IF(AF32="",0,VLOOKUP(AF32,Bausteine!$A$2:$AS$46,25,FALSE)))</f>
        <v/>
      </c>
      <c r="AP32">
        <f>IF(AF32="","",IF(AH32="",0,VLOOKUP(AH32,Bausteine!$A$2:$AS$46,29,FALSE)))</f>
        <v/>
      </c>
    </row>
    <row r="33">
      <c r="A33" t="inlineStr">
        <is>
          <t>Battlemaster Mass Production</t>
        </is>
      </c>
      <c r="B33" t="inlineStr">
        <is>
          <t>china</t>
        </is>
      </c>
      <c r="C33" t="inlineStr">
        <is>
          <t>battlemaster</t>
        </is>
      </c>
      <c r="D33" t="inlineStr">
        <is>
          <t>diesel</t>
        </is>
      </c>
      <c r="E33" t="inlineStr">
        <is>
          <t>baseline-generator</t>
        </is>
      </c>
      <c r="F33" t="inlineStr">
        <is>
          <t>heavy</t>
        </is>
      </c>
      <c r="G33" t="inlineStr">
        <is>
          <t>cannon-turret</t>
        </is>
      </c>
      <c r="H33" t="inlineStr">
        <is>
          <t>cannon</t>
        </is>
      </c>
      <c r="I33" t="inlineStr">
        <is>
          <t>shell</t>
        </is>
      </c>
      <c r="J33" t="inlineStr"/>
      <c r="K33" t="inlineStr"/>
      <c r="L33" t="inlineStr"/>
      <c r="M33">
        <f>IF(C33="",0,VLOOKUP(C33,Bausteine!$A$2:$AS$46,4,FALSE))+IF(D33="",0,VLOOKUP(D33,Bausteine!$A$2:$AS$46,4,FALSE))+IF(E33="",0,VLOOKUP(E33,Bausteine!$A$2:$AS$46,4,FALSE))+IF(F33="",0,VLOOKUP(F33,Bausteine!$A$2:$AS$46,4,FALSE))+IF(G33="",0,VLOOKUP(G33,Bausteine!$A$2:$AS$46,4,FALSE))+IF(H33="",0,VLOOKUP(H33,Bausteine!$A$2:$AS$46,4,FALSE))+IF(I33="",0,VLOOKUP(I33,Bausteine!$A$2:$AS$46,4,FALSE))+IF(J33="",0,VLOOKUP(J33,Bausteine!$A$2:$AS$46,4,FALSE))+IF(K33="",0,VLOOKUP(K33,Bausteine!$A$2:$AS$46,4,FALSE))+IF(L33="",0,VLOOKUP(L33,Bausteine!$A$2:$AS$46,4,FALSE))+IF(AC33="",0,VLOOKUP(AC33,Bausteine!$A$2:$AS$46,4,FALSE))+IF(AF33="",0,VLOOKUP(AF33,Bausteine!$A$2:$AS$46,4,FALSE))+IF(AG33="",0,VLOOKUP(AG33,Bausteine!$A$2:$AS$46,4,FALSE))+IF(AH33="",0,VLOOKUP(AH33,Bausteine!$A$2:$AS$46,4,FALSE))</f>
        <v/>
      </c>
      <c r="N33">
        <f>IF(C33="",0,VLOOKUP(C33,Bausteine!$A$2:$AS$46,5,FALSE))+IF(D33="",0,VLOOKUP(D33,Bausteine!$A$2:$AS$46,5,FALSE))+IF(E33="",0,VLOOKUP(E33,Bausteine!$A$2:$AS$46,5,FALSE))+IF(F33="",0,VLOOKUP(F33,Bausteine!$A$2:$AS$46,5,FALSE))+IF(G33="",0,VLOOKUP(G33,Bausteine!$A$2:$AS$46,5,FALSE))+IF(H33="",0,VLOOKUP(H33,Bausteine!$A$2:$AS$46,5,FALSE))+IF(I33="",0,VLOOKUP(I33,Bausteine!$A$2:$AS$46,5,FALSE))+IF(J33="",0,VLOOKUP(J33,Bausteine!$A$2:$AS$46,5,FALSE))+IF(K33="",0,VLOOKUP(K33,Bausteine!$A$2:$AS$46,5,FALSE))+IF(L33="",0,VLOOKUP(L33,Bausteine!$A$2:$AS$46,5,FALSE))+IF(AC33="",0,VLOOKUP(AC33,Bausteine!$A$2:$AS$46,5,FALSE))+IF(AF33="",0,VLOOKUP(AF33,Bausteine!$A$2:$AS$46,5,FALSE))+IF(AG33="",0,VLOOKUP(AG33,Bausteine!$A$2:$AS$46,5,FALSE))+IF(AH33="",0,VLOOKUP(AH33,Bausteine!$A$2:$AS$46,5,FALSE))</f>
        <v/>
      </c>
      <c r="O33">
        <f>MAX(IF(C33="",0,VLOOKUP(C33,Bausteine!$A$2:$AS$46,6,FALSE)),IF(D33="",0,VLOOKUP(D33,Bausteine!$A$2:$AS$46,6,FALSE)),IF(E33="",0,VLOOKUP(E33,Bausteine!$A$2:$AS$46,6,FALSE)),IF(F33="",0,VLOOKUP(F33,Bausteine!$A$2:$AS$46,6,FALSE)),IF(G33="",0,VLOOKUP(G33,Bausteine!$A$2:$AS$46,6,FALSE)),IF(H33="",0,VLOOKUP(H33,Bausteine!$A$2:$AS$46,6,FALSE)),IF(I33="",0,VLOOKUP(I33,Bausteine!$A$2:$AS$46,6,FALSE)),IF(J33="",0,VLOOKUP(J33,Bausteine!$A$2:$AS$46,6,FALSE)),IF(K33="",0,VLOOKUP(K33,Bausteine!$A$2:$AS$46,6,FALSE)),IF(L33="",0,VLOOKUP(L33,Bausteine!$A$2:$AS$46,6,FALSE)),IF(AC33="",0,VLOOKUP(AC33,Bausteine!$A$2:$AS$46,6,FALSE)),IF(AF33="",0,VLOOKUP(AF33,Bausteine!$A$2:$AS$46,6,FALSE)),IF(AG33="",0,VLOOKUP(AG33,Bausteine!$A$2:$AS$46,6,FALSE)),IF(AH33="",0,VLOOKUP(AH33,Bausteine!$A$2:$AS$46,6,FALSE)),AK33)</f>
        <v/>
      </c>
      <c r="P33">
        <f>IF(C33="",0,VLOOKUP(C33,Bausteine!$A$2:$AS$46,7,FALSE))*IF(F33="",0,VLOOKUP(F33,Bausteine!$A$2:$AS$46,17,FALSE))/100+IF(D33="",0,VLOOKUP(D33,Bausteine!$A$2:$AS$46,7,FALSE))+IF(E33="",0,VLOOKUP(E33,Bausteine!$A$2:$AS$46,7,FALSE))+IF(G33="",0,VLOOKUP(G33,Bausteine!$A$2:$AS$46,7,FALSE))+IF(H33="",0,VLOOKUP(H33,Bausteine!$A$2:$AS$46,7,FALSE))+IF(I33="",0,VLOOKUP(I33,Bausteine!$A$2:$AS$46,7,FALSE))+IF(J33="",0,VLOOKUP(J33,Bausteine!$A$2:$AS$46,7,FALSE))+IF(K33="",0,VLOOKUP(K33,Bausteine!$A$2:$AS$46,7,FALSE))+IF(L33="",0,VLOOKUP(L33,Bausteine!$A$2:$AS$46,7,FALSE))+IF(AC33="",0,VLOOKUP(AC33,Bausteine!$A$2:$AS$46,7,FALSE))+IF(AF33="",0,VLOOKUP(AF33,Bausteine!$A$2:$AS$46,7,FALSE))+IF(AG33="",0,VLOOKUP(AG33,Bausteine!$A$2:$AS$46,7,FALSE))+IF(AH33="",0,VLOOKUP(AH33,Bausteine!$A$2:$AS$46,7,FALSE))+AI33</f>
        <v/>
      </c>
      <c r="Q33">
        <f>N33*Parameter!$B$2</f>
        <v/>
      </c>
      <c r="R33">
        <f>AE33-Q33</f>
        <v/>
      </c>
      <c r="S33">
        <f>IF(C33="",0,VLOOKUP(C33,Bausteine!$A$2:$AS$46,13,FALSE))*IF(F33="",0,VLOOKUP(F33,Bausteine!$A$2:$AS$46,16,FALSE))/100</f>
        <v/>
      </c>
      <c r="T33">
        <f>IF(C33="",0,VLOOKUP(C33,Bausteine!$A$2:$AS$46,8,FALSE))*IF(F33="",0,VLOOKUP(F33,Bausteine!$A$2:$AS$46,15,FALSE))/100+IF(D33="",0,VLOOKUP(D33,Bausteine!$A$2:$AS$46,8,FALSE))+IF(E33="",0,VLOOKUP(E33,Bausteine!$A$2:$AS$46,8,FALSE))+IF(G33="",0,VLOOKUP(G33,Bausteine!$A$2:$AS$46,8,FALSE))+IF(H33="",0,VLOOKUP(H33,Bausteine!$A$2:$AS$46,8,FALSE))+IF(I33="",0,VLOOKUP(I33,Bausteine!$A$2:$AS$46,8,FALSE))+IF(J33="",0,VLOOKUP(J33,Bausteine!$A$2:$AS$46,8,FALSE))+IF(K33="",0,VLOOKUP(K33,Bausteine!$A$2:$AS$46,8,FALSE))+IF(L33="",0,VLOOKUP(L33,Bausteine!$A$2:$AS$46,8,FALSE))+IF(AC33="",0,VLOOKUP(AC33,Bausteine!$A$2:$AS$46,8,FALSE))+IF(AF33="",0,VLOOKUP(AF33,Bausteine!$A$2:$AS$46,8,FALSE))+IF(AG33="",0,VLOOKUP(AG33,Bausteine!$A$2:$AS$46,8,FALSE))+IF(AH33="",0,VLOOKUP(AH33,Bausteine!$A$2:$AS$46,8,FALSE))+AJ33</f>
        <v/>
      </c>
      <c r="U33">
        <f>IF(C33="",0,VLOOKUP(C33,Bausteine!$A$2:$AS$46,9,FALSE))+IF(D33="",0,VLOOKUP(D33,Bausteine!$A$2:$AS$46,9,FALSE))+IF(E33="",0,VLOOKUP(E33,Bausteine!$A$2:$AS$46,9,FALSE))+IF(F33="",0,VLOOKUP(F33,Bausteine!$A$2:$AS$46,9,FALSE))+IF(G33="",0,VLOOKUP(G33,Bausteine!$A$2:$AS$46,9,FALSE))+IF(H33="",0,VLOOKUP(H33,Bausteine!$A$2:$AS$46,9,FALSE))+IF(I33="",0,VLOOKUP(I33,Bausteine!$A$2:$AS$46,9,FALSE))+IF(J33="",0,VLOOKUP(J33,Bausteine!$A$2:$AS$46,9,FALSE))+IF(K33="",0,VLOOKUP(K33,Bausteine!$A$2:$AS$46,9,FALSE))+IF(L33="",0,VLOOKUP(L33,Bausteine!$A$2:$AS$46,9,FALSE))+IF(AC33="",0,VLOOKUP(AC33,Bausteine!$A$2:$AS$46,9,FALSE))+IF(AF33="",0,VLOOKUP(AF33,Bausteine!$A$2:$AS$46,9,FALSE))+IF(AG33="",0,VLOOKUP(AG33,Bausteine!$A$2:$AS$46,9,FALSE))+IF(AH33="",0,VLOOKUP(AH33,Bausteine!$A$2:$AS$46,9,FALSE))</f>
        <v/>
      </c>
      <c r="V33">
        <f>IF(D33="",0,VLOOKUP(D33,Bausteine!$A$2:$AS$46,10,FALSE))-U33/IF(E33="",0,VLOOKUP(E33,Bausteine!$A$2:$AS$46,11,FALSE))</f>
        <v/>
      </c>
      <c r="W33">
        <f>IF(Y33&lt;&gt;"OK","",ROUND(MIN(IF(C33="",0,VLOOKUP(C33,Bausteine!$A$2:$AS$46,21,FALSE)),IF(C33="",0,VLOOKUP(C33,Bausteine!$A$2:$AS$46,20,FALSE))*(V33/T33/(IF(C33="",0,VLOOKUP(C33,Bausteine!$A$2:$AS$46,19,FALSE))/IF(C33="",0,VLOOKUP(C33,Bausteine!$A$2:$AS$46,18,FALSE))))^Parameter!$B$3),0))</f>
        <v/>
      </c>
      <c r="X33">
        <f>IF(F33="",0,VLOOKUP(F33,Bausteine!$A$2:$AS$46,14,FALSE))</f>
        <v/>
      </c>
      <c r="Y33">
        <f>IFERROR(IF(OR(AD33&lt;=0,AD33&gt;1,R33&lt;=0,T33&lt;=0,V33&lt;=0,U33&gt;IF(E33="",0,VLOOKUP(E33,Bausteine!$A$2:$AS$46,12,FALSE)),T33&gt;IF(C33="",0,VLOOKUP(C33,Bausteine!$A$2:$AS$46,22,FALSE)),IF(E33="",0,VLOOKUP(E33,Bausteine!$A$2:$AS$46,11,FALSE))&lt;=0,IF(E33="",0,VLOOKUP(E33,Bausteine!$A$2:$AS$46,11,FALSE))&gt;1),"UNGUELTIG","OK"),"FEHLER")</f>
        <v/>
      </c>
      <c r="Z33" t="n">
        <v>602.5</v>
      </c>
      <c r="AA33" t="n">
        <v>100</v>
      </c>
      <c r="AB33" t="inlineStr"/>
      <c r="AC33" t="inlineStr">
        <is>
          <t>mass-production</t>
        </is>
      </c>
      <c r="AD33">
        <f>IF(AC33="",1,IF(AC33="",0,VLOOKUP(AC33,Bausteine!$A$2:$AS$46,37,FALSE))/100)</f>
        <v/>
      </c>
      <c r="AE33">
        <f>P33*AD33</f>
        <v/>
      </c>
      <c r="AF33" t="inlineStr"/>
      <c r="AG33" t="inlineStr"/>
      <c r="AH33" t="inlineStr"/>
      <c r="AI33">
        <f>SUMIF(Startbesatzung!$A$2:$A$7,A33,Startbesatzung!$D$2:$D$7)</f>
        <v/>
      </c>
      <c r="AJ33">
        <f>SUMIF(Startbesatzung!$A$2:$A$7,A33,Startbesatzung!$E$2:$E$7)</f>
        <v/>
      </c>
      <c r="AK33">
        <f>MAX(0,IF(Startbesatzung!A2=A33,Startbesatzung!G2,0),IF(Startbesatzung!A3=A33,Startbesatzung!G3,0),IF(Startbesatzung!A4=A33,Startbesatzung!G4,0),IF(Startbesatzung!A5=A33,Startbesatzung!G5,0),IF(Startbesatzung!A6=A33,Startbesatzung!G6,0),IF(Startbesatzung!A7=A33,Startbesatzung!G7,0))</f>
        <v/>
      </c>
      <c r="AL33">
        <f>IF(AF33="","",IF(IF(AH33="",0,VLOOKUP(AH33,Bausteine!$A$2:$AS$46,38,FALSE))&gt;0,IF(AH33="",0,VLOOKUP(AH33,Bausteine!$A$2:$AS$46,38,FALSE)),IF(AG33="",0,VLOOKUP(AG33,Bausteine!$A$2:$AS$46,28,FALSE))))</f>
        <v/>
      </c>
      <c r="AM33">
        <f>IF(AF33="","",IF(AG33="",0,VLOOKUP(AG33,Bausteine!$A$2:$AS$46,44,FALSE)))</f>
        <v/>
      </c>
      <c r="AN33">
        <f>IF(AF33="","",IF(AF33="",0,VLOOKUP(AF33,Bausteine!$A$2:$AS$46,27,FALSE)))</f>
        <v/>
      </c>
      <c r="AO33">
        <f>IF(AF33="","",IF(AF33="",0,VLOOKUP(AF33,Bausteine!$A$2:$AS$46,25,FALSE)))</f>
        <v/>
      </c>
      <c r="AP33">
        <f>IF(AF33="","",IF(AH33="",0,VLOOKUP(AH33,Bausteine!$A$2:$AS$46,29,FALSE)))</f>
        <v/>
      </c>
    </row>
    <row r="34">
      <c r="A34" t="inlineStr">
        <is>
          <t>Battlemaster Mass Production PDL</t>
        </is>
      </c>
      <c r="B34" t="inlineStr">
        <is>
          <t>china</t>
        </is>
      </c>
      <c r="C34" t="inlineStr">
        <is>
          <t>battlemaster</t>
        </is>
      </c>
      <c r="D34" t="inlineStr">
        <is>
          <t>diesel-large</t>
        </is>
      </c>
      <c r="E34" t="inlineStr">
        <is>
          <t>efficient-generator</t>
        </is>
      </c>
      <c r="F34" t="inlineStr">
        <is>
          <t>heavy</t>
        </is>
      </c>
      <c r="G34" t="inlineStr">
        <is>
          <t>cannon-turret</t>
        </is>
      </c>
      <c r="H34" t="inlineStr">
        <is>
          <t>cannon</t>
        </is>
      </c>
      <c r="I34" t="inlineStr">
        <is>
          <t>shell</t>
        </is>
      </c>
      <c r="J34" t="inlineStr">
        <is>
          <t>pdl</t>
        </is>
      </c>
      <c r="K34" t="inlineStr"/>
      <c r="L34" t="inlineStr"/>
      <c r="M34">
        <f>IF(C34="",0,VLOOKUP(C34,Bausteine!$A$2:$AS$46,4,FALSE))+IF(D34="",0,VLOOKUP(D34,Bausteine!$A$2:$AS$46,4,FALSE))+IF(E34="",0,VLOOKUP(E34,Bausteine!$A$2:$AS$46,4,FALSE))+IF(F34="",0,VLOOKUP(F34,Bausteine!$A$2:$AS$46,4,FALSE))+IF(G34="",0,VLOOKUP(G34,Bausteine!$A$2:$AS$46,4,FALSE))+IF(H34="",0,VLOOKUP(H34,Bausteine!$A$2:$AS$46,4,FALSE))+IF(I34="",0,VLOOKUP(I34,Bausteine!$A$2:$AS$46,4,FALSE))+IF(J34="",0,VLOOKUP(J34,Bausteine!$A$2:$AS$46,4,FALSE))+IF(K34="",0,VLOOKUP(K34,Bausteine!$A$2:$AS$46,4,FALSE))+IF(L34="",0,VLOOKUP(L34,Bausteine!$A$2:$AS$46,4,FALSE))+IF(AC34="",0,VLOOKUP(AC34,Bausteine!$A$2:$AS$46,4,FALSE))+IF(AF34="",0,VLOOKUP(AF34,Bausteine!$A$2:$AS$46,4,FALSE))+IF(AG34="",0,VLOOKUP(AG34,Bausteine!$A$2:$AS$46,4,FALSE))+IF(AH34="",0,VLOOKUP(AH34,Bausteine!$A$2:$AS$46,4,FALSE))</f>
        <v/>
      </c>
      <c r="N34">
        <f>IF(C34="",0,VLOOKUP(C34,Bausteine!$A$2:$AS$46,5,FALSE))+IF(D34="",0,VLOOKUP(D34,Bausteine!$A$2:$AS$46,5,FALSE))+IF(E34="",0,VLOOKUP(E34,Bausteine!$A$2:$AS$46,5,FALSE))+IF(F34="",0,VLOOKUP(F34,Bausteine!$A$2:$AS$46,5,FALSE))+IF(G34="",0,VLOOKUP(G34,Bausteine!$A$2:$AS$46,5,FALSE))+IF(H34="",0,VLOOKUP(H34,Bausteine!$A$2:$AS$46,5,FALSE))+IF(I34="",0,VLOOKUP(I34,Bausteine!$A$2:$AS$46,5,FALSE))+IF(J34="",0,VLOOKUP(J34,Bausteine!$A$2:$AS$46,5,FALSE))+IF(K34="",0,VLOOKUP(K34,Bausteine!$A$2:$AS$46,5,FALSE))+IF(L34="",0,VLOOKUP(L34,Bausteine!$A$2:$AS$46,5,FALSE))+IF(AC34="",0,VLOOKUP(AC34,Bausteine!$A$2:$AS$46,5,FALSE))+IF(AF34="",0,VLOOKUP(AF34,Bausteine!$A$2:$AS$46,5,FALSE))+IF(AG34="",0,VLOOKUP(AG34,Bausteine!$A$2:$AS$46,5,FALSE))+IF(AH34="",0,VLOOKUP(AH34,Bausteine!$A$2:$AS$46,5,FALSE))</f>
        <v/>
      </c>
      <c r="O34">
        <f>MAX(IF(C34="",0,VLOOKUP(C34,Bausteine!$A$2:$AS$46,6,FALSE)),IF(D34="",0,VLOOKUP(D34,Bausteine!$A$2:$AS$46,6,FALSE)),IF(E34="",0,VLOOKUP(E34,Bausteine!$A$2:$AS$46,6,FALSE)),IF(F34="",0,VLOOKUP(F34,Bausteine!$A$2:$AS$46,6,FALSE)),IF(G34="",0,VLOOKUP(G34,Bausteine!$A$2:$AS$46,6,FALSE)),IF(H34="",0,VLOOKUP(H34,Bausteine!$A$2:$AS$46,6,FALSE)),IF(I34="",0,VLOOKUP(I34,Bausteine!$A$2:$AS$46,6,FALSE)),IF(J34="",0,VLOOKUP(J34,Bausteine!$A$2:$AS$46,6,FALSE)),IF(K34="",0,VLOOKUP(K34,Bausteine!$A$2:$AS$46,6,FALSE)),IF(L34="",0,VLOOKUP(L34,Bausteine!$A$2:$AS$46,6,FALSE)),IF(AC34="",0,VLOOKUP(AC34,Bausteine!$A$2:$AS$46,6,FALSE)),IF(AF34="",0,VLOOKUP(AF34,Bausteine!$A$2:$AS$46,6,FALSE)),IF(AG34="",0,VLOOKUP(AG34,Bausteine!$A$2:$AS$46,6,FALSE)),IF(AH34="",0,VLOOKUP(AH34,Bausteine!$A$2:$AS$46,6,FALSE)),AK34)</f>
        <v/>
      </c>
      <c r="P34">
        <f>IF(C34="",0,VLOOKUP(C34,Bausteine!$A$2:$AS$46,7,FALSE))*IF(F34="",0,VLOOKUP(F34,Bausteine!$A$2:$AS$46,17,FALSE))/100+IF(D34="",0,VLOOKUP(D34,Bausteine!$A$2:$AS$46,7,FALSE))+IF(E34="",0,VLOOKUP(E34,Bausteine!$A$2:$AS$46,7,FALSE))+IF(G34="",0,VLOOKUP(G34,Bausteine!$A$2:$AS$46,7,FALSE))+IF(H34="",0,VLOOKUP(H34,Bausteine!$A$2:$AS$46,7,FALSE))+IF(I34="",0,VLOOKUP(I34,Bausteine!$A$2:$AS$46,7,FALSE))+IF(J34="",0,VLOOKUP(J34,Bausteine!$A$2:$AS$46,7,FALSE))+IF(K34="",0,VLOOKUP(K34,Bausteine!$A$2:$AS$46,7,FALSE))+IF(L34="",0,VLOOKUP(L34,Bausteine!$A$2:$AS$46,7,FALSE))+IF(AC34="",0,VLOOKUP(AC34,Bausteine!$A$2:$AS$46,7,FALSE))+IF(AF34="",0,VLOOKUP(AF34,Bausteine!$A$2:$AS$46,7,FALSE))+IF(AG34="",0,VLOOKUP(AG34,Bausteine!$A$2:$AS$46,7,FALSE))+IF(AH34="",0,VLOOKUP(AH34,Bausteine!$A$2:$AS$46,7,FALSE))+AI34</f>
        <v/>
      </c>
      <c r="Q34">
        <f>N34*Parameter!$B$2</f>
        <v/>
      </c>
      <c r="R34">
        <f>AE34-Q34</f>
        <v/>
      </c>
      <c r="S34">
        <f>IF(C34="",0,VLOOKUP(C34,Bausteine!$A$2:$AS$46,13,FALSE))*IF(F34="",0,VLOOKUP(F34,Bausteine!$A$2:$AS$46,16,FALSE))/100</f>
        <v/>
      </c>
      <c r="T34">
        <f>IF(C34="",0,VLOOKUP(C34,Bausteine!$A$2:$AS$46,8,FALSE))*IF(F34="",0,VLOOKUP(F34,Bausteine!$A$2:$AS$46,15,FALSE))/100+IF(D34="",0,VLOOKUP(D34,Bausteine!$A$2:$AS$46,8,FALSE))+IF(E34="",0,VLOOKUP(E34,Bausteine!$A$2:$AS$46,8,FALSE))+IF(G34="",0,VLOOKUP(G34,Bausteine!$A$2:$AS$46,8,FALSE))+IF(H34="",0,VLOOKUP(H34,Bausteine!$A$2:$AS$46,8,FALSE))+IF(I34="",0,VLOOKUP(I34,Bausteine!$A$2:$AS$46,8,FALSE))+IF(J34="",0,VLOOKUP(J34,Bausteine!$A$2:$AS$46,8,FALSE))+IF(K34="",0,VLOOKUP(K34,Bausteine!$A$2:$AS$46,8,FALSE))+IF(L34="",0,VLOOKUP(L34,Bausteine!$A$2:$AS$46,8,FALSE))+IF(AC34="",0,VLOOKUP(AC34,Bausteine!$A$2:$AS$46,8,FALSE))+IF(AF34="",0,VLOOKUP(AF34,Bausteine!$A$2:$AS$46,8,FALSE))+IF(AG34="",0,VLOOKUP(AG34,Bausteine!$A$2:$AS$46,8,FALSE))+IF(AH34="",0,VLOOKUP(AH34,Bausteine!$A$2:$AS$46,8,FALSE))+AJ34</f>
        <v/>
      </c>
      <c r="U34">
        <f>IF(C34="",0,VLOOKUP(C34,Bausteine!$A$2:$AS$46,9,FALSE))+IF(D34="",0,VLOOKUP(D34,Bausteine!$A$2:$AS$46,9,FALSE))+IF(E34="",0,VLOOKUP(E34,Bausteine!$A$2:$AS$46,9,FALSE))+IF(F34="",0,VLOOKUP(F34,Bausteine!$A$2:$AS$46,9,FALSE))+IF(G34="",0,VLOOKUP(G34,Bausteine!$A$2:$AS$46,9,FALSE))+IF(H34="",0,VLOOKUP(H34,Bausteine!$A$2:$AS$46,9,FALSE))+IF(I34="",0,VLOOKUP(I34,Bausteine!$A$2:$AS$46,9,FALSE))+IF(J34="",0,VLOOKUP(J34,Bausteine!$A$2:$AS$46,9,FALSE))+IF(K34="",0,VLOOKUP(K34,Bausteine!$A$2:$AS$46,9,FALSE))+IF(L34="",0,VLOOKUP(L34,Bausteine!$A$2:$AS$46,9,FALSE))+IF(AC34="",0,VLOOKUP(AC34,Bausteine!$A$2:$AS$46,9,FALSE))+IF(AF34="",0,VLOOKUP(AF34,Bausteine!$A$2:$AS$46,9,FALSE))+IF(AG34="",0,VLOOKUP(AG34,Bausteine!$A$2:$AS$46,9,FALSE))+IF(AH34="",0,VLOOKUP(AH34,Bausteine!$A$2:$AS$46,9,FALSE))</f>
        <v/>
      </c>
      <c r="V34">
        <f>IF(D34="",0,VLOOKUP(D34,Bausteine!$A$2:$AS$46,10,FALSE))-U34/IF(E34="",0,VLOOKUP(E34,Bausteine!$A$2:$AS$46,11,FALSE))</f>
        <v/>
      </c>
      <c r="W34">
        <f>IF(Y34&lt;&gt;"OK","",ROUND(MIN(IF(C34="",0,VLOOKUP(C34,Bausteine!$A$2:$AS$46,21,FALSE)),IF(C34="",0,VLOOKUP(C34,Bausteine!$A$2:$AS$46,20,FALSE))*(V34/T34/(IF(C34="",0,VLOOKUP(C34,Bausteine!$A$2:$AS$46,19,FALSE))/IF(C34="",0,VLOOKUP(C34,Bausteine!$A$2:$AS$46,18,FALSE))))^Parameter!$B$3),0))</f>
        <v/>
      </c>
      <c r="X34">
        <f>IF(F34="",0,VLOOKUP(F34,Bausteine!$A$2:$AS$46,14,FALSE))</f>
        <v/>
      </c>
      <c r="Y34">
        <f>IFERROR(IF(OR(AD34&lt;=0,AD34&gt;1,R34&lt;=0,T34&lt;=0,V34&lt;=0,U34&gt;IF(E34="",0,VLOOKUP(E34,Bausteine!$A$2:$AS$46,12,FALSE)),T34&gt;IF(C34="",0,VLOOKUP(C34,Bausteine!$A$2:$AS$46,22,FALSE)),IF(E34="",0,VLOOKUP(E34,Bausteine!$A$2:$AS$46,11,FALSE))&lt;=0,IF(E34="",0,VLOOKUP(E34,Bausteine!$A$2:$AS$46,11,FALSE))&gt;1),"UNGUELTIG","OK"),"FEHLER")</f>
        <v/>
      </c>
      <c r="Z34" t="n">
        <v>1205</v>
      </c>
      <c r="AA34" t="n">
        <v>100</v>
      </c>
      <c r="AB34" t="inlineStr"/>
      <c r="AC34" t="inlineStr">
        <is>
          <t>mass-production</t>
        </is>
      </c>
      <c r="AD34">
        <f>IF(AC34="",1,IF(AC34="",0,VLOOKUP(AC34,Bausteine!$A$2:$AS$46,37,FALSE))/100)</f>
        <v/>
      </c>
      <c r="AE34">
        <f>P34*AD34</f>
        <v/>
      </c>
      <c r="AF34" t="inlineStr"/>
      <c r="AG34" t="inlineStr"/>
      <c r="AH34" t="inlineStr"/>
      <c r="AI34">
        <f>SUMIF(Startbesatzung!$A$2:$A$7,A34,Startbesatzung!$D$2:$D$7)</f>
        <v/>
      </c>
      <c r="AJ34">
        <f>SUMIF(Startbesatzung!$A$2:$A$7,A34,Startbesatzung!$E$2:$E$7)</f>
        <v/>
      </c>
      <c r="AK34">
        <f>MAX(0,IF(Startbesatzung!A2=A34,Startbesatzung!G2,0),IF(Startbesatzung!A3=A34,Startbesatzung!G3,0),IF(Startbesatzung!A4=A34,Startbesatzung!G4,0),IF(Startbesatzung!A5=A34,Startbesatzung!G5,0),IF(Startbesatzung!A6=A34,Startbesatzung!G6,0),IF(Startbesatzung!A7=A34,Startbesatzung!G7,0))</f>
        <v/>
      </c>
      <c r="AL34">
        <f>IF(AF34="","",IF(IF(AH34="",0,VLOOKUP(AH34,Bausteine!$A$2:$AS$46,38,FALSE))&gt;0,IF(AH34="",0,VLOOKUP(AH34,Bausteine!$A$2:$AS$46,38,FALSE)),IF(AG34="",0,VLOOKUP(AG34,Bausteine!$A$2:$AS$46,28,FALSE))))</f>
        <v/>
      </c>
      <c r="AM34">
        <f>IF(AF34="","",IF(AG34="",0,VLOOKUP(AG34,Bausteine!$A$2:$AS$46,44,FALSE)))</f>
        <v/>
      </c>
      <c r="AN34">
        <f>IF(AF34="","",IF(AF34="",0,VLOOKUP(AF34,Bausteine!$A$2:$AS$46,27,FALSE)))</f>
        <v/>
      </c>
      <c r="AO34">
        <f>IF(AF34="","",IF(AF34="",0,VLOOKUP(AF34,Bausteine!$A$2:$AS$46,25,FALSE)))</f>
        <v/>
      </c>
      <c r="AP34">
        <f>IF(AF34="","",IF(AH34="",0,VLOOKUP(AH34,Bausteine!$A$2:$AS$46,29,FALSE)))</f>
        <v/>
      </c>
    </row>
    <row r="35">
      <c r="A35" t="inlineStr">
        <is>
          <t>Battlemaster Mass Production Reflector</t>
        </is>
      </c>
      <c r="B35" t="inlineStr">
        <is>
          <t>china</t>
        </is>
      </c>
      <c r="C35" t="inlineStr">
        <is>
          <t>battlemaster</t>
        </is>
      </c>
      <c r="D35" t="inlineStr">
        <is>
          <t>diesel-large</t>
        </is>
      </c>
      <c r="E35" t="inlineStr">
        <is>
          <t>efficient-generator</t>
        </is>
      </c>
      <c r="F35" t="inlineStr">
        <is>
          <t>reflector</t>
        </is>
      </c>
      <c r="G35" t="inlineStr">
        <is>
          <t>cannon-turret</t>
        </is>
      </c>
      <c r="H35" t="inlineStr">
        <is>
          <t>cannon</t>
        </is>
      </c>
      <c r="I35" t="inlineStr">
        <is>
          <t>shell</t>
        </is>
      </c>
      <c r="J35" t="inlineStr"/>
      <c r="K35" t="inlineStr"/>
      <c r="L35" t="inlineStr"/>
      <c r="M35">
        <f>IF(C35="",0,VLOOKUP(C35,Bausteine!$A$2:$AS$46,4,FALSE))+IF(D35="",0,VLOOKUP(D35,Bausteine!$A$2:$AS$46,4,FALSE))+IF(E35="",0,VLOOKUP(E35,Bausteine!$A$2:$AS$46,4,FALSE))+IF(F35="",0,VLOOKUP(F35,Bausteine!$A$2:$AS$46,4,FALSE))+IF(G35="",0,VLOOKUP(G35,Bausteine!$A$2:$AS$46,4,FALSE))+IF(H35="",0,VLOOKUP(H35,Bausteine!$A$2:$AS$46,4,FALSE))+IF(I35="",0,VLOOKUP(I35,Bausteine!$A$2:$AS$46,4,FALSE))+IF(J35="",0,VLOOKUP(J35,Bausteine!$A$2:$AS$46,4,FALSE))+IF(K35="",0,VLOOKUP(K35,Bausteine!$A$2:$AS$46,4,FALSE))+IF(L35="",0,VLOOKUP(L35,Bausteine!$A$2:$AS$46,4,FALSE))+IF(AC35="",0,VLOOKUP(AC35,Bausteine!$A$2:$AS$46,4,FALSE))+IF(AF35="",0,VLOOKUP(AF35,Bausteine!$A$2:$AS$46,4,FALSE))+IF(AG35="",0,VLOOKUP(AG35,Bausteine!$A$2:$AS$46,4,FALSE))+IF(AH35="",0,VLOOKUP(AH35,Bausteine!$A$2:$AS$46,4,FALSE))</f>
        <v/>
      </c>
      <c r="N35">
        <f>IF(C35="",0,VLOOKUP(C35,Bausteine!$A$2:$AS$46,5,FALSE))+IF(D35="",0,VLOOKUP(D35,Bausteine!$A$2:$AS$46,5,FALSE))+IF(E35="",0,VLOOKUP(E35,Bausteine!$A$2:$AS$46,5,FALSE))+IF(F35="",0,VLOOKUP(F35,Bausteine!$A$2:$AS$46,5,FALSE))+IF(G35="",0,VLOOKUP(G35,Bausteine!$A$2:$AS$46,5,FALSE))+IF(H35="",0,VLOOKUP(H35,Bausteine!$A$2:$AS$46,5,FALSE))+IF(I35="",0,VLOOKUP(I35,Bausteine!$A$2:$AS$46,5,FALSE))+IF(J35="",0,VLOOKUP(J35,Bausteine!$A$2:$AS$46,5,FALSE))+IF(K35="",0,VLOOKUP(K35,Bausteine!$A$2:$AS$46,5,FALSE))+IF(L35="",0,VLOOKUP(L35,Bausteine!$A$2:$AS$46,5,FALSE))+IF(AC35="",0,VLOOKUP(AC35,Bausteine!$A$2:$AS$46,5,FALSE))+IF(AF35="",0,VLOOKUP(AF35,Bausteine!$A$2:$AS$46,5,FALSE))+IF(AG35="",0,VLOOKUP(AG35,Bausteine!$A$2:$AS$46,5,FALSE))+IF(AH35="",0,VLOOKUP(AH35,Bausteine!$A$2:$AS$46,5,FALSE))</f>
        <v/>
      </c>
      <c r="O35">
        <f>MAX(IF(C35="",0,VLOOKUP(C35,Bausteine!$A$2:$AS$46,6,FALSE)),IF(D35="",0,VLOOKUP(D35,Bausteine!$A$2:$AS$46,6,FALSE)),IF(E35="",0,VLOOKUP(E35,Bausteine!$A$2:$AS$46,6,FALSE)),IF(F35="",0,VLOOKUP(F35,Bausteine!$A$2:$AS$46,6,FALSE)),IF(G35="",0,VLOOKUP(G35,Bausteine!$A$2:$AS$46,6,FALSE)),IF(H35="",0,VLOOKUP(H35,Bausteine!$A$2:$AS$46,6,FALSE)),IF(I35="",0,VLOOKUP(I35,Bausteine!$A$2:$AS$46,6,FALSE)),IF(J35="",0,VLOOKUP(J35,Bausteine!$A$2:$AS$46,6,FALSE)),IF(K35="",0,VLOOKUP(K35,Bausteine!$A$2:$AS$46,6,FALSE)),IF(L35="",0,VLOOKUP(L35,Bausteine!$A$2:$AS$46,6,FALSE)),IF(AC35="",0,VLOOKUP(AC35,Bausteine!$A$2:$AS$46,6,FALSE)),IF(AF35="",0,VLOOKUP(AF35,Bausteine!$A$2:$AS$46,6,FALSE)),IF(AG35="",0,VLOOKUP(AG35,Bausteine!$A$2:$AS$46,6,FALSE)),IF(AH35="",0,VLOOKUP(AH35,Bausteine!$A$2:$AS$46,6,FALSE)),AK35)</f>
        <v/>
      </c>
      <c r="P35">
        <f>IF(C35="",0,VLOOKUP(C35,Bausteine!$A$2:$AS$46,7,FALSE))*IF(F35="",0,VLOOKUP(F35,Bausteine!$A$2:$AS$46,17,FALSE))/100+IF(D35="",0,VLOOKUP(D35,Bausteine!$A$2:$AS$46,7,FALSE))+IF(E35="",0,VLOOKUP(E35,Bausteine!$A$2:$AS$46,7,FALSE))+IF(G35="",0,VLOOKUP(G35,Bausteine!$A$2:$AS$46,7,FALSE))+IF(H35="",0,VLOOKUP(H35,Bausteine!$A$2:$AS$46,7,FALSE))+IF(I35="",0,VLOOKUP(I35,Bausteine!$A$2:$AS$46,7,FALSE))+IF(J35="",0,VLOOKUP(J35,Bausteine!$A$2:$AS$46,7,FALSE))+IF(K35="",0,VLOOKUP(K35,Bausteine!$A$2:$AS$46,7,FALSE))+IF(L35="",0,VLOOKUP(L35,Bausteine!$A$2:$AS$46,7,FALSE))+IF(AC35="",0,VLOOKUP(AC35,Bausteine!$A$2:$AS$46,7,FALSE))+IF(AF35="",0,VLOOKUP(AF35,Bausteine!$A$2:$AS$46,7,FALSE))+IF(AG35="",0,VLOOKUP(AG35,Bausteine!$A$2:$AS$46,7,FALSE))+IF(AH35="",0,VLOOKUP(AH35,Bausteine!$A$2:$AS$46,7,FALSE))+AI35</f>
        <v/>
      </c>
      <c r="Q35">
        <f>N35*Parameter!$B$2</f>
        <v/>
      </c>
      <c r="R35">
        <f>AE35-Q35</f>
        <v/>
      </c>
      <c r="S35">
        <f>IF(C35="",0,VLOOKUP(C35,Bausteine!$A$2:$AS$46,13,FALSE))*IF(F35="",0,VLOOKUP(F35,Bausteine!$A$2:$AS$46,16,FALSE))/100</f>
        <v/>
      </c>
      <c r="T35">
        <f>IF(C35="",0,VLOOKUP(C35,Bausteine!$A$2:$AS$46,8,FALSE))*IF(F35="",0,VLOOKUP(F35,Bausteine!$A$2:$AS$46,15,FALSE))/100+IF(D35="",0,VLOOKUP(D35,Bausteine!$A$2:$AS$46,8,FALSE))+IF(E35="",0,VLOOKUP(E35,Bausteine!$A$2:$AS$46,8,FALSE))+IF(G35="",0,VLOOKUP(G35,Bausteine!$A$2:$AS$46,8,FALSE))+IF(H35="",0,VLOOKUP(H35,Bausteine!$A$2:$AS$46,8,FALSE))+IF(I35="",0,VLOOKUP(I35,Bausteine!$A$2:$AS$46,8,FALSE))+IF(J35="",0,VLOOKUP(J35,Bausteine!$A$2:$AS$46,8,FALSE))+IF(K35="",0,VLOOKUP(K35,Bausteine!$A$2:$AS$46,8,FALSE))+IF(L35="",0,VLOOKUP(L35,Bausteine!$A$2:$AS$46,8,FALSE))+IF(AC35="",0,VLOOKUP(AC35,Bausteine!$A$2:$AS$46,8,FALSE))+IF(AF35="",0,VLOOKUP(AF35,Bausteine!$A$2:$AS$46,8,FALSE))+IF(AG35="",0,VLOOKUP(AG35,Bausteine!$A$2:$AS$46,8,FALSE))+IF(AH35="",0,VLOOKUP(AH35,Bausteine!$A$2:$AS$46,8,FALSE))+AJ35</f>
        <v/>
      </c>
      <c r="U35">
        <f>IF(C35="",0,VLOOKUP(C35,Bausteine!$A$2:$AS$46,9,FALSE))+IF(D35="",0,VLOOKUP(D35,Bausteine!$A$2:$AS$46,9,FALSE))+IF(E35="",0,VLOOKUP(E35,Bausteine!$A$2:$AS$46,9,FALSE))+IF(F35="",0,VLOOKUP(F35,Bausteine!$A$2:$AS$46,9,FALSE))+IF(G35="",0,VLOOKUP(G35,Bausteine!$A$2:$AS$46,9,FALSE))+IF(H35="",0,VLOOKUP(H35,Bausteine!$A$2:$AS$46,9,FALSE))+IF(I35="",0,VLOOKUP(I35,Bausteine!$A$2:$AS$46,9,FALSE))+IF(J35="",0,VLOOKUP(J35,Bausteine!$A$2:$AS$46,9,FALSE))+IF(K35="",0,VLOOKUP(K35,Bausteine!$A$2:$AS$46,9,FALSE))+IF(L35="",0,VLOOKUP(L35,Bausteine!$A$2:$AS$46,9,FALSE))+IF(AC35="",0,VLOOKUP(AC35,Bausteine!$A$2:$AS$46,9,FALSE))+IF(AF35="",0,VLOOKUP(AF35,Bausteine!$A$2:$AS$46,9,FALSE))+IF(AG35="",0,VLOOKUP(AG35,Bausteine!$A$2:$AS$46,9,FALSE))+IF(AH35="",0,VLOOKUP(AH35,Bausteine!$A$2:$AS$46,9,FALSE))</f>
        <v/>
      </c>
      <c r="V35">
        <f>IF(D35="",0,VLOOKUP(D35,Bausteine!$A$2:$AS$46,10,FALSE))-U35/IF(E35="",0,VLOOKUP(E35,Bausteine!$A$2:$AS$46,11,FALSE))</f>
        <v/>
      </c>
      <c r="W35">
        <f>IF(Y35&lt;&gt;"OK","",ROUND(MIN(IF(C35="",0,VLOOKUP(C35,Bausteine!$A$2:$AS$46,21,FALSE)),IF(C35="",0,VLOOKUP(C35,Bausteine!$A$2:$AS$46,20,FALSE))*(V35/T35/(IF(C35="",0,VLOOKUP(C35,Bausteine!$A$2:$AS$46,19,FALSE))/IF(C35="",0,VLOOKUP(C35,Bausteine!$A$2:$AS$46,18,FALSE))))^Parameter!$B$3),0))</f>
        <v/>
      </c>
      <c r="X35">
        <f>IF(F35="",0,VLOOKUP(F35,Bausteine!$A$2:$AS$46,14,FALSE))</f>
        <v/>
      </c>
      <c r="Y35">
        <f>IFERROR(IF(OR(AD35&lt;=0,AD35&gt;1,R35&lt;=0,T35&lt;=0,V35&lt;=0,U35&gt;IF(E35="",0,VLOOKUP(E35,Bausteine!$A$2:$AS$46,12,FALSE)),T35&gt;IF(C35="",0,VLOOKUP(C35,Bausteine!$A$2:$AS$46,22,FALSE)),IF(E35="",0,VLOOKUP(E35,Bausteine!$A$2:$AS$46,11,FALSE))&lt;=0,IF(E35="",0,VLOOKUP(E35,Bausteine!$A$2:$AS$46,11,FALSE))&gt;1),"UNGUELTIG","OK"),"FEHLER")</f>
        <v/>
      </c>
      <c r="Z35" t="n">
        <v>587.5</v>
      </c>
      <c r="AA35" t="n">
        <v>100</v>
      </c>
      <c r="AB35" t="inlineStr"/>
      <c r="AC35" t="inlineStr">
        <is>
          <t>mass-production</t>
        </is>
      </c>
      <c r="AD35">
        <f>IF(AC35="",1,IF(AC35="",0,VLOOKUP(AC35,Bausteine!$A$2:$AS$46,37,FALSE))/100)</f>
        <v/>
      </c>
      <c r="AE35">
        <f>P35*AD35</f>
        <v/>
      </c>
      <c r="AF35" t="inlineStr"/>
      <c r="AG35" t="inlineStr"/>
      <c r="AH35" t="inlineStr"/>
      <c r="AI35">
        <f>SUMIF(Startbesatzung!$A$2:$A$7,A35,Startbesatzung!$D$2:$D$7)</f>
        <v/>
      </c>
      <c r="AJ35">
        <f>SUMIF(Startbesatzung!$A$2:$A$7,A35,Startbesatzung!$E$2:$E$7)</f>
        <v/>
      </c>
      <c r="AK35">
        <f>MAX(0,IF(Startbesatzung!A2=A35,Startbesatzung!G2,0),IF(Startbesatzung!A3=A35,Startbesatzung!G3,0),IF(Startbesatzung!A4=A35,Startbesatzung!G4,0),IF(Startbesatzung!A5=A35,Startbesatzung!G5,0),IF(Startbesatzung!A6=A35,Startbesatzung!G6,0),IF(Startbesatzung!A7=A35,Startbesatzung!G7,0))</f>
        <v/>
      </c>
      <c r="AL35">
        <f>IF(AF35="","",IF(IF(AH35="",0,VLOOKUP(AH35,Bausteine!$A$2:$AS$46,38,FALSE))&gt;0,IF(AH35="",0,VLOOKUP(AH35,Bausteine!$A$2:$AS$46,38,FALSE)),IF(AG35="",0,VLOOKUP(AG35,Bausteine!$A$2:$AS$46,28,FALSE))))</f>
        <v/>
      </c>
      <c r="AM35">
        <f>IF(AF35="","",IF(AG35="",0,VLOOKUP(AG35,Bausteine!$A$2:$AS$46,44,FALSE)))</f>
        <v/>
      </c>
      <c r="AN35">
        <f>IF(AF35="","",IF(AF35="",0,VLOOKUP(AF35,Bausteine!$A$2:$AS$46,27,FALSE)))</f>
        <v/>
      </c>
      <c r="AO35">
        <f>IF(AF35="","",IF(AF35="",0,VLOOKUP(AF35,Bausteine!$A$2:$AS$46,25,FALSE)))</f>
        <v/>
      </c>
      <c r="AP35">
        <f>IF(AF35="","",IF(AH35="",0,VLOOKUP(AH35,Bausteine!$A$2:$AS$46,29,FALSE)))</f>
        <v/>
      </c>
    </row>
    <row r="36">
      <c r="A36" t="inlineStr">
        <is>
          <t>Battlemaster Autoloader</t>
        </is>
      </c>
      <c r="B36" t="inlineStr">
        <is>
          <t>china</t>
        </is>
      </c>
      <c r="C36" t="inlineStr">
        <is>
          <t>battlemaster</t>
        </is>
      </c>
      <c r="D36" t="inlineStr">
        <is>
          <t>diesel</t>
        </is>
      </c>
      <c r="E36" t="inlineStr">
        <is>
          <t>baseline-generator</t>
        </is>
      </c>
      <c r="F36" t="inlineStr">
        <is>
          <t>heavy</t>
        </is>
      </c>
      <c r="G36" t="inlineStr">
        <is>
          <t>autoloader-turret</t>
        </is>
      </c>
      <c r="H36" t="inlineStr">
        <is>
          <t>cannon</t>
        </is>
      </c>
      <c r="I36" t="inlineStr">
        <is>
          <t>shell</t>
        </is>
      </c>
      <c r="J36" t="inlineStr"/>
      <c r="K36" t="inlineStr"/>
      <c r="L36" t="inlineStr"/>
      <c r="M36">
        <f>IF(C36="",0,VLOOKUP(C36,Bausteine!$A$2:$AS$46,4,FALSE))+IF(D36="",0,VLOOKUP(D36,Bausteine!$A$2:$AS$46,4,FALSE))+IF(E36="",0,VLOOKUP(E36,Bausteine!$A$2:$AS$46,4,FALSE))+IF(F36="",0,VLOOKUP(F36,Bausteine!$A$2:$AS$46,4,FALSE))+IF(G36="",0,VLOOKUP(G36,Bausteine!$A$2:$AS$46,4,FALSE))+IF(H36="",0,VLOOKUP(H36,Bausteine!$A$2:$AS$46,4,FALSE))+IF(I36="",0,VLOOKUP(I36,Bausteine!$A$2:$AS$46,4,FALSE))+IF(J36="",0,VLOOKUP(J36,Bausteine!$A$2:$AS$46,4,FALSE))+IF(K36="",0,VLOOKUP(K36,Bausteine!$A$2:$AS$46,4,FALSE))+IF(L36="",0,VLOOKUP(L36,Bausteine!$A$2:$AS$46,4,FALSE))+IF(AC36="",0,VLOOKUP(AC36,Bausteine!$A$2:$AS$46,4,FALSE))+IF(AF36="",0,VLOOKUP(AF36,Bausteine!$A$2:$AS$46,4,FALSE))+IF(AG36="",0,VLOOKUP(AG36,Bausteine!$A$2:$AS$46,4,FALSE))+IF(AH36="",0,VLOOKUP(AH36,Bausteine!$A$2:$AS$46,4,FALSE))</f>
        <v/>
      </c>
      <c r="N36">
        <f>IF(C36="",0,VLOOKUP(C36,Bausteine!$A$2:$AS$46,5,FALSE))+IF(D36="",0,VLOOKUP(D36,Bausteine!$A$2:$AS$46,5,FALSE))+IF(E36="",0,VLOOKUP(E36,Bausteine!$A$2:$AS$46,5,FALSE))+IF(F36="",0,VLOOKUP(F36,Bausteine!$A$2:$AS$46,5,FALSE))+IF(G36="",0,VLOOKUP(G36,Bausteine!$A$2:$AS$46,5,FALSE))+IF(H36="",0,VLOOKUP(H36,Bausteine!$A$2:$AS$46,5,FALSE))+IF(I36="",0,VLOOKUP(I36,Bausteine!$A$2:$AS$46,5,FALSE))+IF(J36="",0,VLOOKUP(J36,Bausteine!$A$2:$AS$46,5,FALSE))+IF(K36="",0,VLOOKUP(K36,Bausteine!$A$2:$AS$46,5,FALSE))+IF(L36="",0,VLOOKUP(L36,Bausteine!$A$2:$AS$46,5,FALSE))+IF(AC36="",0,VLOOKUP(AC36,Bausteine!$A$2:$AS$46,5,FALSE))+IF(AF36="",0,VLOOKUP(AF36,Bausteine!$A$2:$AS$46,5,FALSE))+IF(AG36="",0,VLOOKUP(AG36,Bausteine!$A$2:$AS$46,5,FALSE))+IF(AH36="",0,VLOOKUP(AH36,Bausteine!$A$2:$AS$46,5,FALSE))</f>
        <v/>
      </c>
      <c r="O36">
        <f>MAX(IF(C36="",0,VLOOKUP(C36,Bausteine!$A$2:$AS$46,6,FALSE)),IF(D36="",0,VLOOKUP(D36,Bausteine!$A$2:$AS$46,6,FALSE)),IF(E36="",0,VLOOKUP(E36,Bausteine!$A$2:$AS$46,6,FALSE)),IF(F36="",0,VLOOKUP(F36,Bausteine!$A$2:$AS$46,6,FALSE)),IF(G36="",0,VLOOKUP(G36,Bausteine!$A$2:$AS$46,6,FALSE)),IF(H36="",0,VLOOKUP(H36,Bausteine!$A$2:$AS$46,6,FALSE)),IF(I36="",0,VLOOKUP(I36,Bausteine!$A$2:$AS$46,6,FALSE)),IF(J36="",0,VLOOKUP(J36,Bausteine!$A$2:$AS$46,6,FALSE)),IF(K36="",0,VLOOKUP(K36,Bausteine!$A$2:$AS$46,6,FALSE)),IF(L36="",0,VLOOKUP(L36,Bausteine!$A$2:$AS$46,6,FALSE)),IF(AC36="",0,VLOOKUP(AC36,Bausteine!$A$2:$AS$46,6,FALSE)),IF(AF36="",0,VLOOKUP(AF36,Bausteine!$A$2:$AS$46,6,FALSE)),IF(AG36="",0,VLOOKUP(AG36,Bausteine!$A$2:$AS$46,6,FALSE)),IF(AH36="",0,VLOOKUP(AH36,Bausteine!$A$2:$AS$46,6,FALSE)),AK36)</f>
        <v/>
      </c>
      <c r="P36">
        <f>IF(C36="",0,VLOOKUP(C36,Bausteine!$A$2:$AS$46,7,FALSE))*IF(F36="",0,VLOOKUP(F36,Bausteine!$A$2:$AS$46,17,FALSE))/100+IF(D36="",0,VLOOKUP(D36,Bausteine!$A$2:$AS$46,7,FALSE))+IF(E36="",0,VLOOKUP(E36,Bausteine!$A$2:$AS$46,7,FALSE))+IF(G36="",0,VLOOKUP(G36,Bausteine!$A$2:$AS$46,7,FALSE))+IF(H36="",0,VLOOKUP(H36,Bausteine!$A$2:$AS$46,7,FALSE))+IF(I36="",0,VLOOKUP(I36,Bausteine!$A$2:$AS$46,7,FALSE))+IF(J36="",0,VLOOKUP(J36,Bausteine!$A$2:$AS$46,7,FALSE))+IF(K36="",0,VLOOKUP(K36,Bausteine!$A$2:$AS$46,7,FALSE))+IF(L36="",0,VLOOKUP(L36,Bausteine!$A$2:$AS$46,7,FALSE))+IF(AC36="",0,VLOOKUP(AC36,Bausteine!$A$2:$AS$46,7,FALSE))+IF(AF36="",0,VLOOKUP(AF36,Bausteine!$A$2:$AS$46,7,FALSE))+IF(AG36="",0,VLOOKUP(AG36,Bausteine!$A$2:$AS$46,7,FALSE))+IF(AH36="",0,VLOOKUP(AH36,Bausteine!$A$2:$AS$46,7,FALSE))+AI36</f>
        <v/>
      </c>
      <c r="Q36">
        <f>N36*Parameter!$B$2</f>
        <v/>
      </c>
      <c r="R36">
        <f>AE36-Q36</f>
        <v/>
      </c>
      <c r="S36">
        <f>IF(C36="",0,VLOOKUP(C36,Bausteine!$A$2:$AS$46,13,FALSE))*IF(F36="",0,VLOOKUP(F36,Bausteine!$A$2:$AS$46,16,FALSE))/100</f>
        <v/>
      </c>
      <c r="T36">
        <f>IF(C36="",0,VLOOKUP(C36,Bausteine!$A$2:$AS$46,8,FALSE))*IF(F36="",0,VLOOKUP(F36,Bausteine!$A$2:$AS$46,15,FALSE))/100+IF(D36="",0,VLOOKUP(D36,Bausteine!$A$2:$AS$46,8,FALSE))+IF(E36="",0,VLOOKUP(E36,Bausteine!$A$2:$AS$46,8,FALSE))+IF(G36="",0,VLOOKUP(G36,Bausteine!$A$2:$AS$46,8,FALSE))+IF(H36="",0,VLOOKUP(H36,Bausteine!$A$2:$AS$46,8,FALSE))+IF(I36="",0,VLOOKUP(I36,Bausteine!$A$2:$AS$46,8,FALSE))+IF(J36="",0,VLOOKUP(J36,Bausteine!$A$2:$AS$46,8,FALSE))+IF(K36="",0,VLOOKUP(K36,Bausteine!$A$2:$AS$46,8,FALSE))+IF(L36="",0,VLOOKUP(L36,Bausteine!$A$2:$AS$46,8,FALSE))+IF(AC36="",0,VLOOKUP(AC36,Bausteine!$A$2:$AS$46,8,FALSE))+IF(AF36="",0,VLOOKUP(AF36,Bausteine!$A$2:$AS$46,8,FALSE))+IF(AG36="",0,VLOOKUP(AG36,Bausteine!$A$2:$AS$46,8,FALSE))+IF(AH36="",0,VLOOKUP(AH36,Bausteine!$A$2:$AS$46,8,FALSE))+AJ36</f>
        <v/>
      </c>
      <c r="U36">
        <f>IF(C36="",0,VLOOKUP(C36,Bausteine!$A$2:$AS$46,9,FALSE))+IF(D36="",0,VLOOKUP(D36,Bausteine!$A$2:$AS$46,9,FALSE))+IF(E36="",0,VLOOKUP(E36,Bausteine!$A$2:$AS$46,9,FALSE))+IF(F36="",0,VLOOKUP(F36,Bausteine!$A$2:$AS$46,9,FALSE))+IF(G36="",0,VLOOKUP(G36,Bausteine!$A$2:$AS$46,9,FALSE))+IF(H36="",0,VLOOKUP(H36,Bausteine!$A$2:$AS$46,9,FALSE))+IF(I36="",0,VLOOKUP(I36,Bausteine!$A$2:$AS$46,9,FALSE))+IF(J36="",0,VLOOKUP(J36,Bausteine!$A$2:$AS$46,9,FALSE))+IF(K36="",0,VLOOKUP(K36,Bausteine!$A$2:$AS$46,9,FALSE))+IF(L36="",0,VLOOKUP(L36,Bausteine!$A$2:$AS$46,9,FALSE))+IF(AC36="",0,VLOOKUP(AC36,Bausteine!$A$2:$AS$46,9,FALSE))+IF(AF36="",0,VLOOKUP(AF36,Bausteine!$A$2:$AS$46,9,FALSE))+IF(AG36="",0,VLOOKUP(AG36,Bausteine!$A$2:$AS$46,9,FALSE))+IF(AH36="",0,VLOOKUP(AH36,Bausteine!$A$2:$AS$46,9,FALSE))</f>
        <v/>
      </c>
      <c r="V36">
        <f>IF(D36="",0,VLOOKUP(D36,Bausteine!$A$2:$AS$46,10,FALSE))-U36/IF(E36="",0,VLOOKUP(E36,Bausteine!$A$2:$AS$46,11,FALSE))</f>
        <v/>
      </c>
      <c r="W36">
        <f>IF(Y36&lt;&gt;"OK","",ROUND(MIN(IF(C36="",0,VLOOKUP(C36,Bausteine!$A$2:$AS$46,21,FALSE)),IF(C36="",0,VLOOKUP(C36,Bausteine!$A$2:$AS$46,20,FALSE))*(V36/T36/(IF(C36="",0,VLOOKUP(C36,Bausteine!$A$2:$AS$46,19,FALSE))/IF(C36="",0,VLOOKUP(C36,Bausteine!$A$2:$AS$46,18,FALSE))))^Parameter!$B$3),0))</f>
        <v/>
      </c>
      <c r="X36">
        <f>IF(F36="",0,VLOOKUP(F36,Bausteine!$A$2:$AS$46,14,FALSE))</f>
        <v/>
      </c>
      <c r="Y36">
        <f>IFERROR(IF(OR(AD36&lt;=0,AD36&gt;1,R36&lt;=0,T36&lt;=0,V36&lt;=0,U36&gt;IF(E36="",0,VLOOKUP(E36,Bausteine!$A$2:$AS$46,12,FALSE)),T36&gt;IF(C36="",0,VLOOKUP(C36,Bausteine!$A$2:$AS$46,22,FALSE)),IF(E36="",0,VLOOKUP(E36,Bausteine!$A$2:$AS$46,11,FALSE))&lt;=0,IF(E36="",0,VLOOKUP(E36,Bausteine!$A$2:$AS$46,11,FALSE))&gt;1),"UNGUELTIG","OK"),"FEHLER")</f>
        <v/>
      </c>
      <c r="Z36" t="n">
        <v>950</v>
      </c>
      <c r="AA36" t="n">
        <v>100</v>
      </c>
      <c r="AB36" t="inlineStr"/>
      <c r="AC36" t="inlineStr"/>
      <c r="AD36">
        <f>IF(AC36="",1,IF(AC36="",0,VLOOKUP(AC36,Bausteine!$A$2:$AS$46,37,FALSE))/100)</f>
        <v/>
      </c>
      <c r="AE36">
        <f>P36*AD36</f>
        <v/>
      </c>
      <c r="AF36" t="inlineStr"/>
      <c r="AG36" t="inlineStr"/>
      <c r="AH36" t="inlineStr"/>
      <c r="AI36">
        <f>SUMIF(Startbesatzung!$A$2:$A$7,A36,Startbesatzung!$D$2:$D$7)</f>
        <v/>
      </c>
      <c r="AJ36">
        <f>SUMIF(Startbesatzung!$A$2:$A$7,A36,Startbesatzung!$E$2:$E$7)</f>
        <v/>
      </c>
      <c r="AK36">
        <f>MAX(0,IF(Startbesatzung!A2=A36,Startbesatzung!G2,0),IF(Startbesatzung!A3=A36,Startbesatzung!G3,0),IF(Startbesatzung!A4=A36,Startbesatzung!G4,0),IF(Startbesatzung!A5=A36,Startbesatzung!G5,0),IF(Startbesatzung!A6=A36,Startbesatzung!G6,0),IF(Startbesatzung!A7=A36,Startbesatzung!G7,0))</f>
        <v/>
      </c>
      <c r="AL36">
        <f>IF(AF36="","",IF(IF(AH36="",0,VLOOKUP(AH36,Bausteine!$A$2:$AS$46,38,FALSE))&gt;0,IF(AH36="",0,VLOOKUP(AH36,Bausteine!$A$2:$AS$46,38,FALSE)),IF(AG36="",0,VLOOKUP(AG36,Bausteine!$A$2:$AS$46,28,FALSE))))</f>
        <v/>
      </c>
      <c r="AM36">
        <f>IF(AF36="","",IF(AG36="",0,VLOOKUP(AG36,Bausteine!$A$2:$AS$46,44,FALSE)))</f>
        <v/>
      </c>
      <c r="AN36">
        <f>IF(AF36="","",IF(AF36="",0,VLOOKUP(AF36,Bausteine!$A$2:$AS$46,27,FALSE)))</f>
        <v/>
      </c>
      <c r="AO36">
        <f>IF(AF36="","",IF(AF36="",0,VLOOKUP(AF36,Bausteine!$A$2:$AS$46,25,FALSE)))</f>
        <v/>
      </c>
      <c r="AP36">
        <f>IF(AF36="","",IF(AH36="",0,VLOOKUP(AH36,Bausteine!$A$2:$AS$46,29,FALSE)))</f>
        <v/>
      </c>
    </row>
    <row r="37">
      <c r="A37" t="inlineStr">
        <is>
          <t>Battlemaster Autoloader PDL</t>
        </is>
      </c>
      <c r="B37" t="inlineStr">
        <is>
          <t>china</t>
        </is>
      </c>
      <c r="C37" t="inlineStr">
        <is>
          <t>battlemaster</t>
        </is>
      </c>
      <c r="D37" t="inlineStr">
        <is>
          <t>diesel-large</t>
        </is>
      </c>
      <c r="E37" t="inlineStr">
        <is>
          <t>efficient-generator</t>
        </is>
      </c>
      <c r="F37" t="inlineStr">
        <is>
          <t>heavy</t>
        </is>
      </c>
      <c r="G37" t="inlineStr">
        <is>
          <t>autoloader-turret</t>
        </is>
      </c>
      <c r="H37" t="inlineStr">
        <is>
          <t>cannon</t>
        </is>
      </c>
      <c r="I37" t="inlineStr">
        <is>
          <t>shell</t>
        </is>
      </c>
      <c r="J37" t="inlineStr">
        <is>
          <t>pdl</t>
        </is>
      </c>
      <c r="K37" t="inlineStr"/>
      <c r="L37" t="inlineStr"/>
      <c r="M37">
        <f>IF(C37="",0,VLOOKUP(C37,Bausteine!$A$2:$AS$46,4,FALSE))+IF(D37="",0,VLOOKUP(D37,Bausteine!$A$2:$AS$46,4,FALSE))+IF(E37="",0,VLOOKUP(E37,Bausteine!$A$2:$AS$46,4,FALSE))+IF(F37="",0,VLOOKUP(F37,Bausteine!$A$2:$AS$46,4,FALSE))+IF(G37="",0,VLOOKUP(G37,Bausteine!$A$2:$AS$46,4,FALSE))+IF(H37="",0,VLOOKUP(H37,Bausteine!$A$2:$AS$46,4,FALSE))+IF(I37="",0,VLOOKUP(I37,Bausteine!$A$2:$AS$46,4,FALSE))+IF(J37="",0,VLOOKUP(J37,Bausteine!$A$2:$AS$46,4,FALSE))+IF(K37="",0,VLOOKUP(K37,Bausteine!$A$2:$AS$46,4,FALSE))+IF(L37="",0,VLOOKUP(L37,Bausteine!$A$2:$AS$46,4,FALSE))+IF(AC37="",0,VLOOKUP(AC37,Bausteine!$A$2:$AS$46,4,FALSE))+IF(AF37="",0,VLOOKUP(AF37,Bausteine!$A$2:$AS$46,4,FALSE))+IF(AG37="",0,VLOOKUP(AG37,Bausteine!$A$2:$AS$46,4,FALSE))+IF(AH37="",0,VLOOKUP(AH37,Bausteine!$A$2:$AS$46,4,FALSE))</f>
        <v/>
      </c>
      <c r="N37">
        <f>IF(C37="",0,VLOOKUP(C37,Bausteine!$A$2:$AS$46,5,FALSE))+IF(D37="",0,VLOOKUP(D37,Bausteine!$A$2:$AS$46,5,FALSE))+IF(E37="",0,VLOOKUP(E37,Bausteine!$A$2:$AS$46,5,FALSE))+IF(F37="",0,VLOOKUP(F37,Bausteine!$A$2:$AS$46,5,FALSE))+IF(G37="",0,VLOOKUP(G37,Bausteine!$A$2:$AS$46,5,FALSE))+IF(H37="",0,VLOOKUP(H37,Bausteine!$A$2:$AS$46,5,FALSE))+IF(I37="",0,VLOOKUP(I37,Bausteine!$A$2:$AS$46,5,FALSE))+IF(J37="",0,VLOOKUP(J37,Bausteine!$A$2:$AS$46,5,FALSE))+IF(K37="",0,VLOOKUP(K37,Bausteine!$A$2:$AS$46,5,FALSE))+IF(L37="",0,VLOOKUP(L37,Bausteine!$A$2:$AS$46,5,FALSE))+IF(AC37="",0,VLOOKUP(AC37,Bausteine!$A$2:$AS$46,5,FALSE))+IF(AF37="",0,VLOOKUP(AF37,Bausteine!$A$2:$AS$46,5,FALSE))+IF(AG37="",0,VLOOKUP(AG37,Bausteine!$A$2:$AS$46,5,FALSE))+IF(AH37="",0,VLOOKUP(AH37,Bausteine!$A$2:$AS$46,5,FALSE))</f>
        <v/>
      </c>
      <c r="O37">
        <f>MAX(IF(C37="",0,VLOOKUP(C37,Bausteine!$A$2:$AS$46,6,FALSE)),IF(D37="",0,VLOOKUP(D37,Bausteine!$A$2:$AS$46,6,FALSE)),IF(E37="",0,VLOOKUP(E37,Bausteine!$A$2:$AS$46,6,FALSE)),IF(F37="",0,VLOOKUP(F37,Bausteine!$A$2:$AS$46,6,FALSE)),IF(G37="",0,VLOOKUP(G37,Bausteine!$A$2:$AS$46,6,FALSE)),IF(H37="",0,VLOOKUP(H37,Bausteine!$A$2:$AS$46,6,FALSE)),IF(I37="",0,VLOOKUP(I37,Bausteine!$A$2:$AS$46,6,FALSE)),IF(J37="",0,VLOOKUP(J37,Bausteine!$A$2:$AS$46,6,FALSE)),IF(K37="",0,VLOOKUP(K37,Bausteine!$A$2:$AS$46,6,FALSE)),IF(L37="",0,VLOOKUP(L37,Bausteine!$A$2:$AS$46,6,FALSE)),IF(AC37="",0,VLOOKUP(AC37,Bausteine!$A$2:$AS$46,6,FALSE)),IF(AF37="",0,VLOOKUP(AF37,Bausteine!$A$2:$AS$46,6,FALSE)),IF(AG37="",0,VLOOKUP(AG37,Bausteine!$A$2:$AS$46,6,FALSE)),IF(AH37="",0,VLOOKUP(AH37,Bausteine!$A$2:$AS$46,6,FALSE)),AK37)</f>
        <v/>
      </c>
      <c r="P37">
        <f>IF(C37="",0,VLOOKUP(C37,Bausteine!$A$2:$AS$46,7,FALSE))*IF(F37="",0,VLOOKUP(F37,Bausteine!$A$2:$AS$46,17,FALSE))/100+IF(D37="",0,VLOOKUP(D37,Bausteine!$A$2:$AS$46,7,FALSE))+IF(E37="",0,VLOOKUP(E37,Bausteine!$A$2:$AS$46,7,FALSE))+IF(G37="",0,VLOOKUP(G37,Bausteine!$A$2:$AS$46,7,FALSE))+IF(H37="",0,VLOOKUP(H37,Bausteine!$A$2:$AS$46,7,FALSE))+IF(I37="",0,VLOOKUP(I37,Bausteine!$A$2:$AS$46,7,FALSE))+IF(J37="",0,VLOOKUP(J37,Bausteine!$A$2:$AS$46,7,FALSE))+IF(K37="",0,VLOOKUP(K37,Bausteine!$A$2:$AS$46,7,FALSE))+IF(L37="",0,VLOOKUP(L37,Bausteine!$A$2:$AS$46,7,FALSE))+IF(AC37="",0,VLOOKUP(AC37,Bausteine!$A$2:$AS$46,7,FALSE))+IF(AF37="",0,VLOOKUP(AF37,Bausteine!$A$2:$AS$46,7,FALSE))+IF(AG37="",0,VLOOKUP(AG37,Bausteine!$A$2:$AS$46,7,FALSE))+IF(AH37="",0,VLOOKUP(AH37,Bausteine!$A$2:$AS$46,7,FALSE))+AI37</f>
        <v/>
      </c>
      <c r="Q37">
        <f>N37*Parameter!$B$2</f>
        <v/>
      </c>
      <c r="R37">
        <f>AE37-Q37</f>
        <v/>
      </c>
      <c r="S37">
        <f>IF(C37="",0,VLOOKUP(C37,Bausteine!$A$2:$AS$46,13,FALSE))*IF(F37="",0,VLOOKUP(F37,Bausteine!$A$2:$AS$46,16,FALSE))/100</f>
        <v/>
      </c>
      <c r="T37">
        <f>IF(C37="",0,VLOOKUP(C37,Bausteine!$A$2:$AS$46,8,FALSE))*IF(F37="",0,VLOOKUP(F37,Bausteine!$A$2:$AS$46,15,FALSE))/100+IF(D37="",0,VLOOKUP(D37,Bausteine!$A$2:$AS$46,8,FALSE))+IF(E37="",0,VLOOKUP(E37,Bausteine!$A$2:$AS$46,8,FALSE))+IF(G37="",0,VLOOKUP(G37,Bausteine!$A$2:$AS$46,8,FALSE))+IF(H37="",0,VLOOKUP(H37,Bausteine!$A$2:$AS$46,8,FALSE))+IF(I37="",0,VLOOKUP(I37,Bausteine!$A$2:$AS$46,8,FALSE))+IF(J37="",0,VLOOKUP(J37,Bausteine!$A$2:$AS$46,8,FALSE))+IF(K37="",0,VLOOKUP(K37,Bausteine!$A$2:$AS$46,8,FALSE))+IF(L37="",0,VLOOKUP(L37,Bausteine!$A$2:$AS$46,8,FALSE))+IF(AC37="",0,VLOOKUP(AC37,Bausteine!$A$2:$AS$46,8,FALSE))+IF(AF37="",0,VLOOKUP(AF37,Bausteine!$A$2:$AS$46,8,FALSE))+IF(AG37="",0,VLOOKUP(AG37,Bausteine!$A$2:$AS$46,8,FALSE))+IF(AH37="",0,VLOOKUP(AH37,Bausteine!$A$2:$AS$46,8,FALSE))+AJ37</f>
        <v/>
      </c>
      <c r="U37">
        <f>IF(C37="",0,VLOOKUP(C37,Bausteine!$A$2:$AS$46,9,FALSE))+IF(D37="",0,VLOOKUP(D37,Bausteine!$A$2:$AS$46,9,FALSE))+IF(E37="",0,VLOOKUP(E37,Bausteine!$A$2:$AS$46,9,FALSE))+IF(F37="",0,VLOOKUP(F37,Bausteine!$A$2:$AS$46,9,FALSE))+IF(G37="",0,VLOOKUP(G37,Bausteine!$A$2:$AS$46,9,FALSE))+IF(H37="",0,VLOOKUP(H37,Bausteine!$A$2:$AS$46,9,FALSE))+IF(I37="",0,VLOOKUP(I37,Bausteine!$A$2:$AS$46,9,FALSE))+IF(J37="",0,VLOOKUP(J37,Bausteine!$A$2:$AS$46,9,FALSE))+IF(K37="",0,VLOOKUP(K37,Bausteine!$A$2:$AS$46,9,FALSE))+IF(L37="",0,VLOOKUP(L37,Bausteine!$A$2:$AS$46,9,FALSE))+IF(AC37="",0,VLOOKUP(AC37,Bausteine!$A$2:$AS$46,9,FALSE))+IF(AF37="",0,VLOOKUP(AF37,Bausteine!$A$2:$AS$46,9,FALSE))+IF(AG37="",0,VLOOKUP(AG37,Bausteine!$A$2:$AS$46,9,FALSE))+IF(AH37="",0,VLOOKUP(AH37,Bausteine!$A$2:$AS$46,9,FALSE))</f>
        <v/>
      </c>
      <c r="V37">
        <f>IF(D37="",0,VLOOKUP(D37,Bausteine!$A$2:$AS$46,10,FALSE))-U37/IF(E37="",0,VLOOKUP(E37,Bausteine!$A$2:$AS$46,11,FALSE))</f>
        <v/>
      </c>
      <c r="W37">
        <f>IF(Y37&lt;&gt;"OK","",ROUND(MIN(IF(C37="",0,VLOOKUP(C37,Bausteine!$A$2:$AS$46,21,FALSE)),IF(C37="",0,VLOOKUP(C37,Bausteine!$A$2:$AS$46,20,FALSE))*(V37/T37/(IF(C37="",0,VLOOKUP(C37,Bausteine!$A$2:$AS$46,19,FALSE))/IF(C37="",0,VLOOKUP(C37,Bausteine!$A$2:$AS$46,18,FALSE))))^Parameter!$B$3),0))</f>
        <v/>
      </c>
      <c r="X37">
        <f>IF(F37="",0,VLOOKUP(F37,Bausteine!$A$2:$AS$46,14,FALSE))</f>
        <v/>
      </c>
      <c r="Y37">
        <f>IFERROR(IF(OR(AD37&lt;=0,AD37&gt;1,R37&lt;=0,T37&lt;=0,V37&lt;=0,U37&gt;IF(E37="",0,VLOOKUP(E37,Bausteine!$A$2:$AS$46,12,FALSE)),T37&gt;IF(C37="",0,VLOOKUP(C37,Bausteine!$A$2:$AS$46,22,FALSE)),IF(E37="",0,VLOOKUP(E37,Bausteine!$A$2:$AS$46,11,FALSE))&lt;=0,IF(E37="",0,VLOOKUP(E37,Bausteine!$A$2:$AS$46,11,FALSE))&gt;1),"UNGUELTIG","OK"),"FEHLER")</f>
        <v/>
      </c>
      <c r="Z37" t="n">
        <v>1600</v>
      </c>
      <c r="AA37" t="n">
        <v>100</v>
      </c>
      <c r="AB37" t="inlineStr"/>
      <c r="AC37" t="inlineStr"/>
      <c r="AD37">
        <f>IF(AC37="",1,IF(AC37="",0,VLOOKUP(AC37,Bausteine!$A$2:$AS$46,37,FALSE))/100)</f>
        <v/>
      </c>
      <c r="AE37">
        <f>P37*AD37</f>
        <v/>
      </c>
      <c r="AF37" t="inlineStr"/>
      <c r="AG37" t="inlineStr"/>
      <c r="AH37" t="inlineStr"/>
      <c r="AI37">
        <f>SUMIF(Startbesatzung!$A$2:$A$7,A37,Startbesatzung!$D$2:$D$7)</f>
        <v/>
      </c>
      <c r="AJ37">
        <f>SUMIF(Startbesatzung!$A$2:$A$7,A37,Startbesatzung!$E$2:$E$7)</f>
        <v/>
      </c>
      <c r="AK37">
        <f>MAX(0,IF(Startbesatzung!A2=A37,Startbesatzung!G2,0),IF(Startbesatzung!A3=A37,Startbesatzung!G3,0),IF(Startbesatzung!A4=A37,Startbesatzung!G4,0),IF(Startbesatzung!A5=A37,Startbesatzung!G5,0),IF(Startbesatzung!A6=A37,Startbesatzung!G6,0),IF(Startbesatzung!A7=A37,Startbesatzung!G7,0))</f>
        <v/>
      </c>
      <c r="AL37">
        <f>IF(AF37="","",IF(IF(AH37="",0,VLOOKUP(AH37,Bausteine!$A$2:$AS$46,38,FALSE))&gt;0,IF(AH37="",0,VLOOKUP(AH37,Bausteine!$A$2:$AS$46,38,FALSE)),IF(AG37="",0,VLOOKUP(AG37,Bausteine!$A$2:$AS$46,28,FALSE))))</f>
        <v/>
      </c>
      <c r="AM37">
        <f>IF(AF37="","",IF(AG37="",0,VLOOKUP(AG37,Bausteine!$A$2:$AS$46,44,FALSE)))</f>
        <v/>
      </c>
      <c r="AN37">
        <f>IF(AF37="","",IF(AF37="",0,VLOOKUP(AF37,Bausteine!$A$2:$AS$46,27,FALSE)))</f>
        <v/>
      </c>
      <c r="AO37">
        <f>IF(AF37="","",IF(AF37="",0,VLOOKUP(AF37,Bausteine!$A$2:$AS$46,25,FALSE)))</f>
        <v/>
      </c>
      <c r="AP37">
        <f>IF(AF37="","",IF(AH37="",0,VLOOKUP(AH37,Bausteine!$A$2:$AS$46,29,FALSE)))</f>
        <v/>
      </c>
    </row>
    <row r="38">
      <c r="A38" t="inlineStr">
        <is>
          <t>Battlemaster Autoloader Reflector</t>
        </is>
      </c>
      <c r="B38" t="inlineStr">
        <is>
          <t>china</t>
        </is>
      </c>
      <c r="C38" t="inlineStr">
        <is>
          <t>battlemaster</t>
        </is>
      </c>
      <c r="D38" t="inlineStr">
        <is>
          <t>diesel-large</t>
        </is>
      </c>
      <c r="E38" t="inlineStr">
        <is>
          <t>efficient-generator</t>
        </is>
      </c>
      <c r="F38" t="inlineStr">
        <is>
          <t>reflector</t>
        </is>
      </c>
      <c r="G38" t="inlineStr">
        <is>
          <t>autoloader-turret</t>
        </is>
      </c>
      <c r="H38" t="inlineStr">
        <is>
          <t>cannon</t>
        </is>
      </c>
      <c r="I38" t="inlineStr">
        <is>
          <t>shell</t>
        </is>
      </c>
      <c r="J38" t="inlineStr"/>
      <c r="K38" t="inlineStr"/>
      <c r="L38" t="inlineStr"/>
      <c r="M38">
        <f>IF(C38="",0,VLOOKUP(C38,Bausteine!$A$2:$AS$46,4,FALSE))+IF(D38="",0,VLOOKUP(D38,Bausteine!$A$2:$AS$46,4,FALSE))+IF(E38="",0,VLOOKUP(E38,Bausteine!$A$2:$AS$46,4,FALSE))+IF(F38="",0,VLOOKUP(F38,Bausteine!$A$2:$AS$46,4,FALSE))+IF(G38="",0,VLOOKUP(G38,Bausteine!$A$2:$AS$46,4,FALSE))+IF(H38="",0,VLOOKUP(H38,Bausteine!$A$2:$AS$46,4,FALSE))+IF(I38="",0,VLOOKUP(I38,Bausteine!$A$2:$AS$46,4,FALSE))+IF(J38="",0,VLOOKUP(J38,Bausteine!$A$2:$AS$46,4,FALSE))+IF(K38="",0,VLOOKUP(K38,Bausteine!$A$2:$AS$46,4,FALSE))+IF(L38="",0,VLOOKUP(L38,Bausteine!$A$2:$AS$46,4,FALSE))+IF(AC38="",0,VLOOKUP(AC38,Bausteine!$A$2:$AS$46,4,FALSE))+IF(AF38="",0,VLOOKUP(AF38,Bausteine!$A$2:$AS$46,4,FALSE))+IF(AG38="",0,VLOOKUP(AG38,Bausteine!$A$2:$AS$46,4,FALSE))+IF(AH38="",0,VLOOKUP(AH38,Bausteine!$A$2:$AS$46,4,FALSE))</f>
        <v/>
      </c>
      <c r="N38">
        <f>IF(C38="",0,VLOOKUP(C38,Bausteine!$A$2:$AS$46,5,FALSE))+IF(D38="",0,VLOOKUP(D38,Bausteine!$A$2:$AS$46,5,FALSE))+IF(E38="",0,VLOOKUP(E38,Bausteine!$A$2:$AS$46,5,FALSE))+IF(F38="",0,VLOOKUP(F38,Bausteine!$A$2:$AS$46,5,FALSE))+IF(G38="",0,VLOOKUP(G38,Bausteine!$A$2:$AS$46,5,FALSE))+IF(H38="",0,VLOOKUP(H38,Bausteine!$A$2:$AS$46,5,FALSE))+IF(I38="",0,VLOOKUP(I38,Bausteine!$A$2:$AS$46,5,FALSE))+IF(J38="",0,VLOOKUP(J38,Bausteine!$A$2:$AS$46,5,FALSE))+IF(K38="",0,VLOOKUP(K38,Bausteine!$A$2:$AS$46,5,FALSE))+IF(L38="",0,VLOOKUP(L38,Bausteine!$A$2:$AS$46,5,FALSE))+IF(AC38="",0,VLOOKUP(AC38,Bausteine!$A$2:$AS$46,5,FALSE))+IF(AF38="",0,VLOOKUP(AF38,Bausteine!$A$2:$AS$46,5,FALSE))+IF(AG38="",0,VLOOKUP(AG38,Bausteine!$A$2:$AS$46,5,FALSE))+IF(AH38="",0,VLOOKUP(AH38,Bausteine!$A$2:$AS$46,5,FALSE))</f>
        <v/>
      </c>
      <c r="O38">
        <f>MAX(IF(C38="",0,VLOOKUP(C38,Bausteine!$A$2:$AS$46,6,FALSE)),IF(D38="",0,VLOOKUP(D38,Bausteine!$A$2:$AS$46,6,FALSE)),IF(E38="",0,VLOOKUP(E38,Bausteine!$A$2:$AS$46,6,FALSE)),IF(F38="",0,VLOOKUP(F38,Bausteine!$A$2:$AS$46,6,FALSE)),IF(G38="",0,VLOOKUP(G38,Bausteine!$A$2:$AS$46,6,FALSE)),IF(H38="",0,VLOOKUP(H38,Bausteine!$A$2:$AS$46,6,FALSE)),IF(I38="",0,VLOOKUP(I38,Bausteine!$A$2:$AS$46,6,FALSE)),IF(J38="",0,VLOOKUP(J38,Bausteine!$A$2:$AS$46,6,FALSE)),IF(K38="",0,VLOOKUP(K38,Bausteine!$A$2:$AS$46,6,FALSE)),IF(L38="",0,VLOOKUP(L38,Bausteine!$A$2:$AS$46,6,FALSE)),IF(AC38="",0,VLOOKUP(AC38,Bausteine!$A$2:$AS$46,6,FALSE)),IF(AF38="",0,VLOOKUP(AF38,Bausteine!$A$2:$AS$46,6,FALSE)),IF(AG38="",0,VLOOKUP(AG38,Bausteine!$A$2:$AS$46,6,FALSE)),IF(AH38="",0,VLOOKUP(AH38,Bausteine!$A$2:$AS$46,6,FALSE)),AK38)</f>
        <v/>
      </c>
      <c r="P38">
        <f>IF(C38="",0,VLOOKUP(C38,Bausteine!$A$2:$AS$46,7,FALSE))*IF(F38="",0,VLOOKUP(F38,Bausteine!$A$2:$AS$46,17,FALSE))/100+IF(D38="",0,VLOOKUP(D38,Bausteine!$A$2:$AS$46,7,FALSE))+IF(E38="",0,VLOOKUP(E38,Bausteine!$A$2:$AS$46,7,FALSE))+IF(G38="",0,VLOOKUP(G38,Bausteine!$A$2:$AS$46,7,FALSE))+IF(H38="",0,VLOOKUP(H38,Bausteine!$A$2:$AS$46,7,FALSE))+IF(I38="",0,VLOOKUP(I38,Bausteine!$A$2:$AS$46,7,FALSE))+IF(J38="",0,VLOOKUP(J38,Bausteine!$A$2:$AS$46,7,FALSE))+IF(K38="",0,VLOOKUP(K38,Bausteine!$A$2:$AS$46,7,FALSE))+IF(L38="",0,VLOOKUP(L38,Bausteine!$A$2:$AS$46,7,FALSE))+IF(AC38="",0,VLOOKUP(AC38,Bausteine!$A$2:$AS$46,7,FALSE))+IF(AF38="",0,VLOOKUP(AF38,Bausteine!$A$2:$AS$46,7,FALSE))+IF(AG38="",0,VLOOKUP(AG38,Bausteine!$A$2:$AS$46,7,FALSE))+IF(AH38="",0,VLOOKUP(AH38,Bausteine!$A$2:$AS$46,7,FALSE))+AI38</f>
        <v/>
      </c>
      <c r="Q38">
        <f>N38*Parameter!$B$2</f>
        <v/>
      </c>
      <c r="R38">
        <f>AE38-Q38</f>
        <v/>
      </c>
      <c r="S38">
        <f>IF(C38="",0,VLOOKUP(C38,Bausteine!$A$2:$AS$46,13,FALSE))*IF(F38="",0,VLOOKUP(F38,Bausteine!$A$2:$AS$46,16,FALSE))/100</f>
        <v/>
      </c>
      <c r="T38">
        <f>IF(C38="",0,VLOOKUP(C38,Bausteine!$A$2:$AS$46,8,FALSE))*IF(F38="",0,VLOOKUP(F38,Bausteine!$A$2:$AS$46,15,FALSE))/100+IF(D38="",0,VLOOKUP(D38,Bausteine!$A$2:$AS$46,8,FALSE))+IF(E38="",0,VLOOKUP(E38,Bausteine!$A$2:$AS$46,8,FALSE))+IF(G38="",0,VLOOKUP(G38,Bausteine!$A$2:$AS$46,8,FALSE))+IF(H38="",0,VLOOKUP(H38,Bausteine!$A$2:$AS$46,8,FALSE))+IF(I38="",0,VLOOKUP(I38,Bausteine!$A$2:$AS$46,8,FALSE))+IF(J38="",0,VLOOKUP(J38,Bausteine!$A$2:$AS$46,8,FALSE))+IF(K38="",0,VLOOKUP(K38,Bausteine!$A$2:$AS$46,8,FALSE))+IF(L38="",0,VLOOKUP(L38,Bausteine!$A$2:$AS$46,8,FALSE))+IF(AC38="",0,VLOOKUP(AC38,Bausteine!$A$2:$AS$46,8,FALSE))+IF(AF38="",0,VLOOKUP(AF38,Bausteine!$A$2:$AS$46,8,FALSE))+IF(AG38="",0,VLOOKUP(AG38,Bausteine!$A$2:$AS$46,8,FALSE))+IF(AH38="",0,VLOOKUP(AH38,Bausteine!$A$2:$AS$46,8,FALSE))+AJ38</f>
        <v/>
      </c>
      <c r="U38">
        <f>IF(C38="",0,VLOOKUP(C38,Bausteine!$A$2:$AS$46,9,FALSE))+IF(D38="",0,VLOOKUP(D38,Bausteine!$A$2:$AS$46,9,FALSE))+IF(E38="",0,VLOOKUP(E38,Bausteine!$A$2:$AS$46,9,FALSE))+IF(F38="",0,VLOOKUP(F38,Bausteine!$A$2:$AS$46,9,FALSE))+IF(G38="",0,VLOOKUP(G38,Bausteine!$A$2:$AS$46,9,FALSE))+IF(H38="",0,VLOOKUP(H38,Bausteine!$A$2:$AS$46,9,FALSE))+IF(I38="",0,VLOOKUP(I38,Bausteine!$A$2:$AS$46,9,FALSE))+IF(J38="",0,VLOOKUP(J38,Bausteine!$A$2:$AS$46,9,FALSE))+IF(K38="",0,VLOOKUP(K38,Bausteine!$A$2:$AS$46,9,FALSE))+IF(L38="",0,VLOOKUP(L38,Bausteine!$A$2:$AS$46,9,FALSE))+IF(AC38="",0,VLOOKUP(AC38,Bausteine!$A$2:$AS$46,9,FALSE))+IF(AF38="",0,VLOOKUP(AF38,Bausteine!$A$2:$AS$46,9,FALSE))+IF(AG38="",0,VLOOKUP(AG38,Bausteine!$A$2:$AS$46,9,FALSE))+IF(AH38="",0,VLOOKUP(AH38,Bausteine!$A$2:$AS$46,9,FALSE))</f>
        <v/>
      </c>
      <c r="V38">
        <f>IF(D38="",0,VLOOKUP(D38,Bausteine!$A$2:$AS$46,10,FALSE))-U38/IF(E38="",0,VLOOKUP(E38,Bausteine!$A$2:$AS$46,11,FALSE))</f>
        <v/>
      </c>
      <c r="W38">
        <f>IF(Y38&lt;&gt;"OK","",ROUND(MIN(IF(C38="",0,VLOOKUP(C38,Bausteine!$A$2:$AS$46,21,FALSE)),IF(C38="",0,VLOOKUP(C38,Bausteine!$A$2:$AS$46,20,FALSE))*(V38/T38/(IF(C38="",0,VLOOKUP(C38,Bausteine!$A$2:$AS$46,19,FALSE))/IF(C38="",0,VLOOKUP(C38,Bausteine!$A$2:$AS$46,18,FALSE))))^Parameter!$B$3),0))</f>
        <v/>
      </c>
      <c r="X38">
        <f>IF(F38="",0,VLOOKUP(F38,Bausteine!$A$2:$AS$46,14,FALSE))</f>
        <v/>
      </c>
      <c r="Y38">
        <f>IFERROR(IF(OR(AD38&lt;=0,AD38&gt;1,R38&lt;=0,T38&lt;=0,V38&lt;=0,U38&gt;IF(E38="",0,VLOOKUP(E38,Bausteine!$A$2:$AS$46,12,FALSE)),T38&gt;IF(C38="",0,VLOOKUP(C38,Bausteine!$A$2:$AS$46,22,FALSE)),IF(E38="",0,VLOOKUP(E38,Bausteine!$A$2:$AS$46,11,FALSE))&lt;=0,IF(E38="",0,VLOOKUP(E38,Bausteine!$A$2:$AS$46,11,FALSE))&gt;1),"UNGUELTIG","OK"),"FEHLER")</f>
        <v/>
      </c>
      <c r="Z38" t="n">
        <v>950</v>
      </c>
      <c r="AA38" t="n">
        <v>100</v>
      </c>
      <c r="AB38" t="inlineStr"/>
      <c r="AC38" t="inlineStr"/>
      <c r="AD38">
        <f>IF(AC38="",1,IF(AC38="",0,VLOOKUP(AC38,Bausteine!$A$2:$AS$46,37,FALSE))/100)</f>
        <v/>
      </c>
      <c r="AE38">
        <f>P38*AD38</f>
        <v/>
      </c>
      <c r="AF38" t="inlineStr"/>
      <c r="AG38" t="inlineStr"/>
      <c r="AH38" t="inlineStr"/>
      <c r="AI38">
        <f>SUMIF(Startbesatzung!$A$2:$A$7,A38,Startbesatzung!$D$2:$D$7)</f>
        <v/>
      </c>
      <c r="AJ38">
        <f>SUMIF(Startbesatzung!$A$2:$A$7,A38,Startbesatzung!$E$2:$E$7)</f>
        <v/>
      </c>
      <c r="AK38">
        <f>MAX(0,IF(Startbesatzung!A2=A38,Startbesatzung!G2,0),IF(Startbesatzung!A3=A38,Startbesatzung!G3,0),IF(Startbesatzung!A4=A38,Startbesatzung!G4,0),IF(Startbesatzung!A5=A38,Startbesatzung!G5,0),IF(Startbesatzung!A6=A38,Startbesatzung!G6,0),IF(Startbesatzung!A7=A38,Startbesatzung!G7,0))</f>
        <v/>
      </c>
      <c r="AL38">
        <f>IF(AF38="","",IF(IF(AH38="",0,VLOOKUP(AH38,Bausteine!$A$2:$AS$46,38,FALSE))&gt;0,IF(AH38="",0,VLOOKUP(AH38,Bausteine!$A$2:$AS$46,38,FALSE)),IF(AG38="",0,VLOOKUP(AG38,Bausteine!$A$2:$AS$46,28,FALSE))))</f>
        <v/>
      </c>
      <c r="AM38">
        <f>IF(AF38="","",IF(AG38="",0,VLOOKUP(AG38,Bausteine!$A$2:$AS$46,44,FALSE)))</f>
        <v/>
      </c>
      <c r="AN38">
        <f>IF(AF38="","",IF(AF38="",0,VLOOKUP(AF38,Bausteine!$A$2:$AS$46,27,FALSE)))</f>
        <v/>
      </c>
      <c r="AO38">
        <f>IF(AF38="","",IF(AF38="",0,VLOOKUP(AF38,Bausteine!$A$2:$AS$46,25,FALSE)))</f>
        <v/>
      </c>
      <c r="AP38">
        <f>IF(AF38="","",IF(AH38="",0,VLOOKUP(AH38,Bausteine!$A$2:$AS$46,29,FALSE)))</f>
        <v/>
      </c>
    </row>
    <row r="39">
      <c r="A39" t="inlineStr">
        <is>
          <t>Battlemaster baseline</t>
        </is>
      </c>
      <c r="B39" t="inlineStr">
        <is>
          <t>china</t>
        </is>
      </c>
      <c r="C39" t="inlineStr">
        <is>
          <t>battlemaster</t>
        </is>
      </c>
      <c r="D39" t="inlineStr">
        <is>
          <t>diesel</t>
        </is>
      </c>
      <c r="E39" t="inlineStr">
        <is>
          <t>baseline-generator</t>
        </is>
      </c>
      <c r="F39" t="inlineStr">
        <is>
          <t>heavy</t>
        </is>
      </c>
      <c r="G39" t="inlineStr">
        <is>
          <t>cannon-turret</t>
        </is>
      </c>
      <c r="H39" t="inlineStr">
        <is>
          <t>cannon</t>
        </is>
      </c>
      <c r="I39" t="inlineStr">
        <is>
          <t>shell</t>
        </is>
      </c>
      <c r="J39" t="inlineStr"/>
      <c r="K39" t="inlineStr"/>
      <c r="L39" t="inlineStr"/>
      <c r="M39">
        <f>IF(C39="",0,VLOOKUP(C39,Bausteine!$A$2:$AS$46,4,FALSE))+IF(D39="",0,VLOOKUP(D39,Bausteine!$A$2:$AS$46,4,FALSE))+IF(E39="",0,VLOOKUP(E39,Bausteine!$A$2:$AS$46,4,FALSE))+IF(F39="",0,VLOOKUP(F39,Bausteine!$A$2:$AS$46,4,FALSE))+IF(G39="",0,VLOOKUP(G39,Bausteine!$A$2:$AS$46,4,FALSE))+IF(H39="",0,VLOOKUP(H39,Bausteine!$A$2:$AS$46,4,FALSE))+IF(I39="",0,VLOOKUP(I39,Bausteine!$A$2:$AS$46,4,FALSE))+IF(J39="",0,VLOOKUP(J39,Bausteine!$A$2:$AS$46,4,FALSE))+IF(K39="",0,VLOOKUP(K39,Bausteine!$A$2:$AS$46,4,FALSE))+IF(L39="",0,VLOOKUP(L39,Bausteine!$A$2:$AS$46,4,FALSE))+IF(AC39="",0,VLOOKUP(AC39,Bausteine!$A$2:$AS$46,4,FALSE))+IF(AF39="",0,VLOOKUP(AF39,Bausteine!$A$2:$AS$46,4,FALSE))+IF(AG39="",0,VLOOKUP(AG39,Bausteine!$A$2:$AS$46,4,FALSE))+IF(AH39="",0,VLOOKUP(AH39,Bausteine!$A$2:$AS$46,4,FALSE))</f>
        <v/>
      </c>
      <c r="N39">
        <f>IF(C39="",0,VLOOKUP(C39,Bausteine!$A$2:$AS$46,5,FALSE))+IF(D39="",0,VLOOKUP(D39,Bausteine!$A$2:$AS$46,5,FALSE))+IF(E39="",0,VLOOKUP(E39,Bausteine!$A$2:$AS$46,5,FALSE))+IF(F39="",0,VLOOKUP(F39,Bausteine!$A$2:$AS$46,5,FALSE))+IF(G39="",0,VLOOKUP(G39,Bausteine!$A$2:$AS$46,5,FALSE))+IF(H39="",0,VLOOKUP(H39,Bausteine!$A$2:$AS$46,5,FALSE))+IF(I39="",0,VLOOKUP(I39,Bausteine!$A$2:$AS$46,5,FALSE))+IF(J39="",0,VLOOKUP(J39,Bausteine!$A$2:$AS$46,5,FALSE))+IF(K39="",0,VLOOKUP(K39,Bausteine!$A$2:$AS$46,5,FALSE))+IF(L39="",0,VLOOKUP(L39,Bausteine!$A$2:$AS$46,5,FALSE))+IF(AC39="",0,VLOOKUP(AC39,Bausteine!$A$2:$AS$46,5,FALSE))+IF(AF39="",0,VLOOKUP(AF39,Bausteine!$A$2:$AS$46,5,FALSE))+IF(AG39="",0,VLOOKUP(AG39,Bausteine!$A$2:$AS$46,5,FALSE))+IF(AH39="",0,VLOOKUP(AH39,Bausteine!$A$2:$AS$46,5,FALSE))</f>
        <v/>
      </c>
      <c r="O39">
        <f>MAX(IF(C39="",0,VLOOKUP(C39,Bausteine!$A$2:$AS$46,6,FALSE)),IF(D39="",0,VLOOKUP(D39,Bausteine!$A$2:$AS$46,6,FALSE)),IF(E39="",0,VLOOKUP(E39,Bausteine!$A$2:$AS$46,6,FALSE)),IF(F39="",0,VLOOKUP(F39,Bausteine!$A$2:$AS$46,6,FALSE)),IF(G39="",0,VLOOKUP(G39,Bausteine!$A$2:$AS$46,6,FALSE)),IF(H39="",0,VLOOKUP(H39,Bausteine!$A$2:$AS$46,6,FALSE)),IF(I39="",0,VLOOKUP(I39,Bausteine!$A$2:$AS$46,6,FALSE)),IF(J39="",0,VLOOKUP(J39,Bausteine!$A$2:$AS$46,6,FALSE)),IF(K39="",0,VLOOKUP(K39,Bausteine!$A$2:$AS$46,6,FALSE)),IF(L39="",0,VLOOKUP(L39,Bausteine!$A$2:$AS$46,6,FALSE)),IF(AC39="",0,VLOOKUP(AC39,Bausteine!$A$2:$AS$46,6,FALSE)),IF(AF39="",0,VLOOKUP(AF39,Bausteine!$A$2:$AS$46,6,FALSE)),IF(AG39="",0,VLOOKUP(AG39,Bausteine!$A$2:$AS$46,6,FALSE)),IF(AH39="",0,VLOOKUP(AH39,Bausteine!$A$2:$AS$46,6,FALSE)),AK39)</f>
        <v/>
      </c>
      <c r="P39">
        <f>IF(C39="",0,VLOOKUP(C39,Bausteine!$A$2:$AS$46,7,FALSE))*IF(F39="",0,VLOOKUP(F39,Bausteine!$A$2:$AS$46,17,FALSE))/100+IF(D39="",0,VLOOKUP(D39,Bausteine!$A$2:$AS$46,7,FALSE))+IF(E39="",0,VLOOKUP(E39,Bausteine!$A$2:$AS$46,7,FALSE))+IF(G39="",0,VLOOKUP(G39,Bausteine!$A$2:$AS$46,7,FALSE))+IF(H39="",0,VLOOKUP(H39,Bausteine!$A$2:$AS$46,7,FALSE))+IF(I39="",0,VLOOKUP(I39,Bausteine!$A$2:$AS$46,7,FALSE))+IF(J39="",0,VLOOKUP(J39,Bausteine!$A$2:$AS$46,7,FALSE))+IF(K39="",0,VLOOKUP(K39,Bausteine!$A$2:$AS$46,7,FALSE))+IF(L39="",0,VLOOKUP(L39,Bausteine!$A$2:$AS$46,7,FALSE))+IF(AC39="",0,VLOOKUP(AC39,Bausteine!$A$2:$AS$46,7,FALSE))+IF(AF39="",0,VLOOKUP(AF39,Bausteine!$A$2:$AS$46,7,FALSE))+IF(AG39="",0,VLOOKUP(AG39,Bausteine!$A$2:$AS$46,7,FALSE))+IF(AH39="",0,VLOOKUP(AH39,Bausteine!$A$2:$AS$46,7,FALSE))+AI39</f>
        <v/>
      </c>
      <c r="Q39">
        <f>N39*Parameter!$B$2</f>
        <v/>
      </c>
      <c r="R39">
        <f>AE39-Q39</f>
        <v/>
      </c>
      <c r="S39">
        <f>IF(C39="",0,VLOOKUP(C39,Bausteine!$A$2:$AS$46,13,FALSE))*IF(F39="",0,VLOOKUP(F39,Bausteine!$A$2:$AS$46,16,FALSE))/100</f>
        <v/>
      </c>
      <c r="T39">
        <f>IF(C39="",0,VLOOKUP(C39,Bausteine!$A$2:$AS$46,8,FALSE))*IF(F39="",0,VLOOKUP(F39,Bausteine!$A$2:$AS$46,15,FALSE))/100+IF(D39="",0,VLOOKUP(D39,Bausteine!$A$2:$AS$46,8,FALSE))+IF(E39="",0,VLOOKUP(E39,Bausteine!$A$2:$AS$46,8,FALSE))+IF(G39="",0,VLOOKUP(G39,Bausteine!$A$2:$AS$46,8,FALSE))+IF(H39="",0,VLOOKUP(H39,Bausteine!$A$2:$AS$46,8,FALSE))+IF(I39="",0,VLOOKUP(I39,Bausteine!$A$2:$AS$46,8,FALSE))+IF(J39="",0,VLOOKUP(J39,Bausteine!$A$2:$AS$46,8,FALSE))+IF(K39="",0,VLOOKUP(K39,Bausteine!$A$2:$AS$46,8,FALSE))+IF(L39="",0,VLOOKUP(L39,Bausteine!$A$2:$AS$46,8,FALSE))+IF(AC39="",0,VLOOKUP(AC39,Bausteine!$A$2:$AS$46,8,FALSE))+IF(AF39="",0,VLOOKUP(AF39,Bausteine!$A$2:$AS$46,8,FALSE))+IF(AG39="",0,VLOOKUP(AG39,Bausteine!$A$2:$AS$46,8,FALSE))+IF(AH39="",0,VLOOKUP(AH39,Bausteine!$A$2:$AS$46,8,FALSE))+AJ39</f>
        <v/>
      </c>
      <c r="U39">
        <f>IF(C39="",0,VLOOKUP(C39,Bausteine!$A$2:$AS$46,9,FALSE))+IF(D39="",0,VLOOKUP(D39,Bausteine!$A$2:$AS$46,9,FALSE))+IF(E39="",0,VLOOKUP(E39,Bausteine!$A$2:$AS$46,9,FALSE))+IF(F39="",0,VLOOKUP(F39,Bausteine!$A$2:$AS$46,9,FALSE))+IF(G39="",0,VLOOKUP(G39,Bausteine!$A$2:$AS$46,9,FALSE))+IF(H39="",0,VLOOKUP(H39,Bausteine!$A$2:$AS$46,9,FALSE))+IF(I39="",0,VLOOKUP(I39,Bausteine!$A$2:$AS$46,9,FALSE))+IF(J39="",0,VLOOKUP(J39,Bausteine!$A$2:$AS$46,9,FALSE))+IF(K39="",0,VLOOKUP(K39,Bausteine!$A$2:$AS$46,9,FALSE))+IF(L39="",0,VLOOKUP(L39,Bausteine!$A$2:$AS$46,9,FALSE))+IF(AC39="",0,VLOOKUP(AC39,Bausteine!$A$2:$AS$46,9,FALSE))+IF(AF39="",0,VLOOKUP(AF39,Bausteine!$A$2:$AS$46,9,FALSE))+IF(AG39="",0,VLOOKUP(AG39,Bausteine!$A$2:$AS$46,9,FALSE))+IF(AH39="",0,VLOOKUP(AH39,Bausteine!$A$2:$AS$46,9,FALSE))</f>
        <v/>
      </c>
      <c r="V39">
        <f>IF(D39="",0,VLOOKUP(D39,Bausteine!$A$2:$AS$46,10,FALSE))-U39/IF(E39="",0,VLOOKUP(E39,Bausteine!$A$2:$AS$46,11,FALSE))</f>
        <v/>
      </c>
      <c r="W39">
        <f>IF(Y39&lt;&gt;"OK","",ROUND(MIN(IF(C39="",0,VLOOKUP(C39,Bausteine!$A$2:$AS$46,21,FALSE)),IF(C39="",0,VLOOKUP(C39,Bausteine!$A$2:$AS$46,20,FALSE))*(V39/T39/(IF(C39="",0,VLOOKUP(C39,Bausteine!$A$2:$AS$46,19,FALSE))/IF(C39="",0,VLOOKUP(C39,Bausteine!$A$2:$AS$46,18,FALSE))))^Parameter!$B$3),0))</f>
        <v/>
      </c>
      <c r="X39">
        <f>IF(F39="",0,VLOOKUP(F39,Bausteine!$A$2:$AS$46,14,FALSE))</f>
        <v/>
      </c>
      <c r="Y39">
        <f>IFERROR(IF(OR(AD39&lt;=0,AD39&gt;1,R39&lt;=0,T39&lt;=0,V39&lt;=0,U39&gt;IF(E39="",0,VLOOKUP(E39,Bausteine!$A$2:$AS$46,12,FALSE)),T39&gt;IF(C39="",0,VLOOKUP(C39,Bausteine!$A$2:$AS$46,22,FALSE)),IF(E39="",0,VLOOKUP(E39,Bausteine!$A$2:$AS$46,11,FALSE))&lt;=0,IF(E39="",0,VLOOKUP(E39,Bausteine!$A$2:$AS$46,11,FALSE))&gt;1),"UNGUELTIG","OK"),"FEHLER")</f>
        <v/>
      </c>
      <c r="Z39" t="n">
        <v>950</v>
      </c>
      <c r="AA39" t="n">
        <v>100</v>
      </c>
      <c r="AB39" t="inlineStr"/>
      <c r="AC39" t="inlineStr"/>
      <c r="AD39">
        <f>IF(AC39="",1,IF(AC39="",0,VLOOKUP(AC39,Bausteine!$A$2:$AS$46,37,FALSE))/100)</f>
        <v/>
      </c>
      <c r="AE39">
        <f>P39*AD39</f>
        <v/>
      </c>
      <c r="AF39" t="inlineStr"/>
      <c r="AG39" t="inlineStr"/>
      <c r="AH39" t="inlineStr"/>
      <c r="AI39">
        <f>SUMIF(Startbesatzung!$A$2:$A$7,A39,Startbesatzung!$D$2:$D$7)</f>
        <v/>
      </c>
      <c r="AJ39">
        <f>SUMIF(Startbesatzung!$A$2:$A$7,A39,Startbesatzung!$E$2:$E$7)</f>
        <v/>
      </c>
      <c r="AK39">
        <f>MAX(0,IF(Startbesatzung!A2=A39,Startbesatzung!G2,0),IF(Startbesatzung!A3=A39,Startbesatzung!G3,0),IF(Startbesatzung!A4=A39,Startbesatzung!G4,0),IF(Startbesatzung!A5=A39,Startbesatzung!G5,0),IF(Startbesatzung!A6=A39,Startbesatzung!G6,0),IF(Startbesatzung!A7=A39,Startbesatzung!G7,0))</f>
        <v/>
      </c>
      <c r="AL39">
        <f>IF(AF39="","",IF(IF(AH39="",0,VLOOKUP(AH39,Bausteine!$A$2:$AS$46,38,FALSE))&gt;0,IF(AH39="",0,VLOOKUP(AH39,Bausteine!$A$2:$AS$46,38,FALSE)),IF(AG39="",0,VLOOKUP(AG39,Bausteine!$A$2:$AS$46,28,FALSE))))</f>
        <v/>
      </c>
      <c r="AM39">
        <f>IF(AF39="","",IF(AG39="",0,VLOOKUP(AG39,Bausteine!$A$2:$AS$46,44,FALSE)))</f>
        <v/>
      </c>
      <c r="AN39">
        <f>IF(AF39="","",IF(AF39="",0,VLOOKUP(AF39,Bausteine!$A$2:$AS$46,27,FALSE)))</f>
        <v/>
      </c>
      <c r="AO39">
        <f>IF(AF39="","",IF(AF39="",0,VLOOKUP(AF39,Bausteine!$A$2:$AS$46,25,FALSE)))</f>
        <v/>
      </c>
      <c r="AP39">
        <f>IF(AF39="","",IF(AH39="",0,VLOOKUP(AH39,Bausteine!$A$2:$AS$46,29,FALSE)))</f>
        <v/>
      </c>
    </row>
    <row r="40">
      <c r="A40" t="inlineStr">
        <is>
          <t>Battlemaster nuclear drive</t>
        </is>
      </c>
      <c r="B40" t="inlineStr">
        <is>
          <t>china</t>
        </is>
      </c>
      <c r="C40" t="inlineStr">
        <is>
          <t>battlemaster</t>
        </is>
      </c>
      <c r="D40" t="inlineStr">
        <is>
          <t>nuclear</t>
        </is>
      </c>
      <c r="E40" t="inlineStr">
        <is>
          <t>baseline-generator</t>
        </is>
      </c>
      <c r="F40" t="inlineStr">
        <is>
          <t>heavy</t>
        </is>
      </c>
      <c r="G40" t="inlineStr">
        <is>
          <t>cannon-turret</t>
        </is>
      </c>
      <c r="H40" t="inlineStr">
        <is>
          <t>cannon</t>
        </is>
      </c>
      <c r="I40" t="inlineStr">
        <is>
          <t>shell</t>
        </is>
      </c>
      <c r="J40" t="inlineStr"/>
      <c r="K40" t="inlineStr"/>
      <c r="L40" t="inlineStr"/>
      <c r="M40">
        <f>IF(C40="",0,VLOOKUP(C40,Bausteine!$A$2:$AS$46,4,FALSE))+IF(D40="",0,VLOOKUP(D40,Bausteine!$A$2:$AS$46,4,FALSE))+IF(E40="",0,VLOOKUP(E40,Bausteine!$A$2:$AS$46,4,FALSE))+IF(F40="",0,VLOOKUP(F40,Bausteine!$A$2:$AS$46,4,FALSE))+IF(G40="",0,VLOOKUP(G40,Bausteine!$A$2:$AS$46,4,FALSE))+IF(H40="",0,VLOOKUP(H40,Bausteine!$A$2:$AS$46,4,FALSE))+IF(I40="",0,VLOOKUP(I40,Bausteine!$A$2:$AS$46,4,FALSE))+IF(J40="",0,VLOOKUP(J40,Bausteine!$A$2:$AS$46,4,FALSE))+IF(K40="",0,VLOOKUP(K40,Bausteine!$A$2:$AS$46,4,FALSE))+IF(L40="",0,VLOOKUP(L40,Bausteine!$A$2:$AS$46,4,FALSE))+IF(AC40="",0,VLOOKUP(AC40,Bausteine!$A$2:$AS$46,4,FALSE))+IF(AF40="",0,VLOOKUP(AF40,Bausteine!$A$2:$AS$46,4,FALSE))+IF(AG40="",0,VLOOKUP(AG40,Bausteine!$A$2:$AS$46,4,FALSE))+IF(AH40="",0,VLOOKUP(AH40,Bausteine!$A$2:$AS$46,4,FALSE))</f>
        <v/>
      </c>
      <c r="N40">
        <f>IF(C40="",0,VLOOKUP(C40,Bausteine!$A$2:$AS$46,5,FALSE))+IF(D40="",0,VLOOKUP(D40,Bausteine!$A$2:$AS$46,5,FALSE))+IF(E40="",0,VLOOKUP(E40,Bausteine!$A$2:$AS$46,5,FALSE))+IF(F40="",0,VLOOKUP(F40,Bausteine!$A$2:$AS$46,5,FALSE))+IF(G40="",0,VLOOKUP(G40,Bausteine!$A$2:$AS$46,5,FALSE))+IF(H40="",0,VLOOKUP(H40,Bausteine!$A$2:$AS$46,5,FALSE))+IF(I40="",0,VLOOKUP(I40,Bausteine!$A$2:$AS$46,5,FALSE))+IF(J40="",0,VLOOKUP(J40,Bausteine!$A$2:$AS$46,5,FALSE))+IF(K40="",0,VLOOKUP(K40,Bausteine!$A$2:$AS$46,5,FALSE))+IF(L40="",0,VLOOKUP(L40,Bausteine!$A$2:$AS$46,5,FALSE))+IF(AC40="",0,VLOOKUP(AC40,Bausteine!$A$2:$AS$46,5,FALSE))+IF(AF40="",0,VLOOKUP(AF40,Bausteine!$A$2:$AS$46,5,FALSE))+IF(AG40="",0,VLOOKUP(AG40,Bausteine!$A$2:$AS$46,5,FALSE))+IF(AH40="",0,VLOOKUP(AH40,Bausteine!$A$2:$AS$46,5,FALSE))</f>
        <v/>
      </c>
      <c r="O40">
        <f>MAX(IF(C40="",0,VLOOKUP(C40,Bausteine!$A$2:$AS$46,6,FALSE)),IF(D40="",0,VLOOKUP(D40,Bausteine!$A$2:$AS$46,6,FALSE)),IF(E40="",0,VLOOKUP(E40,Bausteine!$A$2:$AS$46,6,FALSE)),IF(F40="",0,VLOOKUP(F40,Bausteine!$A$2:$AS$46,6,FALSE)),IF(G40="",0,VLOOKUP(G40,Bausteine!$A$2:$AS$46,6,FALSE)),IF(H40="",0,VLOOKUP(H40,Bausteine!$A$2:$AS$46,6,FALSE)),IF(I40="",0,VLOOKUP(I40,Bausteine!$A$2:$AS$46,6,FALSE)),IF(J40="",0,VLOOKUP(J40,Bausteine!$A$2:$AS$46,6,FALSE)),IF(K40="",0,VLOOKUP(K40,Bausteine!$A$2:$AS$46,6,FALSE)),IF(L40="",0,VLOOKUP(L40,Bausteine!$A$2:$AS$46,6,FALSE)),IF(AC40="",0,VLOOKUP(AC40,Bausteine!$A$2:$AS$46,6,FALSE)),IF(AF40="",0,VLOOKUP(AF40,Bausteine!$A$2:$AS$46,6,FALSE)),IF(AG40="",0,VLOOKUP(AG40,Bausteine!$A$2:$AS$46,6,FALSE)),IF(AH40="",0,VLOOKUP(AH40,Bausteine!$A$2:$AS$46,6,FALSE)),AK40)</f>
        <v/>
      </c>
      <c r="P40">
        <f>IF(C40="",0,VLOOKUP(C40,Bausteine!$A$2:$AS$46,7,FALSE))*IF(F40="",0,VLOOKUP(F40,Bausteine!$A$2:$AS$46,17,FALSE))/100+IF(D40="",0,VLOOKUP(D40,Bausteine!$A$2:$AS$46,7,FALSE))+IF(E40="",0,VLOOKUP(E40,Bausteine!$A$2:$AS$46,7,FALSE))+IF(G40="",0,VLOOKUP(G40,Bausteine!$A$2:$AS$46,7,FALSE))+IF(H40="",0,VLOOKUP(H40,Bausteine!$A$2:$AS$46,7,FALSE))+IF(I40="",0,VLOOKUP(I40,Bausteine!$A$2:$AS$46,7,FALSE))+IF(J40="",0,VLOOKUP(J40,Bausteine!$A$2:$AS$46,7,FALSE))+IF(K40="",0,VLOOKUP(K40,Bausteine!$A$2:$AS$46,7,FALSE))+IF(L40="",0,VLOOKUP(L40,Bausteine!$A$2:$AS$46,7,FALSE))+IF(AC40="",0,VLOOKUP(AC40,Bausteine!$A$2:$AS$46,7,FALSE))+IF(AF40="",0,VLOOKUP(AF40,Bausteine!$A$2:$AS$46,7,FALSE))+IF(AG40="",0,VLOOKUP(AG40,Bausteine!$A$2:$AS$46,7,FALSE))+IF(AH40="",0,VLOOKUP(AH40,Bausteine!$A$2:$AS$46,7,FALSE))+AI40</f>
        <v/>
      </c>
      <c r="Q40">
        <f>N40*Parameter!$B$2</f>
        <v/>
      </c>
      <c r="R40">
        <f>AE40-Q40</f>
        <v/>
      </c>
      <c r="S40">
        <f>IF(C40="",0,VLOOKUP(C40,Bausteine!$A$2:$AS$46,13,FALSE))*IF(F40="",0,VLOOKUP(F40,Bausteine!$A$2:$AS$46,16,FALSE))/100</f>
        <v/>
      </c>
      <c r="T40">
        <f>IF(C40="",0,VLOOKUP(C40,Bausteine!$A$2:$AS$46,8,FALSE))*IF(F40="",0,VLOOKUP(F40,Bausteine!$A$2:$AS$46,15,FALSE))/100+IF(D40="",0,VLOOKUP(D40,Bausteine!$A$2:$AS$46,8,FALSE))+IF(E40="",0,VLOOKUP(E40,Bausteine!$A$2:$AS$46,8,FALSE))+IF(G40="",0,VLOOKUP(G40,Bausteine!$A$2:$AS$46,8,FALSE))+IF(H40="",0,VLOOKUP(H40,Bausteine!$A$2:$AS$46,8,FALSE))+IF(I40="",0,VLOOKUP(I40,Bausteine!$A$2:$AS$46,8,FALSE))+IF(J40="",0,VLOOKUP(J40,Bausteine!$A$2:$AS$46,8,FALSE))+IF(K40="",0,VLOOKUP(K40,Bausteine!$A$2:$AS$46,8,FALSE))+IF(L40="",0,VLOOKUP(L40,Bausteine!$A$2:$AS$46,8,FALSE))+IF(AC40="",0,VLOOKUP(AC40,Bausteine!$A$2:$AS$46,8,FALSE))+IF(AF40="",0,VLOOKUP(AF40,Bausteine!$A$2:$AS$46,8,FALSE))+IF(AG40="",0,VLOOKUP(AG40,Bausteine!$A$2:$AS$46,8,FALSE))+IF(AH40="",0,VLOOKUP(AH40,Bausteine!$A$2:$AS$46,8,FALSE))+AJ40</f>
        <v/>
      </c>
      <c r="U40">
        <f>IF(C40="",0,VLOOKUP(C40,Bausteine!$A$2:$AS$46,9,FALSE))+IF(D40="",0,VLOOKUP(D40,Bausteine!$A$2:$AS$46,9,FALSE))+IF(E40="",0,VLOOKUP(E40,Bausteine!$A$2:$AS$46,9,FALSE))+IF(F40="",0,VLOOKUP(F40,Bausteine!$A$2:$AS$46,9,FALSE))+IF(G40="",0,VLOOKUP(G40,Bausteine!$A$2:$AS$46,9,FALSE))+IF(H40="",0,VLOOKUP(H40,Bausteine!$A$2:$AS$46,9,FALSE))+IF(I40="",0,VLOOKUP(I40,Bausteine!$A$2:$AS$46,9,FALSE))+IF(J40="",0,VLOOKUP(J40,Bausteine!$A$2:$AS$46,9,FALSE))+IF(K40="",0,VLOOKUP(K40,Bausteine!$A$2:$AS$46,9,FALSE))+IF(L40="",0,VLOOKUP(L40,Bausteine!$A$2:$AS$46,9,FALSE))+IF(AC40="",0,VLOOKUP(AC40,Bausteine!$A$2:$AS$46,9,FALSE))+IF(AF40="",0,VLOOKUP(AF40,Bausteine!$A$2:$AS$46,9,FALSE))+IF(AG40="",0,VLOOKUP(AG40,Bausteine!$A$2:$AS$46,9,FALSE))+IF(AH40="",0,VLOOKUP(AH40,Bausteine!$A$2:$AS$46,9,FALSE))</f>
        <v/>
      </c>
      <c r="V40">
        <f>IF(D40="",0,VLOOKUP(D40,Bausteine!$A$2:$AS$46,10,FALSE))-U40/IF(E40="",0,VLOOKUP(E40,Bausteine!$A$2:$AS$46,11,FALSE))</f>
        <v/>
      </c>
      <c r="W40">
        <f>IF(Y40&lt;&gt;"OK","",ROUND(MIN(IF(C40="",0,VLOOKUP(C40,Bausteine!$A$2:$AS$46,21,FALSE)),IF(C40="",0,VLOOKUP(C40,Bausteine!$A$2:$AS$46,20,FALSE))*(V40/T40/(IF(C40="",0,VLOOKUP(C40,Bausteine!$A$2:$AS$46,19,FALSE))/IF(C40="",0,VLOOKUP(C40,Bausteine!$A$2:$AS$46,18,FALSE))))^Parameter!$B$3),0))</f>
        <v/>
      </c>
      <c r="X40">
        <f>IF(F40="",0,VLOOKUP(F40,Bausteine!$A$2:$AS$46,14,FALSE))</f>
        <v/>
      </c>
      <c r="Y40">
        <f>IFERROR(IF(OR(AD40&lt;=0,AD40&gt;1,R40&lt;=0,T40&lt;=0,V40&lt;=0,U40&gt;IF(E40="",0,VLOOKUP(E40,Bausteine!$A$2:$AS$46,12,FALSE)),T40&gt;IF(C40="",0,VLOOKUP(C40,Bausteine!$A$2:$AS$46,22,FALSE)),IF(E40="",0,VLOOKUP(E40,Bausteine!$A$2:$AS$46,11,FALSE))&lt;=0,IF(E40="",0,VLOOKUP(E40,Bausteine!$A$2:$AS$46,11,FALSE))&gt;1),"UNGUELTIG","OK"),"FEHLER")</f>
        <v/>
      </c>
      <c r="Z40" t="n">
        <v>950</v>
      </c>
      <c r="AA40" t="n">
        <v>125</v>
      </c>
      <c r="AB40" t="inlineStr"/>
      <c r="AC40" t="inlineStr"/>
      <c r="AD40">
        <f>IF(AC40="",1,IF(AC40="",0,VLOOKUP(AC40,Bausteine!$A$2:$AS$46,37,FALSE))/100)</f>
        <v/>
      </c>
      <c r="AE40">
        <f>P40*AD40</f>
        <v/>
      </c>
      <c r="AF40" t="inlineStr"/>
      <c r="AG40" t="inlineStr"/>
      <c r="AH40" t="inlineStr"/>
      <c r="AI40">
        <f>SUMIF(Startbesatzung!$A$2:$A$7,A40,Startbesatzung!$D$2:$D$7)</f>
        <v/>
      </c>
      <c r="AJ40">
        <f>SUMIF(Startbesatzung!$A$2:$A$7,A40,Startbesatzung!$E$2:$E$7)</f>
        <v/>
      </c>
      <c r="AK40">
        <f>MAX(0,IF(Startbesatzung!A2=A40,Startbesatzung!G2,0),IF(Startbesatzung!A3=A40,Startbesatzung!G3,0),IF(Startbesatzung!A4=A40,Startbesatzung!G4,0),IF(Startbesatzung!A5=A40,Startbesatzung!G5,0),IF(Startbesatzung!A6=A40,Startbesatzung!G6,0),IF(Startbesatzung!A7=A40,Startbesatzung!G7,0))</f>
        <v/>
      </c>
      <c r="AL40">
        <f>IF(AF40="","",IF(IF(AH40="",0,VLOOKUP(AH40,Bausteine!$A$2:$AS$46,38,FALSE))&gt;0,IF(AH40="",0,VLOOKUP(AH40,Bausteine!$A$2:$AS$46,38,FALSE)),IF(AG40="",0,VLOOKUP(AG40,Bausteine!$A$2:$AS$46,28,FALSE))))</f>
        <v/>
      </c>
      <c r="AM40">
        <f>IF(AF40="","",IF(AG40="",0,VLOOKUP(AG40,Bausteine!$A$2:$AS$46,44,FALSE)))</f>
        <v/>
      </c>
      <c r="AN40">
        <f>IF(AF40="","",IF(AF40="",0,VLOOKUP(AF40,Bausteine!$A$2:$AS$46,27,FALSE)))</f>
        <v/>
      </c>
      <c r="AO40">
        <f>IF(AF40="","",IF(AF40="",0,VLOOKUP(AF40,Bausteine!$A$2:$AS$46,25,FALSE)))</f>
        <v/>
      </c>
      <c r="AP40">
        <f>IF(AF40="","",IF(AH40="",0,VLOOKUP(AH40,Bausteine!$A$2:$AS$46,29,FALSE)))</f>
        <v/>
      </c>
    </row>
    <row r="41">
      <c r="A41" t="inlineStr">
        <is>
          <t>Battlemaster PDL / baseline generator</t>
        </is>
      </c>
      <c r="B41" t="inlineStr">
        <is>
          <t>china</t>
        </is>
      </c>
      <c r="C41" t="inlineStr">
        <is>
          <t>battlemaster</t>
        </is>
      </c>
      <c r="D41" t="inlineStr">
        <is>
          <t>diesel</t>
        </is>
      </c>
      <c r="E41" t="inlineStr">
        <is>
          <t>baseline-generator</t>
        </is>
      </c>
      <c r="F41" t="inlineStr">
        <is>
          <t>heavy</t>
        </is>
      </c>
      <c r="G41" t="inlineStr">
        <is>
          <t>cannon-turret</t>
        </is>
      </c>
      <c r="H41" t="inlineStr">
        <is>
          <t>cannon</t>
        </is>
      </c>
      <c r="I41" t="inlineStr">
        <is>
          <t>shell</t>
        </is>
      </c>
      <c r="J41" t="inlineStr">
        <is>
          <t>pdl</t>
        </is>
      </c>
      <c r="K41" t="inlineStr"/>
      <c r="L41" t="inlineStr"/>
      <c r="M41">
        <f>IF(C41="",0,VLOOKUP(C41,Bausteine!$A$2:$AS$46,4,FALSE))+IF(D41="",0,VLOOKUP(D41,Bausteine!$A$2:$AS$46,4,FALSE))+IF(E41="",0,VLOOKUP(E41,Bausteine!$A$2:$AS$46,4,FALSE))+IF(F41="",0,VLOOKUP(F41,Bausteine!$A$2:$AS$46,4,FALSE))+IF(G41="",0,VLOOKUP(G41,Bausteine!$A$2:$AS$46,4,FALSE))+IF(H41="",0,VLOOKUP(H41,Bausteine!$A$2:$AS$46,4,FALSE))+IF(I41="",0,VLOOKUP(I41,Bausteine!$A$2:$AS$46,4,FALSE))+IF(J41="",0,VLOOKUP(J41,Bausteine!$A$2:$AS$46,4,FALSE))+IF(K41="",0,VLOOKUP(K41,Bausteine!$A$2:$AS$46,4,FALSE))+IF(L41="",0,VLOOKUP(L41,Bausteine!$A$2:$AS$46,4,FALSE))+IF(AC41="",0,VLOOKUP(AC41,Bausteine!$A$2:$AS$46,4,FALSE))+IF(AF41="",0,VLOOKUP(AF41,Bausteine!$A$2:$AS$46,4,FALSE))+IF(AG41="",0,VLOOKUP(AG41,Bausteine!$A$2:$AS$46,4,FALSE))+IF(AH41="",0,VLOOKUP(AH41,Bausteine!$A$2:$AS$46,4,FALSE))</f>
        <v/>
      </c>
      <c r="N41">
        <f>IF(C41="",0,VLOOKUP(C41,Bausteine!$A$2:$AS$46,5,FALSE))+IF(D41="",0,VLOOKUP(D41,Bausteine!$A$2:$AS$46,5,FALSE))+IF(E41="",0,VLOOKUP(E41,Bausteine!$A$2:$AS$46,5,FALSE))+IF(F41="",0,VLOOKUP(F41,Bausteine!$A$2:$AS$46,5,FALSE))+IF(G41="",0,VLOOKUP(G41,Bausteine!$A$2:$AS$46,5,FALSE))+IF(H41="",0,VLOOKUP(H41,Bausteine!$A$2:$AS$46,5,FALSE))+IF(I41="",0,VLOOKUP(I41,Bausteine!$A$2:$AS$46,5,FALSE))+IF(J41="",0,VLOOKUP(J41,Bausteine!$A$2:$AS$46,5,FALSE))+IF(K41="",0,VLOOKUP(K41,Bausteine!$A$2:$AS$46,5,FALSE))+IF(L41="",0,VLOOKUP(L41,Bausteine!$A$2:$AS$46,5,FALSE))+IF(AC41="",0,VLOOKUP(AC41,Bausteine!$A$2:$AS$46,5,FALSE))+IF(AF41="",0,VLOOKUP(AF41,Bausteine!$A$2:$AS$46,5,FALSE))+IF(AG41="",0,VLOOKUP(AG41,Bausteine!$A$2:$AS$46,5,FALSE))+IF(AH41="",0,VLOOKUP(AH41,Bausteine!$A$2:$AS$46,5,FALSE))</f>
        <v/>
      </c>
      <c r="O41">
        <f>MAX(IF(C41="",0,VLOOKUP(C41,Bausteine!$A$2:$AS$46,6,FALSE)),IF(D41="",0,VLOOKUP(D41,Bausteine!$A$2:$AS$46,6,FALSE)),IF(E41="",0,VLOOKUP(E41,Bausteine!$A$2:$AS$46,6,FALSE)),IF(F41="",0,VLOOKUP(F41,Bausteine!$A$2:$AS$46,6,FALSE)),IF(G41="",0,VLOOKUP(G41,Bausteine!$A$2:$AS$46,6,FALSE)),IF(H41="",0,VLOOKUP(H41,Bausteine!$A$2:$AS$46,6,FALSE)),IF(I41="",0,VLOOKUP(I41,Bausteine!$A$2:$AS$46,6,FALSE)),IF(J41="",0,VLOOKUP(J41,Bausteine!$A$2:$AS$46,6,FALSE)),IF(K41="",0,VLOOKUP(K41,Bausteine!$A$2:$AS$46,6,FALSE)),IF(L41="",0,VLOOKUP(L41,Bausteine!$A$2:$AS$46,6,FALSE)),IF(AC41="",0,VLOOKUP(AC41,Bausteine!$A$2:$AS$46,6,FALSE)),IF(AF41="",0,VLOOKUP(AF41,Bausteine!$A$2:$AS$46,6,FALSE)),IF(AG41="",0,VLOOKUP(AG41,Bausteine!$A$2:$AS$46,6,FALSE)),IF(AH41="",0,VLOOKUP(AH41,Bausteine!$A$2:$AS$46,6,FALSE)),AK41)</f>
        <v/>
      </c>
      <c r="P41">
        <f>IF(C41="",0,VLOOKUP(C41,Bausteine!$A$2:$AS$46,7,FALSE))*IF(F41="",0,VLOOKUP(F41,Bausteine!$A$2:$AS$46,17,FALSE))/100+IF(D41="",0,VLOOKUP(D41,Bausteine!$A$2:$AS$46,7,FALSE))+IF(E41="",0,VLOOKUP(E41,Bausteine!$A$2:$AS$46,7,FALSE))+IF(G41="",0,VLOOKUP(G41,Bausteine!$A$2:$AS$46,7,FALSE))+IF(H41="",0,VLOOKUP(H41,Bausteine!$A$2:$AS$46,7,FALSE))+IF(I41="",0,VLOOKUP(I41,Bausteine!$A$2:$AS$46,7,FALSE))+IF(J41="",0,VLOOKUP(J41,Bausteine!$A$2:$AS$46,7,FALSE))+IF(K41="",0,VLOOKUP(K41,Bausteine!$A$2:$AS$46,7,FALSE))+IF(L41="",0,VLOOKUP(L41,Bausteine!$A$2:$AS$46,7,FALSE))+IF(AC41="",0,VLOOKUP(AC41,Bausteine!$A$2:$AS$46,7,FALSE))+IF(AF41="",0,VLOOKUP(AF41,Bausteine!$A$2:$AS$46,7,FALSE))+IF(AG41="",0,VLOOKUP(AG41,Bausteine!$A$2:$AS$46,7,FALSE))+IF(AH41="",0,VLOOKUP(AH41,Bausteine!$A$2:$AS$46,7,FALSE))+AI41</f>
        <v/>
      </c>
      <c r="Q41">
        <f>N41*Parameter!$B$2</f>
        <v/>
      </c>
      <c r="R41">
        <f>AE41-Q41</f>
        <v/>
      </c>
      <c r="S41">
        <f>IF(C41="",0,VLOOKUP(C41,Bausteine!$A$2:$AS$46,13,FALSE))*IF(F41="",0,VLOOKUP(F41,Bausteine!$A$2:$AS$46,16,FALSE))/100</f>
        <v/>
      </c>
      <c r="T41">
        <f>IF(C41="",0,VLOOKUP(C41,Bausteine!$A$2:$AS$46,8,FALSE))*IF(F41="",0,VLOOKUP(F41,Bausteine!$A$2:$AS$46,15,FALSE))/100+IF(D41="",0,VLOOKUP(D41,Bausteine!$A$2:$AS$46,8,FALSE))+IF(E41="",0,VLOOKUP(E41,Bausteine!$A$2:$AS$46,8,FALSE))+IF(G41="",0,VLOOKUP(G41,Bausteine!$A$2:$AS$46,8,FALSE))+IF(H41="",0,VLOOKUP(H41,Bausteine!$A$2:$AS$46,8,FALSE))+IF(I41="",0,VLOOKUP(I41,Bausteine!$A$2:$AS$46,8,FALSE))+IF(J41="",0,VLOOKUP(J41,Bausteine!$A$2:$AS$46,8,FALSE))+IF(K41="",0,VLOOKUP(K41,Bausteine!$A$2:$AS$46,8,FALSE))+IF(L41="",0,VLOOKUP(L41,Bausteine!$A$2:$AS$46,8,FALSE))+IF(AC41="",0,VLOOKUP(AC41,Bausteine!$A$2:$AS$46,8,FALSE))+IF(AF41="",0,VLOOKUP(AF41,Bausteine!$A$2:$AS$46,8,FALSE))+IF(AG41="",0,VLOOKUP(AG41,Bausteine!$A$2:$AS$46,8,FALSE))+IF(AH41="",0,VLOOKUP(AH41,Bausteine!$A$2:$AS$46,8,FALSE))+AJ41</f>
        <v/>
      </c>
      <c r="U41">
        <f>IF(C41="",0,VLOOKUP(C41,Bausteine!$A$2:$AS$46,9,FALSE))+IF(D41="",0,VLOOKUP(D41,Bausteine!$A$2:$AS$46,9,FALSE))+IF(E41="",0,VLOOKUP(E41,Bausteine!$A$2:$AS$46,9,FALSE))+IF(F41="",0,VLOOKUP(F41,Bausteine!$A$2:$AS$46,9,FALSE))+IF(G41="",0,VLOOKUP(G41,Bausteine!$A$2:$AS$46,9,FALSE))+IF(H41="",0,VLOOKUP(H41,Bausteine!$A$2:$AS$46,9,FALSE))+IF(I41="",0,VLOOKUP(I41,Bausteine!$A$2:$AS$46,9,FALSE))+IF(J41="",0,VLOOKUP(J41,Bausteine!$A$2:$AS$46,9,FALSE))+IF(K41="",0,VLOOKUP(K41,Bausteine!$A$2:$AS$46,9,FALSE))+IF(L41="",0,VLOOKUP(L41,Bausteine!$A$2:$AS$46,9,FALSE))+IF(AC41="",0,VLOOKUP(AC41,Bausteine!$A$2:$AS$46,9,FALSE))+IF(AF41="",0,VLOOKUP(AF41,Bausteine!$A$2:$AS$46,9,FALSE))+IF(AG41="",0,VLOOKUP(AG41,Bausteine!$A$2:$AS$46,9,FALSE))+IF(AH41="",0,VLOOKUP(AH41,Bausteine!$A$2:$AS$46,9,FALSE))</f>
        <v/>
      </c>
      <c r="V41">
        <f>IF(D41="",0,VLOOKUP(D41,Bausteine!$A$2:$AS$46,10,FALSE))-U41/IF(E41="",0,VLOOKUP(E41,Bausteine!$A$2:$AS$46,11,FALSE))</f>
        <v/>
      </c>
      <c r="W41">
        <f>IF(Y41&lt;&gt;"OK","",ROUND(MIN(IF(C41="",0,VLOOKUP(C41,Bausteine!$A$2:$AS$46,21,FALSE)),IF(C41="",0,VLOOKUP(C41,Bausteine!$A$2:$AS$46,20,FALSE))*(V41/T41/(IF(C41="",0,VLOOKUP(C41,Bausteine!$A$2:$AS$46,19,FALSE))/IF(C41="",0,VLOOKUP(C41,Bausteine!$A$2:$AS$46,18,FALSE))))^Parameter!$B$3),0))</f>
        <v/>
      </c>
      <c r="X41">
        <f>IF(F41="",0,VLOOKUP(F41,Bausteine!$A$2:$AS$46,14,FALSE))</f>
        <v/>
      </c>
      <c r="Y41">
        <f>IFERROR(IF(OR(AD41&lt;=0,AD41&gt;1,R41&lt;=0,T41&lt;=0,V41&lt;=0,U41&gt;IF(E41="",0,VLOOKUP(E41,Bausteine!$A$2:$AS$46,12,FALSE)),T41&gt;IF(C41="",0,VLOOKUP(C41,Bausteine!$A$2:$AS$46,22,FALSE)),IF(E41="",0,VLOOKUP(E41,Bausteine!$A$2:$AS$46,11,FALSE))&lt;=0,IF(E41="",0,VLOOKUP(E41,Bausteine!$A$2:$AS$46,11,FALSE))&gt;1),"UNGUELTIG","OK"),"FEHLER")</f>
        <v/>
      </c>
      <c r="Z41" t="n">
        <v>1300</v>
      </c>
      <c r="AA41" t="n">
        <v>76</v>
      </c>
      <c r="AB41" t="inlineStr"/>
      <c r="AC41" t="inlineStr"/>
      <c r="AD41">
        <f>IF(AC41="",1,IF(AC41="",0,VLOOKUP(AC41,Bausteine!$A$2:$AS$46,37,FALSE))/100)</f>
        <v/>
      </c>
      <c r="AE41">
        <f>P41*AD41</f>
        <v/>
      </c>
      <c r="AF41" t="inlineStr"/>
      <c r="AG41" t="inlineStr"/>
      <c r="AH41" t="inlineStr"/>
      <c r="AI41">
        <f>SUMIF(Startbesatzung!$A$2:$A$7,A41,Startbesatzung!$D$2:$D$7)</f>
        <v/>
      </c>
      <c r="AJ41">
        <f>SUMIF(Startbesatzung!$A$2:$A$7,A41,Startbesatzung!$E$2:$E$7)</f>
        <v/>
      </c>
      <c r="AK41">
        <f>MAX(0,IF(Startbesatzung!A2=A41,Startbesatzung!G2,0),IF(Startbesatzung!A3=A41,Startbesatzung!G3,0),IF(Startbesatzung!A4=A41,Startbesatzung!G4,0),IF(Startbesatzung!A5=A41,Startbesatzung!G5,0),IF(Startbesatzung!A6=A41,Startbesatzung!G6,0),IF(Startbesatzung!A7=A41,Startbesatzung!G7,0))</f>
        <v/>
      </c>
      <c r="AL41">
        <f>IF(AF41="","",IF(IF(AH41="",0,VLOOKUP(AH41,Bausteine!$A$2:$AS$46,38,FALSE))&gt;0,IF(AH41="",0,VLOOKUP(AH41,Bausteine!$A$2:$AS$46,38,FALSE)),IF(AG41="",0,VLOOKUP(AG41,Bausteine!$A$2:$AS$46,28,FALSE))))</f>
        <v/>
      </c>
      <c r="AM41">
        <f>IF(AF41="","",IF(AG41="",0,VLOOKUP(AG41,Bausteine!$A$2:$AS$46,44,FALSE)))</f>
        <v/>
      </c>
      <c r="AN41">
        <f>IF(AF41="","",IF(AF41="",0,VLOOKUP(AF41,Bausteine!$A$2:$AS$46,27,FALSE)))</f>
        <v/>
      </c>
      <c r="AO41">
        <f>IF(AF41="","",IF(AF41="",0,VLOOKUP(AF41,Bausteine!$A$2:$AS$46,25,FALSE)))</f>
        <v/>
      </c>
      <c r="AP41">
        <f>IF(AF41="","",IF(AH41="",0,VLOOKUP(AH41,Bausteine!$A$2:$AS$46,29,FALSE)))</f>
        <v/>
      </c>
    </row>
    <row r="42">
      <c r="A42" t="inlineStr">
        <is>
          <t>Battlemaster PDL / efficient generator</t>
        </is>
      </c>
      <c r="B42" t="inlineStr">
        <is>
          <t>china</t>
        </is>
      </c>
      <c r="C42" t="inlineStr">
        <is>
          <t>battlemaster</t>
        </is>
      </c>
      <c r="D42" t="inlineStr">
        <is>
          <t>diesel</t>
        </is>
      </c>
      <c r="E42" t="inlineStr">
        <is>
          <t>efficient-generator</t>
        </is>
      </c>
      <c r="F42" t="inlineStr">
        <is>
          <t>heavy</t>
        </is>
      </c>
      <c r="G42" t="inlineStr">
        <is>
          <t>cannon-turret</t>
        </is>
      </c>
      <c r="H42" t="inlineStr">
        <is>
          <t>cannon</t>
        </is>
      </c>
      <c r="I42" t="inlineStr">
        <is>
          <t>shell</t>
        </is>
      </c>
      <c r="J42" t="inlineStr">
        <is>
          <t>pdl</t>
        </is>
      </c>
      <c r="K42" t="inlineStr"/>
      <c r="L42" t="inlineStr"/>
      <c r="M42">
        <f>IF(C42="",0,VLOOKUP(C42,Bausteine!$A$2:$AS$46,4,FALSE))+IF(D42="",0,VLOOKUP(D42,Bausteine!$A$2:$AS$46,4,FALSE))+IF(E42="",0,VLOOKUP(E42,Bausteine!$A$2:$AS$46,4,FALSE))+IF(F42="",0,VLOOKUP(F42,Bausteine!$A$2:$AS$46,4,FALSE))+IF(G42="",0,VLOOKUP(G42,Bausteine!$A$2:$AS$46,4,FALSE))+IF(H42="",0,VLOOKUP(H42,Bausteine!$A$2:$AS$46,4,FALSE))+IF(I42="",0,VLOOKUP(I42,Bausteine!$A$2:$AS$46,4,FALSE))+IF(J42="",0,VLOOKUP(J42,Bausteine!$A$2:$AS$46,4,FALSE))+IF(K42="",0,VLOOKUP(K42,Bausteine!$A$2:$AS$46,4,FALSE))+IF(L42="",0,VLOOKUP(L42,Bausteine!$A$2:$AS$46,4,FALSE))+IF(AC42="",0,VLOOKUP(AC42,Bausteine!$A$2:$AS$46,4,FALSE))+IF(AF42="",0,VLOOKUP(AF42,Bausteine!$A$2:$AS$46,4,FALSE))+IF(AG42="",0,VLOOKUP(AG42,Bausteine!$A$2:$AS$46,4,FALSE))+IF(AH42="",0,VLOOKUP(AH42,Bausteine!$A$2:$AS$46,4,FALSE))</f>
        <v/>
      </c>
      <c r="N42">
        <f>IF(C42="",0,VLOOKUP(C42,Bausteine!$A$2:$AS$46,5,FALSE))+IF(D42="",0,VLOOKUP(D42,Bausteine!$A$2:$AS$46,5,FALSE))+IF(E42="",0,VLOOKUP(E42,Bausteine!$A$2:$AS$46,5,FALSE))+IF(F42="",0,VLOOKUP(F42,Bausteine!$A$2:$AS$46,5,FALSE))+IF(G42="",0,VLOOKUP(G42,Bausteine!$A$2:$AS$46,5,FALSE))+IF(H42="",0,VLOOKUP(H42,Bausteine!$A$2:$AS$46,5,FALSE))+IF(I42="",0,VLOOKUP(I42,Bausteine!$A$2:$AS$46,5,FALSE))+IF(J42="",0,VLOOKUP(J42,Bausteine!$A$2:$AS$46,5,FALSE))+IF(K42="",0,VLOOKUP(K42,Bausteine!$A$2:$AS$46,5,FALSE))+IF(L42="",0,VLOOKUP(L42,Bausteine!$A$2:$AS$46,5,FALSE))+IF(AC42="",0,VLOOKUP(AC42,Bausteine!$A$2:$AS$46,5,FALSE))+IF(AF42="",0,VLOOKUP(AF42,Bausteine!$A$2:$AS$46,5,FALSE))+IF(AG42="",0,VLOOKUP(AG42,Bausteine!$A$2:$AS$46,5,FALSE))+IF(AH42="",0,VLOOKUP(AH42,Bausteine!$A$2:$AS$46,5,FALSE))</f>
        <v/>
      </c>
      <c r="O42">
        <f>MAX(IF(C42="",0,VLOOKUP(C42,Bausteine!$A$2:$AS$46,6,FALSE)),IF(D42="",0,VLOOKUP(D42,Bausteine!$A$2:$AS$46,6,FALSE)),IF(E42="",0,VLOOKUP(E42,Bausteine!$A$2:$AS$46,6,FALSE)),IF(F42="",0,VLOOKUP(F42,Bausteine!$A$2:$AS$46,6,FALSE)),IF(G42="",0,VLOOKUP(G42,Bausteine!$A$2:$AS$46,6,FALSE)),IF(H42="",0,VLOOKUP(H42,Bausteine!$A$2:$AS$46,6,FALSE)),IF(I42="",0,VLOOKUP(I42,Bausteine!$A$2:$AS$46,6,FALSE)),IF(J42="",0,VLOOKUP(J42,Bausteine!$A$2:$AS$46,6,FALSE)),IF(K42="",0,VLOOKUP(K42,Bausteine!$A$2:$AS$46,6,FALSE)),IF(L42="",0,VLOOKUP(L42,Bausteine!$A$2:$AS$46,6,FALSE)),IF(AC42="",0,VLOOKUP(AC42,Bausteine!$A$2:$AS$46,6,FALSE)),IF(AF42="",0,VLOOKUP(AF42,Bausteine!$A$2:$AS$46,6,FALSE)),IF(AG42="",0,VLOOKUP(AG42,Bausteine!$A$2:$AS$46,6,FALSE)),IF(AH42="",0,VLOOKUP(AH42,Bausteine!$A$2:$AS$46,6,FALSE)),AK42)</f>
        <v/>
      </c>
      <c r="P42">
        <f>IF(C42="",0,VLOOKUP(C42,Bausteine!$A$2:$AS$46,7,FALSE))*IF(F42="",0,VLOOKUP(F42,Bausteine!$A$2:$AS$46,17,FALSE))/100+IF(D42="",0,VLOOKUP(D42,Bausteine!$A$2:$AS$46,7,FALSE))+IF(E42="",0,VLOOKUP(E42,Bausteine!$A$2:$AS$46,7,FALSE))+IF(G42="",0,VLOOKUP(G42,Bausteine!$A$2:$AS$46,7,FALSE))+IF(H42="",0,VLOOKUP(H42,Bausteine!$A$2:$AS$46,7,FALSE))+IF(I42="",0,VLOOKUP(I42,Bausteine!$A$2:$AS$46,7,FALSE))+IF(J42="",0,VLOOKUP(J42,Bausteine!$A$2:$AS$46,7,FALSE))+IF(K42="",0,VLOOKUP(K42,Bausteine!$A$2:$AS$46,7,FALSE))+IF(L42="",0,VLOOKUP(L42,Bausteine!$A$2:$AS$46,7,FALSE))+IF(AC42="",0,VLOOKUP(AC42,Bausteine!$A$2:$AS$46,7,FALSE))+IF(AF42="",0,VLOOKUP(AF42,Bausteine!$A$2:$AS$46,7,FALSE))+IF(AG42="",0,VLOOKUP(AG42,Bausteine!$A$2:$AS$46,7,FALSE))+IF(AH42="",0,VLOOKUP(AH42,Bausteine!$A$2:$AS$46,7,FALSE))+AI42</f>
        <v/>
      </c>
      <c r="Q42">
        <f>N42*Parameter!$B$2</f>
        <v/>
      </c>
      <c r="R42">
        <f>AE42-Q42</f>
        <v/>
      </c>
      <c r="S42">
        <f>IF(C42="",0,VLOOKUP(C42,Bausteine!$A$2:$AS$46,13,FALSE))*IF(F42="",0,VLOOKUP(F42,Bausteine!$A$2:$AS$46,16,FALSE))/100</f>
        <v/>
      </c>
      <c r="T42">
        <f>IF(C42="",0,VLOOKUP(C42,Bausteine!$A$2:$AS$46,8,FALSE))*IF(F42="",0,VLOOKUP(F42,Bausteine!$A$2:$AS$46,15,FALSE))/100+IF(D42="",0,VLOOKUP(D42,Bausteine!$A$2:$AS$46,8,FALSE))+IF(E42="",0,VLOOKUP(E42,Bausteine!$A$2:$AS$46,8,FALSE))+IF(G42="",0,VLOOKUP(G42,Bausteine!$A$2:$AS$46,8,FALSE))+IF(H42="",0,VLOOKUP(H42,Bausteine!$A$2:$AS$46,8,FALSE))+IF(I42="",0,VLOOKUP(I42,Bausteine!$A$2:$AS$46,8,FALSE))+IF(J42="",0,VLOOKUP(J42,Bausteine!$A$2:$AS$46,8,FALSE))+IF(K42="",0,VLOOKUP(K42,Bausteine!$A$2:$AS$46,8,FALSE))+IF(L42="",0,VLOOKUP(L42,Bausteine!$A$2:$AS$46,8,FALSE))+IF(AC42="",0,VLOOKUP(AC42,Bausteine!$A$2:$AS$46,8,FALSE))+IF(AF42="",0,VLOOKUP(AF42,Bausteine!$A$2:$AS$46,8,FALSE))+IF(AG42="",0,VLOOKUP(AG42,Bausteine!$A$2:$AS$46,8,FALSE))+IF(AH42="",0,VLOOKUP(AH42,Bausteine!$A$2:$AS$46,8,FALSE))+AJ42</f>
        <v/>
      </c>
      <c r="U42">
        <f>IF(C42="",0,VLOOKUP(C42,Bausteine!$A$2:$AS$46,9,FALSE))+IF(D42="",0,VLOOKUP(D42,Bausteine!$A$2:$AS$46,9,FALSE))+IF(E42="",0,VLOOKUP(E42,Bausteine!$A$2:$AS$46,9,FALSE))+IF(F42="",0,VLOOKUP(F42,Bausteine!$A$2:$AS$46,9,FALSE))+IF(G42="",0,VLOOKUP(G42,Bausteine!$A$2:$AS$46,9,FALSE))+IF(H42="",0,VLOOKUP(H42,Bausteine!$A$2:$AS$46,9,FALSE))+IF(I42="",0,VLOOKUP(I42,Bausteine!$A$2:$AS$46,9,FALSE))+IF(J42="",0,VLOOKUP(J42,Bausteine!$A$2:$AS$46,9,FALSE))+IF(K42="",0,VLOOKUP(K42,Bausteine!$A$2:$AS$46,9,FALSE))+IF(L42="",0,VLOOKUP(L42,Bausteine!$A$2:$AS$46,9,FALSE))+IF(AC42="",0,VLOOKUP(AC42,Bausteine!$A$2:$AS$46,9,FALSE))+IF(AF42="",0,VLOOKUP(AF42,Bausteine!$A$2:$AS$46,9,FALSE))+IF(AG42="",0,VLOOKUP(AG42,Bausteine!$A$2:$AS$46,9,FALSE))+IF(AH42="",0,VLOOKUP(AH42,Bausteine!$A$2:$AS$46,9,FALSE))</f>
        <v/>
      </c>
      <c r="V42">
        <f>IF(D42="",0,VLOOKUP(D42,Bausteine!$A$2:$AS$46,10,FALSE))-U42/IF(E42="",0,VLOOKUP(E42,Bausteine!$A$2:$AS$46,11,FALSE))</f>
        <v/>
      </c>
      <c r="W42">
        <f>IF(Y42&lt;&gt;"OK","",ROUND(MIN(IF(C42="",0,VLOOKUP(C42,Bausteine!$A$2:$AS$46,21,FALSE)),IF(C42="",0,VLOOKUP(C42,Bausteine!$A$2:$AS$46,20,FALSE))*(V42/T42/(IF(C42="",0,VLOOKUP(C42,Bausteine!$A$2:$AS$46,19,FALSE))/IF(C42="",0,VLOOKUP(C42,Bausteine!$A$2:$AS$46,18,FALSE))))^Parameter!$B$3),0))</f>
        <v/>
      </c>
      <c r="X42">
        <f>IF(F42="",0,VLOOKUP(F42,Bausteine!$A$2:$AS$46,14,FALSE))</f>
        <v/>
      </c>
      <c r="Y42">
        <f>IFERROR(IF(OR(AD42&lt;=0,AD42&gt;1,R42&lt;=0,T42&lt;=0,V42&lt;=0,U42&gt;IF(E42="",0,VLOOKUP(E42,Bausteine!$A$2:$AS$46,12,FALSE)),T42&gt;IF(C42="",0,VLOOKUP(C42,Bausteine!$A$2:$AS$46,22,FALSE)),IF(E42="",0,VLOOKUP(E42,Bausteine!$A$2:$AS$46,11,FALSE))&lt;=0,IF(E42="",0,VLOOKUP(E42,Bausteine!$A$2:$AS$46,11,FALSE))&gt;1),"UNGUELTIG","OK"),"FEHLER")</f>
        <v/>
      </c>
      <c r="Z42" t="n">
        <v>1500</v>
      </c>
      <c r="AA42" t="n">
        <v>95</v>
      </c>
      <c r="AB42" t="inlineStr"/>
      <c r="AC42" t="inlineStr"/>
      <c r="AD42">
        <f>IF(AC42="",1,IF(AC42="",0,VLOOKUP(AC42,Bausteine!$A$2:$AS$46,37,FALSE))/100)</f>
        <v/>
      </c>
      <c r="AE42">
        <f>P42*AD42</f>
        <v/>
      </c>
      <c r="AF42" t="inlineStr"/>
      <c r="AG42" t="inlineStr"/>
      <c r="AH42" t="inlineStr"/>
      <c r="AI42">
        <f>SUMIF(Startbesatzung!$A$2:$A$7,A42,Startbesatzung!$D$2:$D$7)</f>
        <v/>
      </c>
      <c r="AJ42">
        <f>SUMIF(Startbesatzung!$A$2:$A$7,A42,Startbesatzung!$E$2:$E$7)</f>
        <v/>
      </c>
      <c r="AK42">
        <f>MAX(0,IF(Startbesatzung!A2=A42,Startbesatzung!G2,0),IF(Startbesatzung!A3=A42,Startbesatzung!G3,0),IF(Startbesatzung!A4=A42,Startbesatzung!G4,0),IF(Startbesatzung!A5=A42,Startbesatzung!G5,0),IF(Startbesatzung!A6=A42,Startbesatzung!G6,0),IF(Startbesatzung!A7=A42,Startbesatzung!G7,0))</f>
        <v/>
      </c>
      <c r="AL42">
        <f>IF(AF42="","",IF(IF(AH42="",0,VLOOKUP(AH42,Bausteine!$A$2:$AS$46,38,FALSE))&gt;0,IF(AH42="",0,VLOOKUP(AH42,Bausteine!$A$2:$AS$46,38,FALSE)),IF(AG42="",0,VLOOKUP(AG42,Bausteine!$A$2:$AS$46,28,FALSE))))</f>
        <v/>
      </c>
      <c r="AM42">
        <f>IF(AF42="","",IF(AG42="",0,VLOOKUP(AG42,Bausteine!$A$2:$AS$46,44,FALSE)))</f>
        <v/>
      </c>
      <c r="AN42">
        <f>IF(AF42="","",IF(AF42="",0,VLOOKUP(AF42,Bausteine!$A$2:$AS$46,27,FALSE)))</f>
        <v/>
      </c>
      <c r="AO42">
        <f>IF(AF42="","",IF(AF42="",0,VLOOKUP(AF42,Bausteine!$A$2:$AS$46,25,FALSE)))</f>
        <v/>
      </c>
      <c r="AP42">
        <f>IF(AF42="","",IF(AH42="",0,VLOOKUP(AH42,Bausteine!$A$2:$AS$46,29,FALSE)))</f>
        <v/>
      </c>
    </row>
    <row r="43">
      <c r="A43" t="inlineStr">
        <is>
          <t>Battlemaster reflector / efficient</t>
        </is>
      </c>
      <c r="B43" t="inlineStr">
        <is>
          <t>china</t>
        </is>
      </c>
      <c r="C43" t="inlineStr">
        <is>
          <t>battlemaster</t>
        </is>
      </c>
      <c r="D43" t="inlineStr">
        <is>
          <t>diesel</t>
        </is>
      </c>
      <c r="E43" t="inlineStr">
        <is>
          <t>efficient-generator</t>
        </is>
      </c>
      <c r="F43" t="inlineStr">
        <is>
          <t>reflector</t>
        </is>
      </c>
      <c r="G43" t="inlineStr">
        <is>
          <t>cannon-turret</t>
        </is>
      </c>
      <c r="H43" t="inlineStr">
        <is>
          <t>cannon</t>
        </is>
      </c>
      <c r="I43" t="inlineStr">
        <is>
          <t>shell</t>
        </is>
      </c>
      <c r="J43" t="inlineStr"/>
      <c r="K43" t="inlineStr"/>
      <c r="L43" t="inlineStr"/>
      <c r="M43">
        <f>IF(C43="",0,VLOOKUP(C43,Bausteine!$A$2:$AS$46,4,FALSE))+IF(D43="",0,VLOOKUP(D43,Bausteine!$A$2:$AS$46,4,FALSE))+IF(E43="",0,VLOOKUP(E43,Bausteine!$A$2:$AS$46,4,FALSE))+IF(F43="",0,VLOOKUP(F43,Bausteine!$A$2:$AS$46,4,FALSE))+IF(G43="",0,VLOOKUP(G43,Bausteine!$A$2:$AS$46,4,FALSE))+IF(H43="",0,VLOOKUP(H43,Bausteine!$A$2:$AS$46,4,FALSE))+IF(I43="",0,VLOOKUP(I43,Bausteine!$A$2:$AS$46,4,FALSE))+IF(J43="",0,VLOOKUP(J43,Bausteine!$A$2:$AS$46,4,FALSE))+IF(K43="",0,VLOOKUP(K43,Bausteine!$A$2:$AS$46,4,FALSE))+IF(L43="",0,VLOOKUP(L43,Bausteine!$A$2:$AS$46,4,FALSE))+IF(AC43="",0,VLOOKUP(AC43,Bausteine!$A$2:$AS$46,4,FALSE))+IF(AF43="",0,VLOOKUP(AF43,Bausteine!$A$2:$AS$46,4,FALSE))+IF(AG43="",0,VLOOKUP(AG43,Bausteine!$A$2:$AS$46,4,FALSE))+IF(AH43="",0,VLOOKUP(AH43,Bausteine!$A$2:$AS$46,4,FALSE))</f>
        <v/>
      </c>
      <c r="N43">
        <f>IF(C43="",0,VLOOKUP(C43,Bausteine!$A$2:$AS$46,5,FALSE))+IF(D43="",0,VLOOKUP(D43,Bausteine!$A$2:$AS$46,5,FALSE))+IF(E43="",0,VLOOKUP(E43,Bausteine!$A$2:$AS$46,5,FALSE))+IF(F43="",0,VLOOKUP(F43,Bausteine!$A$2:$AS$46,5,FALSE))+IF(G43="",0,VLOOKUP(G43,Bausteine!$A$2:$AS$46,5,FALSE))+IF(H43="",0,VLOOKUP(H43,Bausteine!$A$2:$AS$46,5,FALSE))+IF(I43="",0,VLOOKUP(I43,Bausteine!$A$2:$AS$46,5,FALSE))+IF(J43="",0,VLOOKUP(J43,Bausteine!$A$2:$AS$46,5,FALSE))+IF(K43="",0,VLOOKUP(K43,Bausteine!$A$2:$AS$46,5,FALSE))+IF(L43="",0,VLOOKUP(L43,Bausteine!$A$2:$AS$46,5,FALSE))+IF(AC43="",0,VLOOKUP(AC43,Bausteine!$A$2:$AS$46,5,FALSE))+IF(AF43="",0,VLOOKUP(AF43,Bausteine!$A$2:$AS$46,5,FALSE))+IF(AG43="",0,VLOOKUP(AG43,Bausteine!$A$2:$AS$46,5,FALSE))+IF(AH43="",0,VLOOKUP(AH43,Bausteine!$A$2:$AS$46,5,FALSE))</f>
        <v/>
      </c>
      <c r="O43">
        <f>MAX(IF(C43="",0,VLOOKUP(C43,Bausteine!$A$2:$AS$46,6,FALSE)),IF(D43="",0,VLOOKUP(D43,Bausteine!$A$2:$AS$46,6,FALSE)),IF(E43="",0,VLOOKUP(E43,Bausteine!$A$2:$AS$46,6,FALSE)),IF(F43="",0,VLOOKUP(F43,Bausteine!$A$2:$AS$46,6,FALSE)),IF(G43="",0,VLOOKUP(G43,Bausteine!$A$2:$AS$46,6,FALSE)),IF(H43="",0,VLOOKUP(H43,Bausteine!$A$2:$AS$46,6,FALSE)),IF(I43="",0,VLOOKUP(I43,Bausteine!$A$2:$AS$46,6,FALSE)),IF(J43="",0,VLOOKUP(J43,Bausteine!$A$2:$AS$46,6,FALSE)),IF(K43="",0,VLOOKUP(K43,Bausteine!$A$2:$AS$46,6,FALSE)),IF(L43="",0,VLOOKUP(L43,Bausteine!$A$2:$AS$46,6,FALSE)),IF(AC43="",0,VLOOKUP(AC43,Bausteine!$A$2:$AS$46,6,FALSE)),IF(AF43="",0,VLOOKUP(AF43,Bausteine!$A$2:$AS$46,6,FALSE)),IF(AG43="",0,VLOOKUP(AG43,Bausteine!$A$2:$AS$46,6,FALSE)),IF(AH43="",0,VLOOKUP(AH43,Bausteine!$A$2:$AS$46,6,FALSE)),AK43)</f>
        <v/>
      </c>
      <c r="P43">
        <f>IF(C43="",0,VLOOKUP(C43,Bausteine!$A$2:$AS$46,7,FALSE))*IF(F43="",0,VLOOKUP(F43,Bausteine!$A$2:$AS$46,17,FALSE))/100+IF(D43="",0,VLOOKUP(D43,Bausteine!$A$2:$AS$46,7,FALSE))+IF(E43="",0,VLOOKUP(E43,Bausteine!$A$2:$AS$46,7,FALSE))+IF(G43="",0,VLOOKUP(G43,Bausteine!$A$2:$AS$46,7,FALSE))+IF(H43="",0,VLOOKUP(H43,Bausteine!$A$2:$AS$46,7,FALSE))+IF(I43="",0,VLOOKUP(I43,Bausteine!$A$2:$AS$46,7,FALSE))+IF(J43="",0,VLOOKUP(J43,Bausteine!$A$2:$AS$46,7,FALSE))+IF(K43="",0,VLOOKUP(K43,Bausteine!$A$2:$AS$46,7,FALSE))+IF(L43="",0,VLOOKUP(L43,Bausteine!$A$2:$AS$46,7,FALSE))+IF(AC43="",0,VLOOKUP(AC43,Bausteine!$A$2:$AS$46,7,FALSE))+IF(AF43="",0,VLOOKUP(AF43,Bausteine!$A$2:$AS$46,7,FALSE))+IF(AG43="",0,VLOOKUP(AG43,Bausteine!$A$2:$AS$46,7,FALSE))+IF(AH43="",0,VLOOKUP(AH43,Bausteine!$A$2:$AS$46,7,FALSE))+AI43</f>
        <v/>
      </c>
      <c r="Q43">
        <f>N43*Parameter!$B$2</f>
        <v/>
      </c>
      <c r="R43">
        <f>AE43-Q43</f>
        <v/>
      </c>
      <c r="S43">
        <f>IF(C43="",0,VLOOKUP(C43,Bausteine!$A$2:$AS$46,13,FALSE))*IF(F43="",0,VLOOKUP(F43,Bausteine!$A$2:$AS$46,16,FALSE))/100</f>
        <v/>
      </c>
      <c r="T43">
        <f>IF(C43="",0,VLOOKUP(C43,Bausteine!$A$2:$AS$46,8,FALSE))*IF(F43="",0,VLOOKUP(F43,Bausteine!$A$2:$AS$46,15,FALSE))/100+IF(D43="",0,VLOOKUP(D43,Bausteine!$A$2:$AS$46,8,FALSE))+IF(E43="",0,VLOOKUP(E43,Bausteine!$A$2:$AS$46,8,FALSE))+IF(G43="",0,VLOOKUP(G43,Bausteine!$A$2:$AS$46,8,FALSE))+IF(H43="",0,VLOOKUP(H43,Bausteine!$A$2:$AS$46,8,FALSE))+IF(I43="",0,VLOOKUP(I43,Bausteine!$A$2:$AS$46,8,FALSE))+IF(J43="",0,VLOOKUP(J43,Bausteine!$A$2:$AS$46,8,FALSE))+IF(K43="",0,VLOOKUP(K43,Bausteine!$A$2:$AS$46,8,FALSE))+IF(L43="",0,VLOOKUP(L43,Bausteine!$A$2:$AS$46,8,FALSE))+IF(AC43="",0,VLOOKUP(AC43,Bausteine!$A$2:$AS$46,8,FALSE))+IF(AF43="",0,VLOOKUP(AF43,Bausteine!$A$2:$AS$46,8,FALSE))+IF(AG43="",0,VLOOKUP(AG43,Bausteine!$A$2:$AS$46,8,FALSE))+IF(AH43="",0,VLOOKUP(AH43,Bausteine!$A$2:$AS$46,8,FALSE))+AJ43</f>
        <v/>
      </c>
      <c r="U43">
        <f>IF(C43="",0,VLOOKUP(C43,Bausteine!$A$2:$AS$46,9,FALSE))+IF(D43="",0,VLOOKUP(D43,Bausteine!$A$2:$AS$46,9,FALSE))+IF(E43="",0,VLOOKUP(E43,Bausteine!$A$2:$AS$46,9,FALSE))+IF(F43="",0,VLOOKUP(F43,Bausteine!$A$2:$AS$46,9,FALSE))+IF(G43="",0,VLOOKUP(G43,Bausteine!$A$2:$AS$46,9,FALSE))+IF(H43="",0,VLOOKUP(H43,Bausteine!$A$2:$AS$46,9,FALSE))+IF(I43="",0,VLOOKUP(I43,Bausteine!$A$2:$AS$46,9,FALSE))+IF(J43="",0,VLOOKUP(J43,Bausteine!$A$2:$AS$46,9,FALSE))+IF(K43="",0,VLOOKUP(K43,Bausteine!$A$2:$AS$46,9,FALSE))+IF(L43="",0,VLOOKUP(L43,Bausteine!$A$2:$AS$46,9,FALSE))+IF(AC43="",0,VLOOKUP(AC43,Bausteine!$A$2:$AS$46,9,FALSE))+IF(AF43="",0,VLOOKUP(AF43,Bausteine!$A$2:$AS$46,9,FALSE))+IF(AG43="",0,VLOOKUP(AG43,Bausteine!$A$2:$AS$46,9,FALSE))+IF(AH43="",0,VLOOKUP(AH43,Bausteine!$A$2:$AS$46,9,FALSE))</f>
        <v/>
      </c>
      <c r="V43">
        <f>IF(D43="",0,VLOOKUP(D43,Bausteine!$A$2:$AS$46,10,FALSE))-U43/IF(E43="",0,VLOOKUP(E43,Bausteine!$A$2:$AS$46,11,FALSE))</f>
        <v/>
      </c>
      <c r="W43">
        <f>IF(Y43&lt;&gt;"OK","",ROUND(MIN(IF(C43="",0,VLOOKUP(C43,Bausteine!$A$2:$AS$46,21,FALSE)),IF(C43="",0,VLOOKUP(C43,Bausteine!$A$2:$AS$46,20,FALSE))*(V43/T43/(IF(C43="",0,VLOOKUP(C43,Bausteine!$A$2:$AS$46,19,FALSE))/IF(C43="",0,VLOOKUP(C43,Bausteine!$A$2:$AS$46,18,FALSE))))^Parameter!$B$3),0))</f>
        <v/>
      </c>
      <c r="X43">
        <f>IF(F43="",0,VLOOKUP(F43,Bausteine!$A$2:$AS$46,14,FALSE))</f>
        <v/>
      </c>
      <c r="Y43">
        <f>IFERROR(IF(OR(AD43&lt;=0,AD43&gt;1,R43&lt;=0,T43&lt;=0,V43&lt;=0,U43&gt;IF(E43="",0,VLOOKUP(E43,Bausteine!$A$2:$AS$46,12,FALSE)),T43&gt;IF(C43="",0,VLOOKUP(C43,Bausteine!$A$2:$AS$46,22,FALSE)),IF(E43="",0,VLOOKUP(E43,Bausteine!$A$2:$AS$46,11,FALSE))&lt;=0,IF(E43="",0,VLOOKUP(E43,Bausteine!$A$2:$AS$46,11,FALSE))&gt;1),"UNGUELTIG","OK"),"FEHLER")</f>
        <v/>
      </c>
      <c r="Z43" t="n">
        <v>850</v>
      </c>
      <c r="AA43" t="n">
        <v>94</v>
      </c>
      <c r="AB43" t="inlineStr"/>
      <c r="AC43" t="inlineStr"/>
      <c r="AD43">
        <f>IF(AC43="",1,IF(AC43="",0,VLOOKUP(AC43,Bausteine!$A$2:$AS$46,37,FALSE))/100)</f>
        <v/>
      </c>
      <c r="AE43">
        <f>P43*AD43</f>
        <v/>
      </c>
      <c r="AF43" t="inlineStr"/>
      <c r="AG43" t="inlineStr"/>
      <c r="AH43" t="inlineStr"/>
      <c r="AI43">
        <f>SUMIF(Startbesatzung!$A$2:$A$7,A43,Startbesatzung!$D$2:$D$7)</f>
        <v/>
      </c>
      <c r="AJ43">
        <f>SUMIF(Startbesatzung!$A$2:$A$7,A43,Startbesatzung!$E$2:$E$7)</f>
        <v/>
      </c>
      <c r="AK43">
        <f>MAX(0,IF(Startbesatzung!A2=A43,Startbesatzung!G2,0),IF(Startbesatzung!A3=A43,Startbesatzung!G3,0),IF(Startbesatzung!A4=A43,Startbesatzung!G4,0),IF(Startbesatzung!A5=A43,Startbesatzung!G5,0),IF(Startbesatzung!A6=A43,Startbesatzung!G6,0),IF(Startbesatzung!A7=A43,Startbesatzung!G7,0))</f>
        <v/>
      </c>
      <c r="AL43">
        <f>IF(AF43="","",IF(IF(AH43="",0,VLOOKUP(AH43,Bausteine!$A$2:$AS$46,38,FALSE))&gt;0,IF(AH43="",0,VLOOKUP(AH43,Bausteine!$A$2:$AS$46,38,FALSE)),IF(AG43="",0,VLOOKUP(AG43,Bausteine!$A$2:$AS$46,28,FALSE))))</f>
        <v/>
      </c>
      <c r="AM43">
        <f>IF(AF43="","",IF(AG43="",0,VLOOKUP(AG43,Bausteine!$A$2:$AS$46,44,FALSE)))</f>
        <v/>
      </c>
      <c r="AN43">
        <f>IF(AF43="","",IF(AF43="",0,VLOOKUP(AF43,Bausteine!$A$2:$AS$46,27,FALSE)))</f>
        <v/>
      </c>
      <c r="AO43">
        <f>IF(AF43="","",IF(AF43="",0,VLOOKUP(AF43,Bausteine!$A$2:$AS$46,25,FALSE)))</f>
        <v/>
      </c>
      <c r="AP43">
        <f>IF(AF43="","",IF(AH43="",0,VLOOKUP(AH43,Bausteine!$A$2:$AS$46,29,FALSE)))</f>
        <v/>
      </c>
    </row>
    <row r="44">
      <c r="A44" t="inlineStr">
        <is>
          <t>Battlemaster PDL + reflector / baseline</t>
        </is>
      </c>
      <c r="B44" t="inlineStr">
        <is>
          <t>china</t>
        </is>
      </c>
      <c r="C44" t="inlineStr">
        <is>
          <t>battlemaster</t>
        </is>
      </c>
      <c r="D44" t="inlineStr">
        <is>
          <t>diesel</t>
        </is>
      </c>
      <c r="E44" t="inlineStr">
        <is>
          <t>baseline-generator</t>
        </is>
      </c>
      <c r="F44" t="inlineStr">
        <is>
          <t>reflector</t>
        </is>
      </c>
      <c r="G44" t="inlineStr">
        <is>
          <t>cannon-turret</t>
        </is>
      </c>
      <c r="H44" t="inlineStr">
        <is>
          <t>cannon</t>
        </is>
      </c>
      <c r="I44" t="inlineStr">
        <is>
          <t>shell</t>
        </is>
      </c>
      <c r="J44" t="inlineStr">
        <is>
          <t>pdl</t>
        </is>
      </c>
      <c r="K44" t="inlineStr"/>
      <c r="L44" t="inlineStr"/>
      <c r="M44">
        <f>IF(C44="",0,VLOOKUP(C44,Bausteine!$A$2:$AS$46,4,FALSE))+IF(D44="",0,VLOOKUP(D44,Bausteine!$A$2:$AS$46,4,FALSE))+IF(E44="",0,VLOOKUP(E44,Bausteine!$A$2:$AS$46,4,FALSE))+IF(F44="",0,VLOOKUP(F44,Bausteine!$A$2:$AS$46,4,FALSE))+IF(G44="",0,VLOOKUP(G44,Bausteine!$A$2:$AS$46,4,FALSE))+IF(H44="",0,VLOOKUP(H44,Bausteine!$A$2:$AS$46,4,FALSE))+IF(I44="",0,VLOOKUP(I44,Bausteine!$A$2:$AS$46,4,FALSE))+IF(J44="",0,VLOOKUP(J44,Bausteine!$A$2:$AS$46,4,FALSE))+IF(K44="",0,VLOOKUP(K44,Bausteine!$A$2:$AS$46,4,FALSE))+IF(L44="",0,VLOOKUP(L44,Bausteine!$A$2:$AS$46,4,FALSE))+IF(AC44="",0,VLOOKUP(AC44,Bausteine!$A$2:$AS$46,4,FALSE))+IF(AF44="",0,VLOOKUP(AF44,Bausteine!$A$2:$AS$46,4,FALSE))+IF(AG44="",0,VLOOKUP(AG44,Bausteine!$A$2:$AS$46,4,FALSE))+IF(AH44="",0,VLOOKUP(AH44,Bausteine!$A$2:$AS$46,4,FALSE))</f>
        <v/>
      </c>
      <c r="N44">
        <f>IF(C44="",0,VLOOKUP(C44,Bausteine!$A$2:$AS$46,5,FALSE))+IF(D44="",0,VLOOKUP(D44,Bausteine!$A$2:$AS$46,5,FALSE))+IF(E44="",0,VLOOKUP(E44,Bausteine!$A$2:$AS$46,5,FALSE))+IF(F44="",0,VLOOKUP(F44,Bausteine!$A$2:$AS$46,5,FALSE))+IF(G44="",0,VLOOKUP(G44,Bausteine!$A$2:$AS$46,5,FALSE))+IF(H44="",0,VLOOKUP(H44,Bausteine!$A$2:$AS$46,5,FALSE))+IF(I44="",0,VLOOKUP(I44,Bausteine!$A$2:$AS$46,5,FALSE))+IF(J44="",0,VLOOKUP(J44,Bausteine!$A$2:$AS$46,5,FALSE))+IF(K44="",0,VLOOKUP(K44,Bausteine!$A$2:$AS$46,5,FALSE))+IF(L44="",0,VLOOKUP(L44,Bausteine!$A$2:$AS$46,5,FALSE))+IF(AC44="",0,VLOOKUP(AC44,Bausteine!$A$2:$AS$46,5,FALSE))+IF(AF44="",0,VLOOKUP(AF44,Bausteine!$A$2:$AS$46,5,FALSE))+IF(AG44="",0,VLOOKUP(AG44,Bausteine!$A$2:$AS$46,5,FALSE))+IF(AH44="",0,VLOOKUP(AH44,Bausteine!$A$2:$AS$46,5,FALSE))</f>
        <v/>
      </c>
      <c r="O44">
        <f>MAX(IF(C44="",0,VLOOKUP(C44,Bausteine!$A$2:$AS$46,6,FALSE)),IF(D44="",0,VLOOKUP(D44,Bausteine!$A$2:$AS$46,6,FALSE)),IF(E44="",0,VLOOKUP(E44,Bausteine!$A$2:$AS$46,6,FALSE)),IF(F44="",0,VLOOKUP(F44,Bausteine!$A$2:$AS$46,6,FALSE)),IF(G44="",0,VLOOKUP(G44,Bausteine!$A$2:$AS$46,6,FALSE)),IF(H44="",0,VLOOKUP(H44,Bausteine!$A$2:$AS$46,6,FALSE)),IF(I44="",0,VLOOKUP(I44,Bausteine!$A$2:$AS$46,6,FALSE)),IF(J44="",0,VLOOKUP(J44,Bausteine!$A$2:$AS$46,6,FALSE)),IF(K44="",0,VLOOKUP(K44,Bausteine!$A$2:$AS$46,6,FALSE)),IF(L44="",0,VLOOKUP(L44,Bausteine!$A$2:$AS$46,6,FALSE)),IF(AC44="",0,VLOOKUP(AC44,Bausteine!$A$2:$AS$46,6,FALSE)),IF(AF44="",0,VLOOKUP(AF44,Bausteine!$A$2:$AS$46,6,FALSE)),IF(AG44="",0,VLOOKUP(AG44,Bausteine!$A$2:$AS$46,6,FALSE)),IF(AH44="",0,VLOOKUP(AH44,Bausteine!$A$2:$AS$46,6,FALSE)),AK44)</f>
        <v/>
      </c>
      <c r="P44">
        <f>IF(C44="",0,VLOOKUP(C44,Bausteine!$A$2:$AS$46,7,FALSE))*IF(F44="",0,VLOOKUP(F44,Bausteine!$A$2:$AS$46,17,FALSE))/100+IF(D44="",0,VLOOKUP(D44,Bausteine!$A$2:$AS$46,7,FALSE))+IF(E44="",0,VLOOKUP(E44,Bausteine!$A$2:$AS$46,7,FALSE))+IF(G44="",0,VLOOKUP(G44,Bausteine!$A$2:$AS$46,7,FALSE))+IF(H44="",0,VLOOKUP(H44,Bausteine!$A$2:$AS$46,7,FALSE))+IF(I44="",0,VLOOKUP(I44,Bausteine!$A$2:$AS$46,7,FALSE))+IF(J44="",0,VLOOKUP(J44,Bausteine!$A$2:$AS$46,7,FALSE))+IF(K44="",0,VLOOKUP(K44,Bausteine!$A$2:$AS$46,7,FALSE))+IF(L44="",0,VLOOKUP(L44,Bausteine!$A$2:$AS$46,7,FALSE))+IF(AC44="",0,VLOOKUP(AC44,Bausteine!$A$2:$AS$46,7,FALSE))+IF(AF44="",0,VLOOKUP(AF44,Bausteine!$A$2:$AS$46,7,FALSE))+IF(AG44="",0,VLOOKUP(AG44,Bausteine!$A$2:$AS$46,7,FALSE))+IF(AH44="",0,VLOOKUP(AH44,Bausteine!$A$2:$AS$46,7,FALSE))+AI44</f>
        <v/>
      </c>
      <c r="Q44">
        <f>N44*Parameter!$B$2</f>
        <v/>
      </c>
      <c r="R44">
        <f>AE44-Q44</f>
        <v/>
      </c>
      <c r="S44">
        <f>IF(C44="",0,VLOOKUP(C44,Bausteine!$A$2:$AS$46,13,FALSE))*IF(F44="",0,VLOOKUP(F44,Bausteine!$A$2:$AS$46,16,FALSE))/100</f>
        <v/>
      </c>
      <c r="T44">
        <f>IF(C44="",0,VLOOKUP(C44,Bausteine!$A$2:$AS$46,8,FALSE))*IF(F44="",0,VLOOKUP(F44,Bausteine!$A$2:$AS$46,15,FALSE))/100+IF(D44="",0,VLOOKUP(D44,Bausteine!$A$2:$AS$46,8,FALSE))+IF(E44="",0,VLOOKUP(E44,Bausteine!$A$2:$AS$46,8,FALSE))+IF(G44="",0,VLOOKUP(G44,Bausteine!$A$2:$AS$46,8,FALSE))+IF(H44="",0,VLOOKUP(H44,Bausteine!$A$2:$AS$46,8,FALSE))+IF(I44="",0,VLOOKUP(I44,Bausteine!$A$2:$AS$46,8,FALSE))+IF(J44="",0,VLOOKUP(J44,Bausteine!$A$2:$AS$46,8,FALSE))+IF(K44="",0,VLOOKUP(K44,Bausteine!$A$2:$AS$46,8,FALSE))+IF(L44="",0,VLOOKUP(L44,Bausteine!$A$2:$AS$46,8,FALSE))+IF(AC44="",0,VLOOKUP(AC44,Bausteine!$A$2:$AS$46,8,FALSE))+IF(AF44="",0,VLOOKUP(AF44,Bausteine!$A$2:$AS$46,8,FALSE))+IF(AG44="",0,VLOOKUP(AG44,Bausteine!$A$2:$AS$46,8,FALSE))+IF(AH44="",0,VLOOKUP(AH44,Bausteine!$A$2:$AS$46,8,FALSE))+AJ44</f>
        <v/>
      </c>
      <c r="U44">
        <f>IF(C44="",0,VLOOKUP(C44,Bausteine!$A$2:$AS$46,9,FALSE))+IF(D44="",0,VLOOKUP(D44,Bausteine!$A$2:$AS$46,9,FALSE))+IF(E44="",0,VLOOKUP(E44,Bausteine!$A$2:$AS$46,9,FALSE))+IF(F44="",0,VLOOKUP(F44,Bausteine!$A$2:$AS$46,9,FALSE))+IF(G44="",0,VLOOKUP(G44,Bausteine!$A$2:$AS$46,9,FALSE))+IF(H44="",0,VLOOKUP(H44,Bausteine!$A$2:$AS$46,9,FALSE))+IF(I44="",0,VLOOKUP(I44,Bausteine!$A$2:$AS$46,9,FALSE))+IF(J44="",0,VLOOKUP(J44,Bausteine!$A$2:$AS$46,9,FALSE))+IF(K44="",0,VLOOKUP(K44,Bausteine!$A$2:$AS$46,9,FALSE))+IF(L44="",0,VLOOKUP(L44,Bausteine!$A$2:$AS$46,9,FALSE))+IF(AC44="",0,VLOOKUP(AC44,Bausteine!$A$2:$AS$46,9,FALSE))+IF(AF44="",0,VLOOKUP(AF44,Bausteine!$A$2:$AS$46,9,FALSE))+IF(AG44="",0,VLOOKUP(AG44,Bausteine!$A$2:$AS$46,9,FALSE))+IF(AH44="",0,VLOOKUP(AH44,Bausteine!$A$2:$AS$46,9,FALSE))</f>
        <v/>
      </c>
      <c r="V44">
        <f>IF(D44="",0,VLOOKUP(D44,Bausteine!$A$2:$AS$46,10,FALSE))-U44/IF(E44="",0,VLOOKUP(E44,Bausteine!$A$2:$AS$46,11,FALSE))</f>
        <v/>
      </c>
      <c r="W44">
        <f>IF(Y44&lt;&gt;"OK","",ROUND(MIN(IF(C44="",0,VLOOKUP(C44,Bausteine!$A$2:$AS$46,21,FALSE)),IF(C44="",0,VLOOKUP(C44,Bausteine!$A$2:$AS$46,20,FALSE))*(V44/T44/(IF(C44="",0,VLOOKUP(C44,Bausteine!$A$2:$AS$46,19,FALSE))/IF(C44="",0,VLOOKUP(C44,Bausteine!$A$2:$AS$46,18,FALSE))))^Parameter!$B$3),0))</f>
        <v/>
      </c>
      <c r="X44">
        <f>IF(F44="",0,VLOOKUP(F44,Bausteine!$A$2:$AS$46,14,FALSE))</f>
        <v/>
      </c>
      <c r="Y44">
        <f>IFERROR(IF(OR(AD44&lt;=0,AD44&gt;1,R44&lt;=0,T44&lt;=0,V44&lt;=0,U44&gt;IF(E44="",0,VLOOKUP(E44,Bausteine!$A$2:$AS$46,12,FALSE)),T44&gt;IF(C44="",0,VLOOKUP(C44,Bausteine!$A$2:$AS$46,22,FALSE)),IF(E44="",0,VLOOKUP(E44,Bausteine!$A$2:$AS$46,11,FALSE))&lt;=0,IF(E44="",0,VLOOKUP(E44,Bausteine!$A$2:$AS$46,11,FALSE))&gt;1),"UNGUELTIG","OK"),"FEHLER")</f>
        <v/>
      </c>
      <c r="Z44" t="inlineStr">
        <is>
          <t>INVALID: Generator output exceeded</t>
        </is>
      </c>
      <c r="AB44" t="inlineStr"/>
      <c r="AC44" t="inlineStr"/>
      <c r="AD44">
        <f>IF(AC44="",1,IF(AC44="",0,VLOOKUP(AC44,Bausteine!$A$2:$AS$46,37,FALSE))/100)</f>
        <v/>
      </c>
      <c r="AE44">
        <f>P44*AD44</f>
        <v/>
      </c>
      <c r="AF44" t="inlineStr"/>
      <c r="AG44" t="inlineStr"/>
      <c r="AH44" t="inlineStr"/>
      <c r="AI44">
        <f>SUMIF(Startbesatzung!$A$2:$A$7,A44,Startbesatzung!$D$2:$D$7)</f>
        <v/>
      </c>
      <c r="AJ44">
        <f>SUMIF(Startbesatzung!$A$2:$A$7,A44,Startbesatzung!$E$2:$E$7)</f>
        <v/>
      </c>
      <c r="AK44">
        <f>MAX(0,IF(Startbesatzung!A2=A44,Startbesatzung!G2,0),IF(Startbesatzung!A3=A44,Startbesatzung!G3,0),IF(Startbesatzung!A4=A44,Startbesatzung!G4,0),IF(Startbesatzung!A5=A44,Startbesatzung!G5,0),IF(Startbesatzung!A6=A44,Startbesatzung!G6,0),IF(Startbesatzung!A7=A44,Startbesatzung!G7,0))</f>
        <v/>
      </c>
      <c r="AL44">
        <f>IF(AF44="","",IF(IF(AH44="",0,VLOOKUP(AH44,Bausteine!$A$2:$AS$46,38,FALSE))&gt;0,IF(AH44="",0,VLOOKUP(AH44,Bausteine!$A$2:$AS$46,38,FALSE)),IF(AG44="",0,VLOOKUP(AG44,Bausteine!$A$2:$AS$46,28,FALSE))))</f>
        <v/>
      </c>
      <c r="AM44">
        <f>IF(AF44="","",IF(AG44="",0,VLOOKUP(AG44,Bausteine!$A$2:$AS$46,44,FALSE)))</f>
        <v/>
      </c>
      <c r="AN44">
        <f>IF(AF44="","",IF(AF44="",0,VLOOKUP(AF44,Bausteine!$A$2:$AS$46,27,FALSE)))</f>
        <v/>
      </c>
      <c r="AO44">
        <f>IF(AF44="","",IF(AF44="",0,VLOOKUP(AF44,Bausteine!$A$2:$AS$46,25,FALSE)))</f>
        <v/>
      </c>
      <c r="AP44">
        <f>IF(AF44="","",IF(AH44="",0,VLOOKUP(AH44,Bausteine!$A$2:$AS$46,29,FALSE)))</f>
        <v/>
      </c>
    </row>
    <row r="45">
      <c r="A45" t="inlineStr">
        <is>
          <t>Battlemaster PDL + reflector / efficient</t>
        </is>
      </c>
      <c r="B45" t="inlineStr">
        <is>
          <t>china</t>
        </is>
      </c>
      <c r="C45" t="inlineStr">
        <is>
          <t>battlemaster</t>
        </is>
      </c>
      <c r="D45" t="inlineStr">
        <is>
          <t>diesel</t>
        </is>
      </c>
      <c r="E45" t="inlineStr">
        <is>
          <t>efficient-generator</t>
        </is>
      </c>
      <c r="F45" t="inlineStr">
        <is>
          <t>reflector</t>
        </is>
      </c>
      <c r="G45" t="inlineStr">
        <is>
          <t>cannon-turret</t>
        </is>
      </c>
      <c r="H45" t="inlineStr">
        <is>
          <t>cannon</t>
        </is>
      </c>
      <c r="I45" t="inlineStr">
        <is>
          <t>shell</t>
        </is>
      </c>
      <c r="J45" t="inlineStr">
        <is>
          <t>pdl</t>
        </is>
      </c>
      <c r="K45" t="inlineStr"/>
      <c r="L45" t="inlineStr"/>
      <c r="M45">
        <f>IF(C45="",0,VLOOKUP(C45,Bausteine!$A$2:$AS$46,4,FALSE))+IF(D45="",0,VLOOKUP(D45,Bausteine!$A$2:$AS$46,4,FALSE))+IF(E45="",0,VLOOKUP(E45,Bausteine!$A$2:$AS$46,4,FALSE))+IF(F45="",0,VLOOKUP(F45,Bausteine!$A$2:$AS$46,4,FALSE))+IF(G45="",0,VLOOKUP(G45,Bausteine!$A$2:$AS$46,4,FALSE))+IF(H45="",0,VLOOKUP(H45,Bausteine!$A$2:$AS$46,4,FALSE))+IF(I45="",0,VLOOKUP(I45,Bausteine!$A$2:$AS$46,4,FALSE))+IF(J45="",0,VLOOKUP(J45,Bausteine!$A$2:$AS$46,4,FALSE))+IF(K45="",0,VLOOKUP(K45,Bausteine!$A$2:$AS$46,4,FALSE))+IF(L45="",0,VLOOKUP(L45,Bausteine!$A$2:$AS$46,4,FALSE))+IF(AC45="",0,VLOOKUP(AC45,Bausteine!$A$2:$AS$46,4,FALSE))+IF(AF45="",0,VLOOKUP(AF45,Bausteine!$A$2:$AS$46,4,FALSE))+IF(AG45="",0,VLOOKUP(AG45,Bausteine!$A$2:$AS$46,4,FALSE))+IF(AH45="",0,VLOOKUP(AH45,Bausteine!$A$2:$AS$46,4,FALSE))</f>
        <v/>
      </c>
      <c r="N45">
        <f>IF(C45="",0,VLOOKUP(C45,Bausteine!$A$2:$AS$46,5,FALSE))+IF(D45="",0,VLOOKUP(D45,Bausteine!$A$2:$AS$46,5,FALSE))+IF(E45="",0,VLOOKUP(E45,Bausteine!$A$2:$AS$46,5,FALSE))+IF(F45="",0,VLOOKUP(F45,Bausteine!$A$2:$AS$46,5,FALSE))+IF(G45="",0,VLOOKUP(G45,Bausteine!$A$2:$AS$46,5,FALSE))+IF(H45="",0,VLOOKUP(H45,Bausteine!$A$2:$AS$46,5,FALSE))+IF(I45="",0,VLOOKUP(I45,Bausteine!$A$2:$AS$46,5,FALSE))+IF(J45="",0,VLOOKUP(J45,Bausteine!$A$2:$AS$46,5,FALSE))+IF(K45="",0,VLOOKUP(K45,Bausteine!$A$2:$AS$46,5,FALSE))+IF(L45="",0,VLOOKUP(L45,Bausteine!$A$2:$AS$46,5,FALSE))+IF(AC45="",0,VLOOKUP(AC45,Bausteine!$A$2:$AS$46,5,FALSE))+IF(AF45="",0,VLOOKUP(AF45,Bausteine!$A$2:$AS$46,5,FALSE))+IF(AG45="",0,VLOOKUP(AG45,Bausteine!$A$2:$AS$46,5,FALSE))+IF(AH45="",0,VLOOKUP(AH45,Bausteine!$A$2:$AS$46,5,FALSE))</f>
        <v/>
      </c>
      <c r="O45">
        <f>MAX(IF(C45="",0,VLOOKUP(C45,Bausteine!$A$2:$AS$46,6,FALSE)),IF(D45="",0,VLOOKUP(D45,Bausteine!$A$2:$AS$46,6,FALSE)),IF(E45="",0,VLOOKUP(E45,Bausteine!$A$2:$AS$46,6,FALSE)),IF(F45="",0,VLOOKUP(F45,Bausteine!$A$2:$AS$46,6,FALSE)),IF(G45="",0,VLOOKUP(G45,Bausteine!$A$2:$AS$46,6,FALSE)),IF(H45="",0,VLOOKUP(H45,Bausteine!$A$2:$AS$46,6,FALSE)),IF(I45="",0,VLOOKUP(I45,Bausteine!$A$2:$AS$46,6,FALSE)),IF(J45="",0,VLOOKUP(J45,Bausteine!$A$2:$AS$46,6,FALSE)),IF(K45="",0,VLOOKUP(K45,Bausteine!$A$2:$AS$46,6,FALSE)),IF(L45="",0,VLOOKUP(L45,Bausteine!$A$2:$AS$46,6,FALSE)),IF(AC45="",0,VLOOKUP(AC45,Bausteine!$A$2:$AS$46,6,FALSE)),IF(AF45="",0,VLOOKUP(AF45,Bausteine!$A$2:$AS$46,6,FALSE)),IF(AG45="",0,VLOOKUP(AG45,Bausteine!$A$2:$AS$46,6,FALSE)),IF(AH45="",0,VLOOKUP(AH45,Bausteine!$A$2:$AS$46,6,FALSE)),AK45)</f>
        <v/>
      </c>
      <c r="P45">
        <f>IF(C45="",0,VLOOKUP(C45,Bausteine!$A$2:$AS$46,7,FALSE))*IF(F45="",0,VLOOKUP(F45,Bausteine!$A$2:$AS$46,17,FALSE))/100+IF(D45="",0,VLOOKUP(D45,Bausteine!$A$2:$AS$46,7,FALSE))+IF(E45="",0,VLOOKUP(E45,Bausteine!$A$2:$AS$46,7,FALSE))+IF(G45="",0,VLOOKUP(G45,Bausteine!$A$2:$AS$46,7,FALSE))+IF(H45="",0,VLOOKUP(H45,Bausteine!$A$2:$AS$46,7,FALSE))+IF(I45="",0,VLOOKUP(I45,Bausteine!$A$2:$AS$46,7,FALSE))+IF(J45="",0,VLOOKUP(J45,Bausteine!$A$2:$AS$46,7,FALSE))+IF(K45="",0,VLOOKUP(K45,Bausteine!$A$2:$AS$46,7,FALSE))+IF(L45="",0,VLOOKUP(L45,Bausteine!$A$2:$AS$46,7,FALSE))+IF(AC45="",0,VLOOKUP(AC45,Bausteine!$A$2:$AS$46,7,FALSE))+IF(AF45="",0,VLOOKUP(AF45,Bausteine!$A$2:$AS$46,7,FALSE))+IF(AG45="",0,VLOOKUP(AG45,Bausteine!$A$2:$AS$46,7,FALSE))+IF(AH45="",0,VLOOKUP(AH45,Bausteine!$A$2:$AS$46,7,FALSE))+AI45</f>
        <v/>
      </c>
      <c r="Q45">
        <f>N45*Parameter!$B$2</f>
        <v/>
      </c>
      <c r="R45">
        <f>AE45-Q45</f>
        <v/>
      </c>
      <c r="S45">
        <f>IF(C45="",0,VLOOKUP(C45,Bausteine!$A$2:$AS$46,13,FALSE))*IF(F45="",0,VLOOKUP(F45,Bausteine!$A$2:$AS$46,16,FALSE))/100</f>
        <v/>
      </c>
      <c r="T45">
        <f>IF(C45="",0,VLOOKUP(C45,Bausteine!$A$2:$AS$46,8,FALSE))*IF(F45="",0,VLOOKUP(F45,Bausteine!$A$2:$AS$46,15,FALSE))/100+IF(D45="",0,VLOOKUP(D45,Bausteine!$A$2:$AS$46,8,FALSE))+IF(E45="",0,VLOOKUP(E45,Bausteine!$A$2:$AS$46,8,FALSE))+IF(G45="",0,VLOOKUP(G45,Bausteine!$A$2:$AS$46,8,FALSE))+IF(H45="",0,VLOOKUP(H45,Bausteine!$A$2:$AS$46,8,FALSE))+IF(I45="",0,VLOOKUP(I45,Bausteine!$A$2:$AS$46,8,FALSE))+IF(J45="",0,VLOOKUP(J45,Bausteine!$A$2:$AS$46,8,FALSE))+IF(K45="",0,VLOOKUP(K45,Bausteine!$A$2:$AS$46,8,FALSE))+IF(L45="",0,VLOOKUP(L45,Bausteine!$A$2:$AS$46,8,FALSE))+IF(AC45="",0,VLOOKUP(AC45,Bausteine!$A$2:$AS$46,8,FALSE))+IF(AF45="",0,VLOOKUP(AF45,Bausteine!$A$2:$AS$46,8,FALSE))+IF(AG45="",0,VLOOKUP(AG45,Bausteine!$A$2:$AS$46,8,FALSE))+IF(AH45="",0,VLOOKUP(AH45,Bausteine!$A$2:$AS$46,8,FALSE))+AJ45</f>
        <v/>
      </c>
      <c r="U45">
        <f>IF(C45="",0,VLOOKUP(C45,Bausteine!$A$2:$AS$46,9,FALSE))+IF(D45="",0,VLOOKUP(D45,Bausteine!$A$2:$AS$46,9,FALSE))+IF(E45="",0,VLOOKUP(E45,Bausteine!$A$2:$AS$46,9,FALSE))+IF(F45="",0,VLOOKUP(F45,Bausteine!$A$2:$AS$46,9,FALSE))+IF(G45="",0,VLOOKUP(G45,Bausteine!$A$2:$AS$46,9,FALSE))+IF(H45="",0,VLOOKUP(H45,Bausteine!$A$2:$AS$46,9,FALSE))+IF(I45="",0,VLOOKUP(I45,Bausteine!$A$2:$AS$46,9,FALSE))+IF(J45="",0,VLOOKUP(J45,Bausteine!$A$2:$AS$46,9,FALSE))+IF(K45="",0,VLOOKUP(K45,Bausteine!$A$2:$AS$46,9,FALSE))+IF(L45="",0,VLOOKUP(L45,Bausteine!$A$2:$AS$46,9,FALSE))+IF(AC45="",0,VLOOKUP(AC45,Bausteine!$A$2:$AS$46,9,FALSE))+IF(AF45="",0,VLOOKUP(AF45,Bausteine!$A$2:$AS$46,9,FALSE))+IF(AG45="",0,VLOOKUP(AG45,Bausteine!$A$2:$AS$46,9,FALSE))+IF(AH45="",0,VLOOKUP(AH45,Bausteine!$A$2:$AS$46,9,FALSE))</f>
        <v/>
      </c>
      <c r="V45">
        <f>IF(D45="",0,VLOOKUP(D45,Bausteine!$A$2:$AS$46,10,FALSE))-U45/IF(E45="",0,VLOOKUP(E45,Bausteine!$A$2:$AS$46,11,FALSE))</f>
        <v/>
      </c>
      <c r="W45">
        <f>IF(Y45&lt;&gt;"OK","",ROUND(MIN(IF(C45="",0,VLOOKUP(C45,Bausteine!$A$2:$AS$46,21,FALSE)),IF(C45="",0,VLOOKUP(C45,Bausteine!$A$2:$AS$46,20,FALSE))*(V45/T45/(IF(C45="",0,VLOOKUP(C45,Bausteine!$A$2:$AS$46,19,FALSE))/IF(C45="",0,VLOOKUP(C45,Bausteine!$A$2:$AS$46,18,FALSE))))^Parameter!$B$3),0))</f>
        <v/>
      </c>
      <c r="X45">
        <f>IF(F45="",0,VLOOKUP(F45,Bausteine!$A$2:$AS$46,14,FALSE))</f>
        <v/>
      </c>
      <c r="Y45">
        <f>IFERROR(IF(OR(AD45&lt;=0,AD45&gt;1,R45&lt;=0,T45&lt;=0,V45&lt;=0,U45&gt;IF(E45="",0,VLOOKUP(E45,Bausteine!$A$2:$AS$46,12,FALSE)),T45&gt;IF(C45="",0,VLOOKUP(C45,Bausteine!$A$2:$AS$46,22,FALSE)),IF(E45="",0,VLOOKUP(E45,Bausteine!$A$2:$AS$46,11,FALSE))&lt;=0,IF(E45="",0,VLOOKUP(E45,Bausteine!$A$2:$AS$46,11,FALSE))&gt;1),"UNGUELTIG","OK"),"FEHLER")</f>
        <v/>
      </c>
      <c r="Z45" t="n">
        <v>1200</v>
      </c>
      <c r="AA45" t="n">
        <v>86</v>
      </c>
      <c r="AB45" t="inlineStr"/>
      <c r="AC45" t="inlineStr"/>
      <c r="AD45">
        <f>IF(AC45="",1,IF(AC45="",0,VLOOKUP(AC45,Bausteine!$A$2:$AS$46,37,FALSE))/100)</f>
        <v/>
      </c>
      <c r="AE45">
        <f>P45*AD45</f>
        <v/>
      </c>
      <c r="AF45" t="inlineStr"/>
      <c r="AG45" t="inlineStr"/>
      <c r="AH45" t="inlineStr"/>
      <c r="AI45">
        <f>SUMIF(Startbesatzung!$A$2:$A$7,A45,Startbesatzung!$D$2:$D$7)</f>
        <v/>
      </c>
      <c r="AJ45">
        <f>SUMIF(Startbesatzung!$A$2:$A$7,A45,Startbesatzung!$E$2:$E$7)</f>
        <v/>
      </c>
      <c r="AK45">
        <f>MAX(0,IF(Startbesatzung!A2=A45,Startbesatzung!G2,0),IF(Startbesatzung!A3=A45,Startbesatzung!G3,0),IF(Startbesatzung!A4=A45,Startbesatzung!G4,0),IF(Startbesatzung!A5=A45,Startbesatzung!G5,0),IF(Startbesatzung!A6=A45,Startbesatzung!G6,0),IF(Startbesatzung!A7=A45,Startbesatzung!G7,0))</f>
        <v/>
      </c>
      <c r="AL45">
        <f>IF(AF45="","",IF(IF(AH45="",0,VLOOKUP(AH45,Bausteine!$A$2:$AS$46,38,FALSE))&gt;0,IF(AH45="",0,VLOOKUP(AH45,Bausteine!$A$2:$AS$46,38,FALSE)),IF(AG45="",0,VLOOKUP(AG45,Bausteine!$A$2:$AS$46,28,FALSE))))</f>
        <v/>
      </c>
      <c r="AM45">
        <f>IF(AF45="","",IF(AG45="",0,VLOOKUP(AG45,Bausteine!$A$2:$AS$46,44,FALSE)))</f>
        <v/>
      </c>
      <c r="AN45">
        <f>IF(AF45="","",IF(AF45="",0,VLOOKUP(AF45,Bausteine!$A$2:$AS$46,27,FALSE)))</f>
        <v/>
      </c>
      <c r="AO45">
        <f>IF(AF45="","",IF(AF45="",0,VLOOKUP(AF45,Bausteine!$A$2:$AS$46,25,FALSE)))</f>
        <v/>
      </c>
      <c r="AP45">
        <f>IF(AF45="","",IF(AH45="",0,VLOOKUP(AH45,Bausteine!$A$2:$AS$46,29,FALSE)))</f>
        <v/>
      </c>
    </row>
    <row r="46">
      <c r="A46" t="inlineStr">
        <is>
          <t>Juggernaut baseline</t>
        </is>
      </c>
      <c r="B46" t="inlineStr">
        <is>
          <t>gdi</t>
        </is>
      </c>
      <c r="C46" t="inlineStr">
        <is>
          <t>juggernaut</t>
        </is>
      </c>
      <c r="D46" t="inlineStr">
        <is>
          <t>diesel</t>
        </is>
      </c>
      <c r="E46" t="inlineStr">
        <is>
          <t>baseline-generator</t>
        </is>
      </c>
      <c r="F46" t="inlineStr">
        <is>
          <t>heavy</t>
        </is>
      </c>
      <c r="G46" t="inlineStr">
        <is>
          <t>fixed-triple</t>
        </is>
      </c>
      <c r="H46" t="inlineStr">
        <is>
          <t>artillery</t>
        </is>
      </c>
      <c r="I46" t="inlineStr">
        <is>
          <t>artillery-shell</t>
        </is>
      </c>
      <c r="J46" t="inlineStr"/>
      <c r="K46" t="inlineStr"/>
      <c r="L46" t="inlineStr"/>
      <c r="M46">
        <f>IF(C46="",0,VLOOKUP(C46,Bausteine!$A$2:$AS$46,4,FALSE))+IF(D46="",0,VLOOKUP(D46,Bausteine!$A$2:$AS$46,4,FALSE))+IF(E46="",0,VLOOKUP(E46,Bausteine!$A$2:$AS$46,4,FALSE))+IF(F46="",0,VLOOKUP(F46,Bausteine!$A$2:$AS$46,4,FALSE))+IF(G46="",0,VLOOKUP(G46,Bausteine!$A$2:$AS$46,4,FALSE))+IF(H46="",0,VLOOKUP(H46,Bausteine!$A$2:$AS$46,4,FALSE))+IF(I46="",0,VLOOKUP(I46,Bausteine!$A$2:$AS$46,4,FALSE))+IF(J46="",0,VLOOKUP(J46,Bausteine!$A$2:$AS$46,4,FALSE))+IF(K46="",0,VLOOKUP(K46,Bausteine!$A$2:$AS$46,4,FALSE))+IF(L46="",0,VLOOKUP(L46,Bausteine!$A$2:$AS$46,4,FALSE))+IF(AC46="",0,VLOOKUP(AC46,Bausteine!$A$2:$AS$46,4,FALSE))+IF(AF46="",0,VLOOKUP(AF46,Bausteine!$A$2:$AS$46,4,FALSE))+IF(AG46="",0,VLOOKUP(AG46,Bausteine!$A$2:$AS$46,4,FALSE))+IF(AH46="",0,VLOOKUP(AH46,Bausteine!$A$2:$AS$46,4,FALSE))</f>
        <v/>
      </c>
      <c r="N46">
        <f>IF(C46="",0,VLOOKUP(C46,Bausteine!$A$2:$AS$46,5,FALSE))+IF(D46="",0,VLOOKUP(D46,Bausteine!$A$2:$AS$46,5,FALSE))+IF(E46="",0,VLOOKUP(E46,Bausteine!$A$2:$AS$46,5,FALSE))+IF(F46="",0,VLOOKUP(F46,Bausteine!$A$2:$AS$46,5,FALSE))+IF(G46="",0,VLOOKUP(G46,Bausteine!$A$2:$AS$46,5,FALSE))+IF(H46="",0,VLOOKUP(H46,Bausteine!$A$2:$AS$46,5,FALSE))+IF(I46="",0,VLOOKUP(I46,Bausteine!$A$2:$AS$46,5,FALSE))+IF(J46="",0,VLOOKUP(J46,Bausteine!$A$2:$AS$46,5,FALSE))+IF(K46="",0,VLOOKUP(K46,Bausteine!$A$2:$AS$46,5,FALSE))+IF(L46="",0,VLOOKUP(L46,Bausteine!$A$2:$AS$46,5,FALSE))+IF(AC46="",0,VLOOKUP(AC46,Bausteine!$A$2:$AS$46,5,FALSE))+IF(AF46="",0,VLOOKUP(AF46,Bausteine!$A$2:$AS$46,5,FALSE))+IF(AG46="",0,VLOOKUP(AG46,Bausteine!$A$2:$AS$46,5,FALSE))+IF(AH46="",0,VLOOKUP(AH46,Bausteine!$A$2:$AS$46,5,FALSE))</f>
        <v/>
      </c>
      <c r="O46">
        <f>MAX(IF(C46="",0,VLOOKUP(C46,Bausteine!$A$2:$AS$46,6,FALSE)),IF(D46="",0,VLOOKUP(D46,Bausteine!$A$2:$AS$46,6,FALSE)),IF(E46="",0,VLOOKUP(E46,Bausteine!$A$2:$AS$46,6,FALSE)),IF(F46="",0,VLOOKUP(F46,Bausteine!$A$2:$AS$46,6,FALSE)),IF(G46="",0,VLOOKUP(G46,Bausteine!$A$2:$AS$46,6,FALSE)),IF(H46="",0,VLOOKUP(H46,Bausteine!$A$2:$AS$46,6,FALSE)),IF(I46="",0,VLOOKUP(I46,Bausteine!$A$2:$AS$46,6,FALSE)),IF(J46="",0,VLOOKUP(J46,Bausteine!$A$2:$AS$46,6,FALSE)),IF(K46="",0,VLOOKUP(K46,Bausteine!$A$2:$AS$46,6,FALSE)),IF(L46="",0,VLOOKUP(L46,Bausteine!$A$2:$AS$46,6,FALSE)),IF(AC46="",0,VLOOKUP(AC46,Bausteine!$A$2:$AS$46,6,FALSE)),IF(AF46="",0,VLOOKUP(AF46,Bausteine!$A$2:$AS$46,6,FALSE)),IF(AG46="",0,VLOOKUP(AG46,Bausteine!$A$2:$AS$46,6,FALSE)),IF(AH46="",0,VLOOKUP(AH46,Bausteine!$A$2:$AS$46,6,FALSE)),AK46)</f>
        <v/>
      </c>
      <c r="P46">
        <f>IF(C46="",0,VLOOKUP(C46,Bausteine!$A$2:$AS$46,7,FALSE))*IF(F46="",0,VLOOKUP(F46,Bausteine!$A$2:$AS$46,17,FALSE))/100+IF(D46="",0,VLOOKUP(D46,Bausteine!$A$2:$AS$46,7,FALSE))+IF(E46="",0,VLOOKUP(E46,Bausteine!$A$2:$AS$46,7,FALSE))+IF(G46="",0,VLOOKUP(G46,Bausteine!$A$2:$AS$46,7,FALSE))+IF(H46="",0,VLOOKUP(H46,Bausteine!$A$2:$AS$46,7,FALSE))+IF(I46="",0,VLOOKUP(I46,Bausteine!$A$2:$AS$46,7,FALSE))+IF(J46="",0,VLOOKUP(J46,Bausteine!$A$2:$AS$46,7,FALSE))+IF(K46="",0,VLOOKUP(K46,Bausteine!$A$2:$AS$46,7,FALSE))+IF(L46="",0,VLOOKUP(L46,Bausteine!$A$2:$AS$46,7,FALSE))+IF(AC46="",0,VLOOKUP(AC46,Bausteine!$A$2:$AS$46,7,FALSE))+IF(AF46="",0,VLOOKUP(AF46,Bausteine!$A$2:$AS$46,7,FALSE))+IF(AG46="",0,VLOOKUP(AG46,Bausteine!$A$2:$AS$46,7,FALSE))+IF(AH46="",0,VLOOKUP(AH46,Bausteine!$A$2:$AS$46,7,FALSE))+AI46</f>
        <v/>
      </c>
      <c r="Q46">
        <f>N46*Parameter!$B$2</f>
        <v/>
      </c>
      <c r="R46">
        <f>AE46-Q46</f>
        <v/>
      </c>
      <c r="S46">
        <f>IF(C46="",0,VLOOKUP(C46,Bausteine!$A$2:$AS$46,13,FALSE))*IF(F46="",0,VLOOKUP(F46,Bausteine!$A$2:$AS$46,16,FALSE))/100</f>
        <v/>
      </c>
      <c r="T46">
        <f>IF(C46="",0,VLOOKUP(C46,Bausteine!$A$2:$AS$46,8,FALSE))*IF(F46="",0,VLOOKUP(F46,Bausteine!$A$2:$AS$46,15,FALSE))/100+IF(D46="",0,VLOOKUP(D46,Bausteine!$A$2:$AS$46,8,FALSE))+IF(E46="",0,VLOOKUP(E46,Bausteine!$A$2:$AS$46,8,FALSE))+IF(G46="",0,VLOOKUP(G46,Bausteine!$A$2:$AS$46,8,FALSE))+IF(H46="",0,VLOOKUP(H46,Bausteine!$A$2:$AS$46,8,FALSE))+IF(I46="",0,VLOOKUP(I46,Bausteine!$A$2:$AS$46,8,FALSE))+IF(J46="",0,VLOOKUP(J46,Bausteine!$A$2:$AS$46,8,FALSE))+IF(K46="",0,VLOOKUP(K46,Bausteine!$A$2:$AS$46,8,FALSE))+IF(L46="",0,VLOOKUP(L46,Bausteine!$A$2:$AS$46,8,FALSE))+IF(AC46="",0,VLOOKUP(AC46,Bausteine!$A$2:$AS$46,8,FALSE))+IF(AF46="",0,VLOOKUP(AF46,Bausteine!$A$2:$AS$46,8,FALSE))+IF(AG46="",0,VLOOKUP(AG46,Bausteine!$A$2:$AS$46,8,FALSE))+IF(AH46="",0,VLOOKUP(AH46,Bausteine!$A$2:$AS$46,8,FALSE))+AJ46</f>
        <v/>
      </c>
      <c r="U46">
        <f>IF(C46="",0,VLOOKUP(C46,Bausteine!$A$2:$AS$46,9,FALSE))+IF(D46="",0,VLOOKUP(D46,Bausteine!$A$2:$AS$46,9,FALSE))+IF(E46="",0,VLOOKUP(E46,Bausteine!$A$2:$AS$46,9,FALSE))+IF(F46="",0,VLOOKUP(F46,Bausteine!$A$2:$AS$46,9,FALSE))+IF(G46="",0,VLOOKUP(G46,Bausteine!$A$2:$AS$46,9,FALSE))+IF(H46="",0,VLOOKUP(H46,Bausteine!$A$2:$AS$46,9,FALSE))+IF(I46="",0,VLOOKUP(I46,Bausteine!$A$2:$AS$46,9,FALSE))+IF(J46="",0,VLOOKUP(J46,Bausteine!$A$2:$AS$46,9,FALSE))+IF(K46="",0,VLOOKUP(K46,Bausteine!$A$2:$AS$46,9,FALSE))+IF(L46="",0,VLOOKUP(L46,Bausteine!$A$2:$AS$46,9,FALSE))+IF(AC46="",0,VLOOKUP(AC46,Bausteine!$A$2:$AS$46,9,FALSE))+IF(AF46="",0,VLOOKUP(AF46,Bausteine!$A$2:$AS$46,9,FALSE))+IF(AG46="",0,VLOOKUP(AG46,Bausteine!$A$2:$AS$46,9,FALSE))+IF(AH46="",0,VLOOKUP(AH46,Bausteine!$A$2:$AS$46,9,FALSE))</f>
        <v/>
      </c>
      <c r="V46">
        <f>IF(D46="",0,VLOOKUP(D46,Bausteine!$A$2:$AS$46,10,FALSE))-U46/IF(E46="",0,VLOOKUP(E46,Bausteine!$A$2:$AS$46,11,FALSE))</f>
        <v/>
      </c>
      <c r="W46">
        <f>IF(Y46&lt;&gt;"OK","",ROUND(MIN(IF(C46="",0,VLOOKUP(C46,Bausteine!$A$2:$AS$46,21,FALSE)),IF(C46="",0,VLOOKUP(C46,Bausteine!$A$2:$AS$46,20,FALSE))*(V46/T46/(IF(C46="",0,VLOOKUP(C46,Bausteine!$A$2:$AS$46,19,FALSE))/IF(C46="",0,VLOOKUP(C46,Bausteine!$A$2:$AS$46,18,FALSE))))^Parameter!$B$3),0))</f>
        <v/>
      </c>
      <c r="X46">
        <f>IF(F46="",0,VLOOKUP(F46,Bausteine!$A$2:$AS$46,14,FALSE))</f>
        <v/>
      </c>
      <c r="Y46">
        <f>IFERROR(IF(OR(AD46&lt;=0,AD46&gt;1,R46&lt;=0,T46&lt;=0,V46&lt;=0,U46&gt;IF(E46="",0,VLOOKUP(E46,Bausteine!$A$2:$AS$46,12,FALSE)),T46&gt;IF(C46="",0,VLOOKUP(C46,Bausteine!$A$2:$AS$46,22,FALSE)),IF(E46="",0,VLOOKUP(E46,Bausteine!$A$2:$AS$46,11,FALSE))&lt;=0,IF(E46="",0,VLOOKUP(E46,Bausteine!$A$2:$AS$46,11,FALSE))&gt;1),"UNGUELTIG","OK"),"FEHLER")</f>
        <v/>
      </c>
      <c r="Z46" t="n">
        <v>2000</v>
      </c>
      <c r="AA46" t="n">
        <v>50</v>
      </c>
      <c r="AB46" t="inlineStr"/>
      <c r="AC46" t="inlineStr"/>
      <c r="AD46">
        <f>IF(AC46="",1,IF(AC46="",0,VLOOKUP(AC46,Bausteine!$A$2:$AS$46,37,FALSE))/100)</f>
        <v/>
      </c>
      <c r="AE46">
        <f>P46*AD46</f>
        <v/>
      </c>
      <c r="AF46" t="inlineStr"/>
      <c r="AG46" t="inlineStr"/>
      <c r="AH46" t="inlineStr"/>
      <c r="AI46">
        <f>SUMIF(Startbesatzung!$A$2:$A$7,A46,Startbesatzung!$D$2:$D$7)</f>
        <v/>
      </c>
      <c r="AJ46">
        <f>SUMIF(Startbesatzung!$A$2:$A$7,A46,Startbesatzung!$E$2:$E$7)</f>
        <v/>
      </c>
      <c r="AK46">
        <f>MAX(0,IF(Startbesatzung!A2=A46,Startbesatzung!G2,0),IF(Startbesatzung!A3=A46,Startbesatzung!G3,0),IF(Startbesatzung!A4=A46,Startbesatzung!G4,0),IF(Startbesatzung!A5=A46,Startbesatzung!G5,0),IF(Startbesatzung!A6=A46,Startbesatzung!G6,0),IF(Startbesatzung!A7=A46,Startbesatzung!G7,0))</f>
        <v/>
      </c>
      <c r="AL46">
        <f>IF(AF46="","",IF(IF(AH46="",0,VLOOKUP(AH46,Bausteine!$A$2:$AS$46,38,FALSE))&gt;0,IF(AH46="",0,VLOOKUP(AH46,Bausteine!$A$2:$AS$46,38,FALSE)),IF(AG46="",0,VLOOKUP(AG46,Bausteine!$A$2:$AS$46,28,FALSE))))</f>
        <v/>
      </c>
      <c r="AM46">
        <f>IF(AF46="","",IF(AG46="",0,VLOOKUP(AG46,Bausteine!$A$2:$AS$46,44,FALSE)))</f>
        <v/>
      </c>
      <c r="AN46">
        <f>IF(AF46="","",IF(AF46="",0,VLOOKUP(AF46,Bausteine!$A$2:$AS$46,27,FALSE)))</f>
        <v/>
      </c>
      <c r="AO46">
        <f>IF(AF46="","",IF(AF46="",0,VLOOKUP(AF46,Bausteine!$A$2:$AS$46,25,FALSE)))</f>
        <v/>
      </c>
      <c r="AP46">
        <f>IF(AF46="","",IF(AH46="",0,VLOOKUP(AH46,Bausteine!$A$2:$AS$46,29,FALSE)))</f>
        <v/>
      </c>
    </row>
    <row r="47">
      <c r="A47" t="inlineStr">
        <is>
          <t>Juggernaut EMP / baseline</t>
        </is>
      </c>
      <c r="B47" t="inlineStr">
        <is>
          <t>gdi</t>
        </is>
      </c>
      <c r="C47" t="inlineStr">
        <is>
          <t>juggernaut</t>
        </is>
      </c>
      <c r="D47" t="inlineStr">
        <is>
          <t>diesel</t>
        </is>
      </c>
      <c r="E47" t="inlineStr">
        <is>
          <t>baseline-generator</t>
        </is>
      </c>
      <c r="F47" t="inlineStr">
        <is>
          <t>heavy</t>
        </is>
      </c>
      <c r="G47" t="inlineStr">
        <is>
          <t>fixed-triple</t>
        </is>
      </c>
      <c r="H47" t="inlineStr">
        <is>
          <t>artillery</t>
        </is>
      </c>
      <c r="I47" t="inlineStr">
        <is>
          <t>emp-shell</t>
        </is>
      </c>
      <c r="J47" t="inlineStr"/>
      <c r="K47" t="inlineStr"/>
      <c r="L47" t="inlineStr"/>
      <c r="M47">
        <f>IF(C47="",0,VLOOKUP(C47,Bausteine!$A$2:$AS$46,4,FALSE))+IF(D47="",0,VLOOKUP(D47,Bausteine!$A$2:$AS$46,4,FALSE))+IF(E47="",0,VLOOKUP(E47,Bausteine!$A$2:$AS$46,4,FALSE))+IF(F47="",0,VLOOKUP(F47,Bausteine!$A$2:$AS$46,4,FALSE))+IF(G47="",0,VLOOKUP(G47,Bausteine!$A$2:$AS$46,4,FALSE))+IF(H47="",0,VLOOKUP(H47,Bausteine!$A$2:$AS$46,4,FALSE))+IF(I47="",0,VLOOKUP(I47,Bausteine!$A$2:$AS$46,4,FALSE))+IF(J47="",0,VLOOKUP(J47,Bausteine!$A$2:$AS$46,4,FALSE))+IF(K47="",0,VLOOKUP(K47,Bausteine!$A$2:$AS$46,4,FALSE))+IF(L47="",0,VLOOKUP(L47,Bausteine!$A$2:$AS$46,4,FALSE))+IF(AC47="",0,VLOOKUP(AC47,Bausteine!$A$2:$AS$46,4,FALSE))+IF(AF47="",0,VLOOKUP(AF47,Bausteine!$A$2:$AS$46,4,FALSE))+IF(AG47="",0,VLOOKUP(AG47,Bausteine!$A$2:$AS$46,4,FALSE))+IF(AH47="",0,VLOOKUP(AH47,Bausteine!$A$2:$AS$46,4,FALSE))</f>
        <v/>
      </c>
      <c r="N47">
        <f>IF(C47="",0,VLOOKUP(C47,Bausteine!$A$2:$AS$46,5,FALSE))+IF(D47="",0,VLOOKUP(D47,Bausteine!$A$2:$AS$46,5,FALSE))+IF(E47="",0,VLOOKUP(E47,Bausteine!$A$2:$AS$46,5,FALSE))+IF(F47="",0,VLOOKUP(F47,Bausteine!$A$2:$AS$46,5,FALSE))+IF(G47="",0,VLOOKUP(G47,Bausteine!$A$2:$AS$46,5,FALSE))+IF(H47="",0,VLOOKUP(H47,Bausteine!$A$2:$AS$46,5,FALSE))+IF(I47="",0,VLOOKUP(I47,Bausteine!$A$2:$AS$46,5,FALSE))+IF(J47="",0,VLOOKUP(J47,Bausteine!$A$2:$AS$46,5,FALSE))+IF(K47="",0,VLOOKUP(K47,Bausteine!$A$2:$AS$46,5,FALSE))+IF(L47="",0,VLOOKUP(L47,Bausteine!$A$2:$AS$46,5,FALSE))+IF(AC47="",0,VLOOKUP(AC47,Bausteine!$A$2:$AS$46,5,FALSE))+IF(AF47="",0,VLOOKUP(AF47,Bausteine!$A$2:$AS$46,5,FALSE))+IF(AG47="",0,VLOOKUP(AG47,Bausteine!$A$2:$AS$46,5,FALSE))+IF(AH47="",0,VLOOKUP(AH47,Bausteine!$A$2:$AS$46,5,FALSE))</f>
        <v/>
      </c>
      <c r="O47">
        <f>MAX(IF(C47="",0,VLOOKUP(C47,Bausteine!$A$2:$AS$46,6,FALSE)),IF(D47="",0,VLOOKUP(D47,Bausteine!$A$2:$AS$46,6,FALSE)),IF(E47="",0,VLOOKUP(E47,Bausteine!$A$2:$AS$46,6,FALSE)),IF(F47="",0,VLOOKUP(F47,Bausteine!$A$2:$AS$46,6,FALSE)),IF(G47="",0,VLOOKUP(G47,Bausteine!$A$2:$AS$46,6,FALSE)),IF(H47="",0,VLOOKUP(H47,Bausteine!$A$2:$AS$46,6,FALSE)),IF(I47="",0,VLOOKUP(I47,Bausteine!$A$2:$AS$46,6,FALSE)),IF(J47="",0,VLOOKUP(J47,Bausteine!$A$2:$AS$46,6,FALSE)),IF(K47="",0,VLOOKUP(K47,Bausteine!$A$2:$AS$46,6,FALSE)),IF(L47="",0,VLOOKUP(L47,Bausteine!$A$2:$AS$46,6,FALSE)),IF(AC47="",0,VLOOKUP(AC47,Bausteine!$A$2:$AS$46,6,FALSE)),IF(AF47="",0,VLOOKUP(AF47,Bausteine!$A$2:$AS$46,6,FALSE)),IF(AG47="",0,VLOOKUP(AG47,Bausteine!$A$2:$AS$46,6,FALSE)),IF(AH47="",0,VLOOKUP(AH47,Bausteine!$A$2:$AS$46,6,FALSE)),AK47)</f>
        <v/>
      </c>
      <c r="P47">
        <f>IF(C47="",0,VLOOKUP(C47,Bausteine!$A$2:$AS$46,7,FALSE))*IF(F47="",0,VLOOKUP(F47,Bausteine!$A$2:$AS$46,17,FALSE))/100+IF(D47="",0,VLOOKUP(D47,Bausteine!$A$2:$AS$46,7,FALSE))+IF(E47="",0,VLOOKUP(E47,Bausteine!$A$2:$AS$46,7,FALSE))+IF(G47="",0,VLOOKUP(G47,Bausteine!$A$2:$AS$46,7,FALSE))+IF(H47="",0,VLOOKUP(H47,Bausteine!$A$2:$AS$46,7,FALSE))+IF(I47="",0,VLOOKUP(I47,Bausteine!$A$2:$AS$46,7,FALSE))+IF(J47="",0,VLOOKUP(J47,Bausteine!$A$2:$AS$46,7,FALSE))+IF(K47="",0,VLOOKUP(K47,Bausteine!$A$2:$AS$46,7,FALSE))+IF(L47="",0,VLOOKUP(L47,Bausteine!$A$2:$AS$46,7,FALSE))+IF(AC47="",0,VLOOKUP(AC47,Bausteine!$A$2:$AS$46,7,FALSE))+IF(AF47="",0,VLOOKUP(AF47,Bausteine!$A$2:$AS$46,7,FALSE))+IF(AG47="",0,VLOOKUP(AG47,Bausteine!$A$2:$AS$46,7,FALSE))+IF(AH47="",0,VLOOKUP(AH47,Bausteine!$A$2:$AS$46,7,FALSE))+AI47</f>
        <v/>
      </c>
      <c r="Q47">
        <f>N47*Parameter!$B$2</f>
        <v/>
      </c>
      <c r="R47">
        <f>AE47-Q47</f>
        <v/>
      </c>
      <c r="S47">
        <f>IF(C47="",0,VLOOKUP(C47,Bausteine!$A$2:$AS$46,13,FALSE))*IF(F47="",0,VLOOKUP(F47,Bausteine!$A$2:$AS$46,16,FALSE))/100</f>
        <v/>
      </c>
      <c r="T47">
        <f>IF(C47="",0,VLOOKUP(C47,Bausteine!$A$2:$AS$46,8,FALSE))*IF(F47="",0,VLOOKUP(F47,Bausteine!$A$2:$AS$46,15,FALSE))/100+IF(D47="",0,VLOOKUP(D47,Bausteine!$A$2:$AS$46,8,FALSE))+IF(E47="",0,VLOOKUP(E47,Bausteine!$A$2:$AS$46,8,FALSE))+IF(G47="",0,VLOOKUP(G47,Bausteine!$A$2:$AS$46,8,FALSE))+IF(H47="",0,VLOOKUP(H47,Bausteine!$A$2:$AS$46,8,FALSE))+IF(I47="",0,VLOOKUP(I47,Bausteine!$A$2:$AS$46,8,FALSE))+IF(J47="",0,VLOOKUP(J47,Bausteine!$A$2:$AS$46,8,FALSE))+IF(K47="",0,VLOOKUP(K47,Bausteine!$A$2:$AS$46,8,FALSE))+IF(L47="",0,VLOOKUP(L47,Bausteine!$A$2:$AS$46,8,FALSE))+IF(AC47="",0,VLOOKUP(AC47,Bausteine!$A$2:$AS$46,8,FALSE))+IF(AF47="",0,VLOOKUP(AF47,Bausteine!$A$2:$AS$46,8,FALSE))+IF(AG47="",0,VLOOKUP(AG47,Bausteine!$A$2:$AS$46,8,FALSE))+IF(AH47="",0,VLOOKUP(AH47,Bausteine!$A$2:$AS$46,8,FALSE))+AJ47</f>
        <v/>
      </c>
      <c r="U47">
        <f>IF(C47="",0,VLOOKUP(C47,Bausteine!$A$2:$AS$46,9,FALSE))+IF(D47="",0,VLOOKUP(D47,Bausteine!$A$2:$AS$46,9,FALSE))+IF(E47="",0,VLOOKUP(E47,Bausteine!$A$2:$AS$46,9,FALSE))+IF(F47="",0,VLOOKUP(F47,Bausteine!$A$2:$AS$46,9,FALSE))+IF(G47="",0,VLOOKUP(G47,Bausteine!$A$2:$AS$46,9,FALSE))+IF(H47="",0,VLOOKUP(H47,Bausteine!$A$2:$AS$46,9,FALSE))+IF(I47="",0,VLOOKUP(I47,Bausteine!$A$2:$AS$46,9,FALSE))+IF(J47="",0,VLOOKUP(J47,Bausteine!$A$2:$AS$46,9,FALSE))+IF(K47="",0,VLOOKUP(K47,Bausteine!$A$2:$AS$46,9,FALSE))+IF(L47="",0,VLOOKUP(L47,Bausteine!$A$2:$AS$46,9,FALSE))+IF(AC47="",0,VLOOKUP(AC47,Bausteine!$A$2:$AS$46,9,FALSE))+IF(AF47="",0,VLOOKUP(AF47,Bausteine!$A$2:$AS$46,9,FALSE))+IF(AG47="",0,VLOOKUP(AG47,Bausteine!$A$2:$AS$46,9,FALSE))+IF(AH47="",0,VLOOKUP(AH47,Bausteine!$A$2:$AS$46,9,FALSE))</f>
        <v/>
      </c>
      <c r="V47">
        <f>IF(D47="",0,VLOOKUP(D47,Bausteine!$A$2:$AS$46,10,FALSE))-U47/IF(E47="",0,VLOOKUP(E47,Bausteine!$A$2:$AS$46,11,FALSE))</f>
        <v/>
      </c>
      <c r="W47">
        <f>IF(Y47&lt;&gt;"OK","",ROUND(MIN(IF(C47="",0,VLOOKUP(C47,Bausteine!$A$2:$AS$46,21,FALSE)),IF(C47="",0,VLOOKUP(C47,Bausteine!$A$2:$AS$46,20,FALSE))*(V47/T47/(IF(C47="",0,VLOOKUP(C47,Bausteine!$A$2:$AS$46,19,FALSE))/IF(C47="",0,VLOOKUP(C47,Bausteine!$A$2:$AS$46,18,FALSE))))^Parameter!$B$3),0))</f>
        <v/>
      </c>
      <c r="X47">
        <f>IF(F47="",0,VLOOKUP(F47,Bausteine!$A$2:$AS$46,14,FALSE))</f>
        <v/>
      </c>
      <c r="Y47">
        <f>IFERROR(IF(OR(AD47&lt;=0,AD47&gt;1,R47&lt;=0,T47&lt;=0,V47&lt;=0,U47&gt;IF(E47="",0,VLOOKUP(E47,Bausteine!$A$2:$AS$46,12,FALSE)),T47&gt;IF(C47="",0,VLOOKUP(C47,Bausteine!$A$2:$AS$46,22,FALSE)),IF(E47="",0,VLOOKUP(E47,Bausteine!$A$2:$AS$46,11,FALSE))&lt;=0,IF(E47="",0,VLOOKUP(E47,Bausteine!$A$2:$AS$46,11,FALSE))&gt;1),"UNGUELTIG","OK"),"FEHLER")</f>
        <v/>
      </c>
      <c r="Z47" t="n">
        <v>1800</v>
      </c>
      <c r="AA47" t="n">
        <v>45</v>
      </c>
      <c r="AB47" t="inlineStr"/>
      <c r="AC47" t="inlineStr"/>
      <c r="AD47">
        <f>IF(AC47="",1,IF(AC47="",0,VLOOKUP(AC47,Bausteine!$A$2:$AS$46,37,FALSE))/100)</f>
        <v/>
      </c>
      <c r="AE47">
        <f>P47*AD47</f>
        <v/>
      </c>
      <c r="AF47" t="inlineStr"/>
      <c r="AG47" t="inlineStr"/>
      <c r="AH47" t="inlineStr"/>
      <c r="AI47">
        <f>SUMIF(Startbesatzung!$A$2:$A$7,A47,Startbesatzung!$D$2:$D$7)</f>
        <v/>
      </c>
      <c r="AJ47">
        <f>SUMIF(Startbesatzung!$A$2:$A$7,A47,Startbesatzung!$E$2:$E$7)</f>
        <v/>
      </c>
      <c r="AK47">
        <f>MAX(0,IF(Startbesatzung!A2=A47,Startbesatzung!G2,0),IF(Startbesatzung!A3=A47,Startbesatzung!G3,0),IF(Startbesatzung!A4=A47,Startbesatzung!G4,0),IF(Startbesatzung!A5=A47,Startbesatzung!G5,0),IF(Startbesatzung!A6=A47,Startbesatzung!G6,0),IF(Startbesatzung!A7=A47,Startbesatzung!G7,0))</f>
        <v/>
      </c>
      <c r="AL47">
        <f>IF(AF47="","",IF(IF(AH47="",0,VLOOKUP(AH47,Bausteine!$A$2:$AS$46,38,FALSE))&gt;0,IF(AH47="",0,VLOOKUP(AH47,Bausteine!$A$2:$AS$46,38,FALSE)),IF(AG47="",0,VLOOKUP(AG47,Bausteine!$A$2:$AS$46,28,FALSE))))</f>
        <v/>
      </c>
      <c r="AM47">
        <f>IF(AF47="","",IF(AG47="",0,VLOOKUP(AG47,Bausteine!$A$2:$AS$46,44,FALSE)))</f>
        <v/>
      </c>
      <c r="AN47">
        <f>IF(AF47="","",IF(AF47="",0,VLOOKUP(AF47,Bausteine!$A$2:$AS$46,27,FALSE)))</f>
        <v/>
      </c>
      <c r="AO47">
        <f>IF(AF47="","",IF(AF47="",0,VLOOKUP(AF47,Bausteine!$A$2:$AS$46,25,FALSE)))</f>
        <v/>
      </c>
      <c r="AP47">
        <f>IF(AF47="","",IF(AH47="",0,VLOOKUP(AH47,Bausteine!$A$2:$AS$46,29,FALSE)))</f>
        <v/>
      </c>
    </row>
    <row r="48">
      <c r="A48" t="inlineStr">
        <is>
          <t>Juggernaut EMP / efficient</t>
        </is>
      </c>
      <c r="B48" t="inlineStr">
        <is>
          <t>gdi</t>
        </is>
      </c>
      <c r="C48" t="inlineStr">
        <is>
          <t>juggernaut</t>
        </is>
      </c>
      <c r="D48" t="inlineStr">
        <is>
          <t>diesel</t>
        </is>
      </c>
      <c r="E48" t="inlineStr">
        <is>
          <t>efficient-generator</t>
        </is>
      </c>
      <c r="F48" t="inlineStr">
        <is>
          <t>heavy</t>
        </is>
      </c>
      <c r="G48" t="inlineStr">
        <is>
          <t>fixed-triple</t>
        </is>
      </c>
      <c r="H48" t="inlineStr">
        <is>
          <t>artillery</t>
        </is>
      </c>
      <c r="I48" t="inlineStr">
        <is>
          <t>emp-shell</t>
        </is>
      </c>
      <c r="J48" t="inlineStr"/>
      <c r="K48" t="inlineStr"/>
      <c r="L48" t="inlineStr"/>
      <c r="M48">
        <f>IF(C48="",0,VLOOKUP(C48,Bausteine!$A$2:$AS$46,4,FALSE))+IF(D48="",0,VLOOKUP(D48,Bausteine!$A$2:$AS$46,4,FALSE))+IF(E48="",0,VLOOKUP(E48,Bausteine!$A$2:$AS$46,4,FALSE))+IF(F48="",0,VLOOKUP(F48,Bausteine!$A$2:$AS$46,4,FALSE))+IF(G48="",0,VLOOKUP(G48,Bausteine!$A$2:$AS$46,4,FALSE))+IF(H48="",0,VLOOKUP(H48,Bausteine!$A$2:$AS$46,4,FALSE))+IF(I48="",0,VLOOKUP(I48,Bausteine!$A$2:$AS$46,4,FALSE))+IF(J48="",0,VLOOKUP(J48,Bausteine!$A$2:$AS$46,4,FALSE))+IF(K48="",0,VLOOKUP(K48,Bausteine!$A$2:$AS$46,4,FALSE))+IF(L48="",0,VLOOKUP(L48,Bausteine!$A$2:$AS$46,4,FALSE))+IF(AC48="",0,VLOOKUP(AC48,Bausteine!$A$2:$AS$46,4,FALSE))+IF(AF48="",0,VLOOKUP(AF48,Bausteine!$A$2:$AS$46,4,FALSE))+IF(AG48="",0,VLOOKUP(AG48,Bausteine!$A$2:$AS$46,4,FALSE))+IF(AH48="",0,VLOOKUP(AH48,Bausteine!$A$2:$AS$46,4,FALSE))</f>
        <v/>
      </c>
      <c r="N48">
        <f>IF(C48="",0,VLOOKUP(C48,Bausteine!$A$2:$AS$46,5,FALSE))+IF(D48="",0,VLOOKUP(D48,Bausteine!$A$2:$AS$46,5,FALSE))+IF(E48="",0,VLOOKUP(E48,Bausteine!$A$2:$AS$46,5,FALSE))+IF(F48="",0,VLOOKUP(F48,Bausteine!$A$2:$AS$46,5,FALSE))+IF(G48="",0,VLOOKUP(G48,Bausteine!$A$2:$AS$46,5,FALSE))+IF(H48="",0,VLOOKUP(H48,Bausteine!$A$2:$AS$46,5,FALSE))+IF(I48="",0,VLOOKUP(I48,Bausteine!$A$2:$AS$46,5,FALSE))+IF(J48="",0,VLOOKUP(J48,Bausteine!$A$2:$AS$46,5,FALSE))+IF(K48="",0,VLOOKUP(K48,Bausteine!$A$2:$AS$46,5,FALSE))+IF(L48="",0,VLOOKUP(L48,Bausteine!$A$2:$AS$46,5,FALSE))+IF(AC48="",0,VLOOKUP(AC48,Bausteine!$A$2:$AS$46,5,FALSE))+IF(AF48="",0,VLOOKUP(AF48,Bausteine!$A$2:$AS$46,5,FALSE))+IF(AG48="",0,VLOOKUP(AG48,Bausteine!$A$2:$AS$46,5,FALSE))+IF(AH48="",0,VLOOKUP(AH48,Bausteine!$A$2:$AS$46,5,FALSE))</f>
        <v/>
      </c>
      <c r="O48">
        <f>MAX(IF(C48="",0,VLOOKUP(C48,Bausteine!$A$2:$AS$46,6,FALSE)),IF(D48="",0,VLOOKUP(D48,Bausteine!$A$2:$AS$46,6,FALSE)),IF(E48="",0,VLOOKUP(E48,Bausteine!$A$2:$AS$46,6,FALSE)),IF(F48="",0,VLOOKUP(F48,Bausteine!$A$2:$AS$46,6,FALSE)),IF(G48="",0,VLOOKUP(G48,Bausteine!$A$2:$AS$46,6,FALSE)),IF(H48="",0,VLOOKUP(H48,Bausteine!$A$2:$AS$46,6,FALSE)),IF(I48="",0,VLOOKUP(I48,Bausteine!$A$2:$AS$46,6,FALSE)),IF(J48="",0,VLOOKUP(J48,Bausteine!$A$2:$AS$46,6,FALSE)),IF(K48="",0,VLOOKUP(K48,Bausteine!$A$2:$AS$46,6,FALSE)),IF(L48="",0,VLOOKUP(L48,Bausteine!$A$2:$AS$46,6,FALSE)),IF(AC48="",0,VLOOKUP(AC48,Bausteine!$A$2:$AS$46,6,FALSE)),IF(AF48="",0,VLOOKUP(AF48,Bausteine!$A$2:$AS$46,6,FALSE)),IF(AG48="",0,VLOOKUP(AG48,Bausteine!$A$2:$AS$46,6,FALSE)),IF(AH48="",0,VLOOKUP(AH48,Bausteine!$A$2:$AS$46,6,FALSE)),AK48)</f>
        <v/>
      </c>
      <c r="P48">
        <f>IF(C48="",0,VLOOKUP(C48,Bausteine!$A$2:$AS$46,7,FALSE))*IF(F48="",0,VLOOKUP(F48,Bausteine!$A$2:$AS$46,17,FALSE))/100+IF(D48="",0,VLOOKUP(D48,Bausteine!$A$2:$AS$46,7,FALSE))+IF(E48="",0,VLOOKUP(E48,Bausteine!$A$2:$AS$46,7,FALSE))+IF(G48="",0,VLOOKUP(G48,Bausteine!$A$2:$AS$46,7,FALSE))+IF(H48="",0,VLOOKUP(H48,Bausteine!$A$2:$AS$46,7,FALSE))+IF(I48="",0,VLOOKUP(I48,Bausteine!$A$2:$AS$46,7,FALSE))+IF(J48="",0,VLOOKUP(J48,Bausteine!$A$2:$AS$46,7,FALSE))+IF(K48="",0,VLOOKUP(K48,Bausteine!$A$2:$AS$46,7,FALSE))+IF(L48="",0,VLOOKUP(L48,Bausteine!$A$2:$AS$46,7,FALSE))+IF(AC48="",0,VLOOKUP(AC48,Bausteine!$A$2:$AS$46,7,FALSE))+IF(AF48="",0,VLOOKUP(AF48,Bausteine!$A$2:$AS$46,7,FALSE))+IF(AG48="",0,VLOOKUP(AG48,Bausteine!$A$2:$AS$46,7,FALSE))+IF(AH48="",0,VLOOKUP(AH48,Bausteine!$A$2:$AS$46,7,FALSE))+AI48</f>
        <v/>
      </c>
      <c r="Q48">
        <f>N48*Parameter!$B$2</f>
        <v/>
      </c>
      <c r="R48">
        <f>AE48-Q48</f>
        <v/>
      </c>
      <c r="S48">
        <f>IF(C48="",0,VLOOKUP(C48,Bausteine!$A$2:$AS$46,13,FALSE))*IF(F48="",0,VLOOKUP(F48,Bausteine!$A$2:$AS$46,16,FALSE))/100</f>
        <v/>
      </c>
      <c r="T48">
        <f>IF(C48="",0,VLOOKUP(C48,Bausteine!$A$2:$AS$46,8,FALSE))*IF(F48="",0,VLOOKUP(F48,Bausteine!$A$2:$AS$46,15,FALSE))/100+IF(D48="",0,VLOOKUP(D48,Bausteine!$A$2:$AS$46,8,FALSE))+IF(E48="",0,VLOOKUP(E48,Bausteine!$A$2:$AS$46,8,FALSE))+IF(G48="",0,VLOOKUP(G48,Bausteine!$A$2:$AS$46,8,FALSE))+IF(H48="",0,VLOOKUP(H48,Bausteine!$A$2:$AS$46,8,FALSE))+IF(I48="",0,VLOOKUP(I48,Bausteine!$A$2:$AS$46,8,FALSE))+IF(J48="",0,VLOOKUP(J48,Bausteine!$A$2:$AS$46,8,FALSE))+IF(K48="",0,VLOOKUP(K48,Bausteine!$A$2:$AS$46,8,FALSE))+IF(L48="",0,VLOOKUP(L48,Bausteine!$A$2:$AS$46,8,FALSE))+IF(AC48="",0,VLOOKUP(AC48,Bausteine!$A$2:$AS$46,8,FALSE))+IF(AF48="",0,VLOOKUP(AF48,Bausteine!$A$2:$AS$46,8,FALSE))+IF(AG48="",0,VLOOKUP(AG48,Bausteine!$A$2:$AS$46,8,FALSE))+IF(AH48="",0,VLOOKUP(AH48,Bausteine!$A$2:$AS$46,8,FALSE))+AJ48</f>
        <v/>
      </c>
      <c r="U48">
        <f>IF(C48="",0,VLOOKUP(C48,Bausteine!$A$2:$AS$46,9,FALSE))+IF(D48="",0,VLOOKUP(D48,Bausteine!$A$2:$AS$46,9,FALSE))+IF(E48="",0,VLOOKUP(E48,Bausteine!$A$2:$AS$46,9,FALSE))+IF(F48="",0,VLOOKUP(F48,Bausteine!$A$2:$AS$46,9,FALSE))+IF(G48="",0,VLOOKUP(G48,Bausteine!$A$2:$AS$46,9,FALSE))+IF(H48="",0,VLOOKUP(H48,Bausteine!$A$2:$AS$46,9,FALSE))+IF(I48="",0,VLOOKUP(I48,Bausteine!$A$2:$AS$46,9,FALSE))+IF(J48="",0,VLOOKUP(J48,Bausteine!$A$2:$AS$46,9,FALSE))+IF(K48="",0,VLOOKUP(K48,Bausteine!$A$2:$AS$46,9,FALSE))+IF(L48="",0,VLOOKUP(L48,Bausteine!$A$2:$AS$46,9,FALSE))+IF(AC48="",0,VLOOKUP(AC48,Bausteine!$A$2:$AS$46,9,FALSE))+IF(AF48="",0,VLOOKUP(AF48,Bausteine!$A$2:$AS$46,9,FALSE))+IF(AG48="",0,VLOOKUP(AG48,Bausteine!$A$2:$AS$46,9,FALSE))+IF(AH48="",0,VLOOKUP(AH48,Bausteine!$A$2:$AS$46,9,FALSE))</f>
        <v/>
      </c>
      <c r="V48">
        <f>IF(D48="",0,VLOOKUP(D48,Bausteine!$A$2:$AS$46,10,FALSE))-U48/IF(E48="",0,VLOOKUP(E48,Bausteine!$A$2:$AS$46,11,FALSE))</f>
        <v/>
      </c>
      <c r="W48">
        <f>IF(Y48&lt;&gt;"OK","",ROUND(MIN(IF(C48="",0,VLOOKUP(C48,Bausteine!$A$2:$AS$46,21,FALSE)),IF(C48="",0,VLOOKUP(C48,Bausteine!$A$2:$AS$46,20,FALSE))*(V48/T48/(IF(C48="",0,VLOOKUP(C48,Bausteine!$A$2:$AS$46,19,FALSE))/IF(C48="",0,VLOOKUP(C48,Bausteine!$A$2:$AS$46,18,FALSE))))^Parameter!$B$3),0))</f>
        <v/>
      </c>
      <c r="X48">
        <f>IF(F48="",0,VLOOKUP(F48,Bausteine!$A$2:$AS$46,14,FALSE))</f>
        <v/>
      </c>
      <c r="Y48">
        <f>IFERROR(IF(OR(AD48&lt;=0,AD48&gt;1,R48&lt;=0,T48&lt;=0,V48&lt;=0,U48&gt;IF(E48="",0,VLOOKUP(E48,Bausteine!$A$2:$AS$46,12,FALSE)),T48&gt;IF(C48="",0,VLOOKUP(C48,Bausteine!$A$2:$AS$46,22,FALSE)),IF(E48="",0,VLOOKUP(E48,Bausteine!$A$2:$AS$46,11,FALSE))&lt;=0,IF(E48="",0,VLOOKUP(E48,Bausteine!$A$2:$AS$46,11,FALSE))&gt;1),"UNGUELTIG","OK"),"FEHLER")</f>
        <v/>
      </c>
      <c r="Z48" t="n">
        <v>2000</v>
      </c>
      <c r="AA48" t="n">
        <v>50</v>
      </c>
      <c r="AB48" t="inlineStr"/>
      <c r="AC48" t="inlineStr"/>
      <c r="AD48">
        <f>IF(AC48="",1,IF(AC48="",0,VLOOKUP(AC48,Bausteine!$A$2:$AS$46,37,FALSE))/100)</f>
        <v/>
      </c>
      <c r="AE48">
        <f>P48*AD48</f>
        <v/>
      </c>
      <c r="AF48" t="inlineStr"/>
      <c r="AG48" t="inlineStr"/>
      <c r="AH48" t="inlineStr"/>
      <c r="AI48">
        <f>SUMIF(Startbesatzung!$A$2:$A$7,A48,Startbesatzung!$D$2:$D$7)</f>
        <v/>
      </c>
      <c r="AJ48">
        <f>SUMIF(Startbesatzung!$A$2:$A$7,A48,Startbesatzung!$E$2:$E$7)</f>
        <v/>
      </c>
      <c r="AK48">
        <f>MAX(0,IF(Startbesatzung!A2=A48,Startbesatzung!G2,0),IF(Startbesatzung!A3=A48,Startbesatzung!G3,0),IF(Startbesatzung!A4=A48,Startbesatzung!G4,0),IF(Startbesatzung!A5=A48,Startbesatzung!G5,0),IF(Startbesatzung!A6=A48,Startbesatzung!G6,0),IF(Startbesatzung!A7=A48,Startbesatzung!G7,0))</f>
        <v/>
      </c>
      <c r="AL48">
        <f>IF(AF48="","",IF(IF(AH48="",0,VLOOKUP(AH48,Bausteine!$A$2:$AS$46,38,FALSE))&gt;0,IF(AH48="",0,VLOOKUP(AH48,Bausteine!$A$2:$AS$46,38,FALSE)),IF(AG48="",0,VLOOKUP(AG48,Bausteine!$A$2:$AS$46,28,FALSE))))</f>
        <v/>
      </c>
      <c r="AM48">
        <f>IF(AF48="","",IF(AG48="",0,VLOOKUP(AG48,Bausteine!$A$2:$AS$46,44,FALSE)))</f>
        <v/>
      </c>
      <c r="AN48">
        <f>IF(AF48="","",IF(AF48="",0,VLOOKUP(AF48,Bausteine!$A$2:$AS$46,27,FALSE)))</f>
        <v/>
      </c>
      <c r="AO48">
        <f>IF(AF48="","",IF(AF48="",0,VLOOKUP(AF48,Bausteine!$A$2:$AS$46,25,FALSE)))</f>
        <v/>
      </c>
      <c r="AP48">
        <f>IF(AF48="","",IF(AH48="",0,VLOOKUP(AH48,Bausteine!$A$2:$AS$46,29,FALSE)))</f>
        <v/>
      </c>
    </row>
    <row r="49">
      <c r="A49" t="inlineStr">
        <is>
          <t>Heavy Tesla Tank baseline</t>
        </is>
      </c>
      <c r="B49" t="inlineStr">
        <is>
          <t>soviet</t>
        </is>
      </c>
      <c r="C49" t="inlineStr">
        <is>
          <t>heavy-tesla</t>
        </is>
      </c>
      <c r="D49" t="inlineStr">
        <is>
          <t>diesel</t>
        </is>
      </c>
      <c r="E49" t="inlineStr">
        <is>
          <t>baseline-generator</t>
        </is>
      </c>
      <c r="F49" t="inlineStr">
        <is>
          <t>heavy</t>
        </is>
      </c>
      <c r="G49" t="inlineStr">
        <is>
          <t>twin-coil</t>
        </is>
      </c>
      <c r="H49" t="inlineStr">
        <is>
          <t>tesla</t>
        </is>
      </c>
      <c r="I49" t="inlineStr">
        <is>
          <t>discharge</t>
        </is>
      </c>
      <c r="J49" t="inlineStr"/>
      <c r="K49" t="inlineStr"/>
      <c r="L49" t="inlineStr"/>
      <c r="M49">
        <f>IF(C49="",0,VLOOKUP(C49,Bausteine!$A$2:$AS$46,4,FALSE))+IF(D49="",0,VLOOKUP(D49,Bausteine!$A$2:$AS$46,4,FALSE))+IF(E49="",0,VLOOKUP(E49,Bausteine!$A$2:$AS$46,4,FALSE))+IF(F49="",0,VLOOKUP(F49,Bausteine!$A$2:$AS$46,4,FALSE))+IF(G49="",0,VLOOKUP(G49,Bausteine!$A$2:$AS$46,4,FALSE))+IF(H49="",0,VLOOKUP(H49,Bausteine!$A$2:$AS$46,4,FALSE))+IF(I49="",0,VLOOKUP(I49,Bausteine!$A$2:$AS$46,4,FALSE))+IF(J49="",0,VLOOKUP(J49,Bausteine!$A$2:$AS$46,4,FALSE))+IF(K49="",0,VLOOKUP(K49,Bausteine!$A$2:$AS$46,4,FALSE))+IF(L49="",0,VLOOKUP(L49,Bausteine!$A$2:$AS$46,4,FALSE))+IF(AC49="",0,VLOOKUP(AC49,Bausteine!$A$2:$AS$46,4,FALSE))+IF(AF49="",0,VLOOKUP(AF49,Bausteine!$A$2:$AS$46,4,FALSE))+IF(AG49="",0,VLOOKUP(AG49,Bausteine!$A$2:$AS$46,4,FALSE))+IF(AH49="",0,VLOOKUP(AH49,Bausteine!$A$2:$AS$46,4,FALSE))</f>
        <v/>
      </c>
      <c r="N49">
        <f>IF(C49="",0,VLOOKUP(C49,Bausteine!$A$2:$AS$46,5,FALSE))+IF(D49="",0,VLOOKUP(D49,Bausteine!$A$2:$AS$46,5,FALSE))+IF(E49="",0,VLOOKUP(E49,Bausteine!$A$2:$AS$46,5,FALSE))+IF(F49="",0,VLOOKUP(F49,Bausteine!$A$2:$AS$46,5,FALSE))+IF(G49="",0,VLOOKUP(G49,Bausteine!$A$2:$AS$46,5,FALSE))+IF(H49="",0,VLOOKUP(H49,Bausteine!$A$2:$AS$46,5,FALSE))+IF(I49="",0,VLOOKUP(I49,Bausteine!$A$2:$AS$46,5,FALSE))+IF(J49="",0,VLOOKUP(J49,Bausteine!$A$2:$AS$46,5,FALSE))+IF(K49="",0,VLOOKUP(K49,Bausteine!$A$2:$AS$46,5,FALSE))+IF(L49="",0,VLOOKUP(L49,Bausteine!$A$2:$AS$46,5,FALSE))+IF(AC49="",0,VLOOKUP(AC49,Bausteine!$A$2:$AS$46,5,FALSE))+IF(AF49="",0,VLOOKUP(AF49,Bausteine!$A$2:$AS$46,5,FALSE))+IF(AG49="",0,VLOOKUP(AG49,Bausteine!$A$2:$AS$46,5,FALSE))+IF(AH49="",0,VLOOKUP(AH49,Bausteine!$A$2:$AS$46,5,FALSE))</f>
        <v/>
      </c>
      <c r="O49">
        <f>MAX(IF(C49="",0,VLOOKUP(C49,Bausteine!$A$2:$AS$46,6,FALSE)),IF(D49="",0,VLOOKUP(D49,Bausteine!$A$2:$AS$46,6,FALSE)),IF(E49="",0,VLOOKUP(E49,Bausteine!$A$2:$AS$46,6,FALSE)),IF(F49="",0,VLOOKUP(F49,Bausteine!$A$2:$AS$46,6,FALSE)),IF(G49="",0,VLOOKUP(G49,Bausteine!$A$2:$AS$46,6,FALSE)),IF(H49="",0,VLOOKUP(H49,Bausteine!$A$2:$AS$46,6,FALSE)),IF(I49="",0,VLOOKUP(I49,Bausteine!$A$2:$AS$46,6,FALSE)),IF(J49="",0,VLOOKUP(J49,Bausteine!$A$2:$AS$46,6,FALSE)),IF(K49="",0,VLOOKUP(K49,Bausteine!$A$2:$AS$46,6,FALSE)),IF(L49="",0,VLOOKUP(L49,Bausteine!$A$2:$AS$46,6,FALSE)),IF(AC49="",0,VLOOKUP(AC49,Bausteine!$A$2:$AS$46,6,FALSE)),IF(AF49="",0,VLOOKUP(AF49,Bausteine!$A$2:$AS$46,6,FALSE)),IF(AG49="",0,VLOOKUP(AG49,Bausteine!$A$2:$AS$46,6,FALSE)),IF(AH49="",0,VLOOKUP(AH49,Bausteine!$A$2:$AS$46,6,FALSE)),AK49)</f>
        <v/>
      </c>
      <c r="P49">
        <f>IF(C49="",0,VLOOKUP(C49,Bausteine!$A$2:$AS$46,7,FALSE))*IF(F49="",0,VLOOKUP(F49,Bausteine!$A$2:$AS$46,17,FALSE))/100+IF(D49="",0,VLOOKUP(D49,Bausteine!$A$2:$AS$46,7,FALSE))+IF(E49="",0,VLOOKUP(E49,Bausteine!$A$2:$AS$46,7,FALSE))+IF(G49="",0,VLOOKUP(G49,Bausteine!$A$2:$AS$46,7,FALSE))+IF(H49="",0,VLOOKUP(H49,Bausteine!$A$2:$AS$46,7,FALSE))+IF(I49="",0,VLOOKUP(I49,Bausteine!$A$2:$AS$46,7,FALSE))+IF(J49="",0,VLOOKUP(J49,Bausteine!$A$2:$AS$46,7,FALSE))+IF(K49="",0,VLOOKUP(K49,Bausteine!$A$2:$AS$46,7,FALSE))+IF(L49="",0,VLOOKUP(L49,Bausteine!$A$2:$AS$46,7,FALSE))+IF(AC49="",0,VLOOKUP(AC49,Bausteine!$A$2:$AS$46,7,FALSE))+IF(AF49="",0,VLOOKUP(AF49,Bausteine!$A$2:$AS$46,7,FALSE))+IF(AG49="",0,VLOOKUP(AG49,Bausteine!$A$2:$AS$46,7,FALSE))+IF(AH49="",0,VLOOKUP(AH49,Bausteine!$A$2:$AS$46,7,FALSE))+AI49</f>
        <v/>
      </c>
      <c r="Q49">
        <f>N49*Parameter!$B$2</f>
        <v/>
      </c>
      <c r="R49">
        <f>AE49-Q49</f>
        <v/>
      </c>
      <c r="S49">
        <f>IF(C49="",0,VLOOKUP(C49,Bausteine!$A$2:$AS$46,13,FALSE))*IF(F49="",0,VLOOKUP(F49,Bausteine!$A$2:$AS$46,16,FALSE))/100</f>
        <v/>
      </c>
      <c r="T49">
        <f>IF(C49="",0,VLOOKUP(C49,Bausteine!$A$2:$AS$46,8,FALSE))*IF(F49="",0,VLOOKUP(F49,Bausteine!$A$2:$AS$46,15,FALSE))/100+IF(D49="",0,VLOOKUP(D49,Bausteine!$A$2:$AS$46,8,FALSE))+IF(E49="",0,VLOOKUP(E49,Bausteine!$A$2:$AS$46,8,FALSE))+IF(G49="",0,VLOOKUP(G49,Bausteine!$A$2:$AS$46,8,FALSE))+IF(H49="",0,VLOOKUP(H49,Bausteine!$A$2:$AS$46,8,FALSE))+IF(I49="",0,VLOOKUP(I49,Bausteine!$A$2:$AS$46,8,FALSE))+IF(J49="",0,VLOOKUP(J49,Bausteine!$A$2:$AS$46,8,FALSE))+IF(K49="",0,VLOOKUP(K49,Bausteine!$A$2:$AS$46,8,FALSE))+IF(L49="",0,VLOOKUP(L49,Bausteine!$A$2:$AS$46,8,FALSE))+IF(AC49="",0,VLOOKUP(AC49,Bausteine!$A$2:$AS$46,8,FALSE))+IF(AF49="",0,VLOOKUP(AF49,Bausteine!$A$2:$AS$46,8,FALSE))+IF(AG49="",0,VLOOKUP(AG49,Bausteine!$A$2:$AS$46,8,FALSE))+IF(AH49="",0,VLOOKUP(AH49,Bausteine!$A$2:$AS$46,8,FALSE))+AJ49</f>
        <v/>
      </c>
      <c r="U49">
        <f>IF(C49="",0,VLOOKUP(C49,Bausteine!$A$2:$AS$46,9,FALSE))+IF(D49="",0,VLOOKUP(D49,Bausteine!$A$2:$AS$46,9,FALSE))+IF(E49="",0,VLOOKUP(E49,Bausteine!$A$2:$AS$46,9,FALSE))+IF(F49="",0,VLOOKUP(F49,Bausteine!$A$2:$AS$46,9,FALSE))+IF(G49="",0,VLOOKUP(G49,Bausteine!$A$2:$AS$46,9,FALSE))+IF(H49="",0,VLOOKUP(H49,Bausteine!$A$2:$AS$46,9,FALSE))+IF(I49="",0,VLOOKUP(I49,Bausteine!$A$2:$AS$46,9,FALSE))+IF(J49="",0,VLOOKUP(J49,Bausteine!$A$2:$AS$46,9,FALSE))+IF(K49="",0,VLOOKUP(K49,Bausteine!$A$2:$AS$46,9,FALSE))+IF(L49="",0,VLOOKUP(L49,Bausteine!$A$2:$AS$46,9,FALSE))+IF(AC49="",0,VLOOKUP(AC49,Bausteine!$A$2:$AS$46,9,FALSE))+IF(AF49="",0,VLOOKUP(AF49,Bausteine!$A$2:$AS$46,9,FALSE))+IF(AG49="",0,VLOOKUP(AG49,Bausteine!$A$2:$AS$46,9,FALSE))+IF(AH49="",0,VLOOKUP(AH49,Bausteine!$A$2:$AS$46,9,FALSE))</f>
        <v/>
      </c>
      <c r="V49">
        <f>IF(D49="",0,VLOOKUP(D49,Bausteine!$A$2:$AS$46,10,FALSE))-U49/IF(E49="",0,VLOOKUP(E49,Bausteine!$A$2:$AS$46,11,FALSE))</f>
        <v/>
      </c>
      <c r="W49">
        <f>IF(Y49&lt;&gt;"OK","",ROUND(MIN(IF(C49="",0,VLOOKUP(C49,Bausteine!$A$2:$AS$46,21,FALSE)),IF(C49="",0,VLOOKUP(C49,Bausteine!$A$2:$AS$46,20,FALSE))*(V49/T49/(IF(C49="",0,VLOOKUP(C49,Bausteine!$A$2:$AS$46,19,FALSE))/IF(C49="",0,VLOOKUP(C49,Bausteine!$A$2:$AS$46,18,FALSE))))^Parameter!$B$3),0))</f>
        <v/>
      </c>
      <c r="X49">
        <f>IF(F49="",0,VLOOKUP(F49,Bausteine!$A$2:$AS$46,14,FALSE))</f>
        <v/>
      </c>
      <c r="Y49">
        <f>IFERROR(IF(OR(AD49&lt;=0,AD49&gt;1,R49&lt;=0,T49&lt;=0,V49&lt;=0,U49&gt;IF(E49="",0,VLOOKUP(E49,Bausteine!$A$2:$AS$46,12,FALSE)),T49&gt;IF(C49="",0,VLOOKUP(C49,Bausteine!$A$2:$AS$46,22,FALSE)),IF(E49="",0,VLOOKUP(E49,Bausteine!$A$2:$AS$46,11,FALSE))&lt;=0,IF(E49="",0,VLOOKUP(E49,Bausteine!$A$2:$AS$46,11,FALSE))&gt;1),"UNGUELTIG","OK"),"FEHLER")</f>
        <v/>
      </c>
      <c r="Z49" t="n">
        <v>1350</v>
      </c>
      <c r="AA49" t="n">
        <v>100</v>
      </c>
      <c r="AB49" t="inlineStr"/>
      <c r="AC49" t="inlineStr"/>
      <c r="AD49">
        <f>IF(AC49="",1,IF(AC49="",0,VLOOKUP(AC49,Bausteine!$A$2:$AS$46,37,FALSE))/100)</f>
        <v/>
      </c>
      <c r="AE49">
        <f>P49*AD49</f>
        <v/>
      </c>
      <c r="AF49" t="inlineStr"/>
      <c r="AG49" t="inlineStr"/>
      <c r="AH49" t="inlineStr"/>
      <c r="AI49">
        <f>SUMIF(Startbesatzung!$A$2:$A$7,A49,Startbesatzung!$D$2:$D$7)</f>
        <v/>
      </c>
      <c r="AJ49">
        <f>SUMIF(Startbesatzung!$A$2:$A$7,A49,Startbesatzung!$E$2:$E$7)</f>
        <v/>
      </c>
      <c r="AK49">
        <f>MAX(0,IF(Startbesatzung!A2=A49,Startbesatzung!G2,0),IF(Startbesatzung!A3=A49,Startbesatzung!G3,0),IF(Startbesatzung!A4=A49,Startbesatzung!G4,0),IF(Startbesatzung!A5=A49,Startbesatzung!G5,0),IF(Startbesatzung!A6=A49,Startbesatzung!G6,0),IF(Startbesatzung!A7=A49,Startbesatzung!G7,0))</f>
        <v/>
      </c>
      <c r="AL49">
        <f>IF(AF49="","",IF(IF(AH49="",0,VLOOKUP(AH49,Bausteine!$A$2:$AS$46,38,FALSE))&gt;0,IF(AH49="",0,VLOOKUP(AH49,Bausteine!$A$2:$AS$46,38,FALSE)),IF(AG49="",0,VLOOKUP(AG49,Bausteine!$A$2:$AS$46,28,FALSE))))</f>
        <v/>
      </c>
      <c r="AM49">
        <f>IF(AF49="","",IF(AG49="",0,VLOOKUP(AG49,Bausteine!$A$2:$AS$46,44,FALSE)))</f>
        <v/>
      </c>
      <c r="AN49">
        <f>IF(AF49="","",IF(AF49="",0,VLOOKUP(AF49,Bausteine!$A$2:$AS$46,27,FALSE)))</f>
        <v/>
      </c>
      <c r="AO49">
        <f>IF(AF49="","",IF(AF49="",0,VLOOKUP(AF49,Bausteine!$A$2:$AS$46,25,FALSE)))</f>
        <v/>
      </c>
      <c r="AP49">
        <f>IF(AF49="","",IF(AH49="",0,VLOOKUP(AH49,Bausteine!$A$2:$AS$46,29,FALSE)))</f>
        <v/>
      </c>
    </row>
  </sheetData>
  <dataValidations count="1">
    <dataValidation sqref="C2:L49 AC2:AC49 AF2:AH49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Overlord Gatling</t>
        </is>
      </c>
      <c r="B2" t="n">
        <v>2000</v>
      </c>
      <c r="C2">
        <f>Entwuerfe!AE8</f>
        <v/>
      </c>
      <c r="D2">
        <f>Entwuerfe!Q8</f>
        <v/>
      </c>
      <c r="E2">
        <f>Entwuerfe!R8</f>
        <v/>
      </c>
      <c r="F2">
        <f>E2-B2</f>
        <v/>
      </c>
      <c r="G2" s="2">
        <f>IF(B2=0,0,F2/B2)</f>
        <v/>
      </c>
      <c r="H2" t="n">
        <v>95000</v>
      </c>
      <c r="I2">
        <f>Entwuerfe!S8</f>
        <v/>
      </c>
      <c r="J2" t="n">
        <v>56</v>
      </c>
      <c r="K2">
        <f>Entwuerfe!W8</f>
        <v/>
      </c>
      <c r="L2">
        <f>Entwuerfe!N8</f>
        <v/>
      </c>
      <c r="M2">
        <f>Entwuerfe!M8</f>
        <v/>
      </c>
      <c r="N2">
        <f>Entwuerfe!Y8</f>
        <v/>
      </c>
    </row>
    <row r="3">
      <c r="A3" t="inlineStr">
        <is>
          <t>Overlord Gatling PDL</t>
        </is>
      </c>
      <c r="B3" t="n">
        <v>2800</v>
      </c>
      <c r="C3">
        <f>Entwuerfe!AE9</f>
        <v/>
      </c>
      <c r="D3">
        <f>Entwuerfe!Q9</f>
        <v/>
      </c>
      <c r="E3">
        <f>Entwuerfe!R9</f>
        <v/>
      </c>
      <c r="F3">
        <f>E3-B3</f>
        <v/>
      </c>
      <c r="G3" s="2">
        <f>IF(B3=0,0,F3/B3)</f>
        <v/>
      </c>
      <c r="H3" t="n">
        <v>95000</v>
      </c>
      <c r="I3">
        <f>Entwuerfe!S9</f>
        <v/>
      </c>
      <c r="J3" t="n">
        <v>56</v>
      </c>
      <c r="K3">
        <f>Entwuerfe!W9</f>
        <v/>
      </c>
      <c r="L3">
        <f>Entwuerfe!N9</f>
        <v/>
      </c>
      <c r="M3">
        <f>Entwuerfe!M9</f>
        <v/>
      </c>
      <c r="N3">
        <f>Entwuerfe!Y9</f>
        <v/>
      </c>
    </row>
    <row r="4">
      <c r="A4" t="inlineStr">
        <is>
          <t>Overlord Gatling Reflector</t>
        </is>
      </c>
      <c r="B4" t="n">
        <v>2000</v>
      </c>
      <c r="C4">
        <f>Entwuerfe!AE10</f>
        <v/>
      </c>
      <c r="D4">
        <f>Entwuerfe!Q10</f>
        <v/>
      </c>
      <c r="E4">
        <f>Entwuerfe!R10</f>
        <v/>
      </c>
      <c r="F4">
        <f>E4-B4</f>
        <v/>
      </c>
      <c r="G4" s="2">
        <f>IF(B4=0,0,F4/B4)</f>
        <v/>
      </c>
      <c r="H4" t="n">
        <v>95000</v>
      </c>
      <c r="I4">
        <f>Entwuerfe!S10</f>
        <v/>
      </c>
      <c r="J4" t="n">
        <v>56</v>
      </c>
      <c r="K4">
        <f>Entwuerfe!W10</f>
        <v/>
      </c>
      <c r="L4">
        <f>Entwuerfe!N10</f>
        <v/>
      </c>
      <c r="M4">
        <f>Entwuerfe!M10</f>
        <v/>
      </c>
      <c r="N4">
        <f>Entwuerfe!Y10</f>
        <v/>
      </c>
    </row>
    <row r="5">
      <c r="A5" t="inlineStr">
        <is>
          <t>Overlord Bunker</t>
        </is>
      </c>
      <c r="B5" t="n">
        <v>3000</v>
      </c>
      <c r="C5">
        <f>Entwuerfe!AE14</f>
        <v/>
      </c>
      <c r="D5">
        <f>Entwuerfe!Q14</f>
        <v/>
      </c>
      <c r="E5">
        <f>Entwuerfe!R14</f>
        <v/>
      </c>
      <c r="F5">
        <f>E5-B5</f>
        <v/>
      </c>
      <c r="G5" s="2">
        <f>IF(B5=0,0,F5/B5)</f>
        <v/>
      </c>
      <c r="H5" t="n">
        <v>95000</v>
      </c>
      <c r="I5">
        <f>Entwuerfe!S14</f>
        <v/>
      </c>
      <c r="J5" t="n">
        <v>56</v>
      </c>
      <c r="K5">
        <f>Entwuerfe!W14</f>
        <v/>
      </c>
      <c r="L5">
        <f>Entwuerfe!N14</f>
        <v/>
      </c>
      <c r="M5">
        <f>Entwuerfe!M14</f>
        <v/>
      </c>
      <c r="N5">
        <f>Entwuerfe!Y14</f>
        <v/>
      </c>
    </row>
    <row r="6">
      <c r="A6" t="inlineStr">
        <is>
          <t>Overlord Bunker PDL</t>
        </is>
      </c>
      <c r="B6" t="n">
        <v>3600</v>
      </c>
      <c r="C6">
        <f>Entwuerfe!AE15</f>
        <v/>
      </c>
      <c r="D6">
        <f>Entwuerfe!Q15</f>
        <v/>
      </c>
      <c r="E6">
        <f>Entwuerfe!R15</f>
        <v/>
      </c>
      <c r="F6">
        <f>E6-B6</f>
        <v/>
      </c>
      <c r="G6" s="2">
        <f>IF(B6=0,0,F6/B6)</f>
        <v/>
      </c>
      <c r="H6" t="n">
        <v>95000</v>
      </c>
      <c r="I6">
        <f>Entwuerfe!S15</f>
        <v/>
      </c>
      <c r="J6" t="n">
        <v>56</v>
      </c>
      <c r="K6">
        <f>Entwuerfe!W15</f>
        <v/>
      </c>
      <c r="L6">
        <f>Entwuerfe!N15</f>
        <v/>
      </c>
      <c r="M6">
        <f>Entwuerfe!M15</f>
        <v/>
      </c>
      <c r="N6">
        <f>Entwuerfe!Y15</f>
        <v/>
      </c>
    </row>
    <row r="7">
      <c r="A7" t="inlineStr">
        <is>
          <t>Overlord Bunker Reflector</t>
        </is>
      </c>
      <c r="B7" t="n">
        <v>3000</v>
      </c>
      <c r="C7">
        <f>Entwuerfe!AE16</f>
        <v/>
      </c>
      <c r="D7">
        <f>Entwuerfe!Q16</f>
        <v/>
      </c>
      <c r="E7">
        <f>Entwuerfe!R16</f>
        <v/>
      </c>
      <c r="F7">
        <f>E7-B7</f>
        <v/>
      </c>
      <c r="G7" s="2">
        <f>IF(B7=0,0,F7/B7)</f>
        <v/>
      </c>
      <c r="H7" t="n">
        <v>95000</v>
      </c>
      <c r="I7">
        <f>Entwuerfe!S16</f>
        <v/>
      </c>
      <c r="J7" t="n">
        <v>56</v>
      </c>
      <c r="K7">
        <f>Entwuerfe!W16</f>
        <v/>
      </c>
      <c r="L7">
        <f>Entwuerfe!N16</f>
        <v/>
      </c>
      <c r="M7">
        <f>Entwuerfe!M16</f>
        <v/>
      </c>
      <c r="N7">
        <f>Entwuerfe!Y16</f>
        <v/>
      </c>
    </row>
    <row r="8">
      <c r="A8" t="inlineStr">
        <is>
          <t>Overlord baseline</t>
        </is>
      </c>
      <c r="B8" t="n">
        <v>2000</v>
      </c>
      <c r="C8">
        <f>Entwuerfe!AE17</f>
        <v/>
      </c>
      <c r="D8">
        <f>Entwuerfe!Q17</f>
        <v/>
      </c>
      <c r="E8">
        <f>Entwuerfe!R17</f>
        <v/>
      </c>
      <c r="F8">
        <f>E8-B8</f>
        <v/>
      </c>
      <c r="G8" s="2">
        <f>IF(B8=0,0,F8/B8)</f>
        <v/>
      </c>
      <c r="H8" t="n">
        <v>95000</v>
      </c>
      <c r="I8">
        <f>Entwuerfe!S17</f>
        <v/>
      </c>
      <c r="J8" t="n">
        <v>56</v>
      </c>
      <c r="K8">
        <f>Entwuerfe!W17</f>
        <v/>
      </c>
      <c r="L8">
        <f>Entwuerfe!N17</f>
        <v/>
      </c>
      <c r="M8">
        <f>Entwuerfe!M17</f>
        <v/>
      </c>
      <c r="N8">
        <f>Entwuerfe!Y17</f>
        <v/>
      </c>
    </row>
    <row r="9">
      <c r="A9" t="inlineStr">
        <is>
          <t>Overlord Nuclear Shells</t>
        </is>
      </c>
      <c r="B9" t="n">
        <v>2500</v>
      </c>
      <c r="C9">
        <f>Entwuerfe!AE18</f>
        <v/>
      </c>
      <c r="D9">
        <f>Entwuerfe!Q18</f>
        <v/>
      </c>
      <c r="E9">
        <f>Entwuerfe!R18</f>
        <v/>
      </c>
      <c r="F9">
        <f>E9-B9</f>
        <v/>
      </c>
      <c r="G9" s="2">
        <f>IF(B9=0,0,F9/B9)</f>
        <v/>
      </c>
      <c r="H9" t="n">
        <v>95000</v>
      </c>
      <c r="I9">
        <f>Entwuerfe!S18</f>
        <v/>
      </c>
      <c r="J9" t="n">
        <v>56</v>
      </c>
      <c r="K9">
        <f>Entwuerfe!W18</f>
        <v/>
      </c>
      <c r="L9">
        <f>Entwuerfe!N18</f>
        <v/>
      </c>
      <c r="M9">
        <f>Entwuerfe!M18</f>
        <v/>
      </c>
      <c r="N9">
        <f>Entwuerfe!Y18</f>
        <v/>
      </c>
    </row>
    <row r="10">
      <c r="A10" t="inlineStr">
        <is>
          <t>Overlord Nuclear Shells PDL</t>
        </is>
      </c>
      <c r="B10" t="n">
        <v>3000</v>
      </c>
      <c r="C10">
        <f>Entwuerfe!AE19</f>
        <v/>
      </c>
      <c r="D10">
        <f>Entwuerfe!Q19</f>
        <v/>
      </c>
      <c r="E10">
        <f>Entwuerfe!R19</f>
        <v/>
      </c>
      <c r="F10">
        <f>E10-B10</f>
        <v/>
      </c>
      <c r="G10" s="2">
        <f>IF(B10=0,0,F10/B10)</f>
        <v/>
      </c>
      <c r="H10" t="n">
        <v>95000</v>
      </c>
      <c r="I10">
        <f>Entwuerfe!S19</f>
        <v/>
      </c>
      <c r="J10" t="n">
        <v>56</v>
      </c>
      <c r="K10">
        <f>Entwuerfe!W19</f>
        <v/>
      </c>
      <c r="L10">
        <f>Entwuerfe!N19</f>
        <v/>
      </c>
      <c r="M10">
        <f>Entwuerfe!M19</f>
        <v/>
      </c>
      <c r="N10">
        <f>Entwuerfe!Y19</f>
        <v/>
      </c>
    </row>
    <row r="11">
      <c r="A11" t="inlineStr">
        <is>
          <t>Overlord Nuclear Shells Reflector</t>
        </is>
      </c>
      <c r="B11" t="n">
        <v>2500</v>
      </c>
      <c r="C11">
        <f>Entwuerfe!AE20</f>
        <v/>
      </c>
      <c r="D11">
        <f>Entwuerfe!Q20</f>
        <v/>
      </c>
      <c r="E11">
        <f>Entwuerfe!R20</f>
        <v/>
      </c>
      <c r="F11">
        <f>E11-B11</f>
        <v/>
      </c>
      <c r="G11" s="2">
        <f>IF(B11=0,0,F11/B11)</f>
        <v/>
      </c>
      <c r="H11" t="n">
        <v>95000</v>
      </c>
      <c r="I11">
        <f>Entwuerfe!S20</f>
        <v/>
      </c>
      <c r="J11" t="n">
        <v>56</v>
      </c>
      <c r="K11">
        <f>Entwuerfe!W20</f>
        <v/>
      </c>
      <c r="L11">
        <f>Entwuerfe!N20</f>
        <v/>
      </c>
      <c r="M11">
        <f>Entwuerfe!M20</f>
        <v/>
      </c>
      <c r="N11">
        <f>Entwuerfe!Y20</f>
        <v/>
      </c>
    </row>
    <row r="12">
      <c r="A12" t="inlineStr">
        <is>
          <t>Overlord Propaganda</t>
        </is>
      </c>
      <c r="B12" t="n">
        <v>2200</v>
      </c>
      <c r="C12">
        <f>Entwuerfe!AE21</f>
        <v/>
      </c>
      <c r="D12">
        <f>Entwuerfe!Q21</f>
        <v/>
      </c>
      <c r="E12">
        <f>Entwuerfe!R21</f>
        <v/>
      </c>
      <c r="F12">
        <f>E12-B12</f>
        <v/>
      </c>
      <c r="G12" s="2">
        <f>IF(B12=0,0,F12/B12)</f>
        <v/>
      </c>
      <c r="H12" t="n">
        <v>95000</v>
      </c>
      <c r="I12">
        <f>Entwuerfe!S21</f>
        <v/>
      </c>
      <c r="J12" t="n">
        <v>56</v>
      </c>
      <c r="K12">
        <f>Entwuerfe!W21</f>
        <v/>
      </c>
      <c r="L12">
        <f>Entwuerfe!N21</f>
        <v/>
      </c>
      <c r="M12">
        <f>Entwuerfe!M21</f>
        <v/>
      </c>
      <c r="N12">
        <f>Entwuerfe!Y21</f>
        <v/>
      </c>
    </row>
    <row r="13">
      <c r="A13" t="inlineStr">
        <is>
          <t>Overlord Propaganda PDL</t>
        </is>
      </c>
      <c r="B13" t="n">
        <v>2800</v>
      </c>
      <c r="C13">
        <f>Entwuerfe!AE22</f>
        <v/>
      </c>
      <c r="D13">
        <f>Entwuerfe!Q22</f>
        <v/>
      </c>
      <c r="E13">
        <f>Entwuerfe!R22</f>
        <v/>
      </c>
      <c r="F13">
        <f>E13-B13</f>
        <v/>
      </c>
      <c r="G13" s="2">
        <f>IF(B13=0,0,F13/B13)</f>
        <v/>
      </c>
      <c r="H13" t="n">
        <v>95000</v>
      </c>
      <c r="I13">
        <f>Entwuerfe!S22</f>
        <v/>
      </c>
      <c r="J13" t="n">
        <v>56</v>
      </c>
      <c r="K13">
        <f>Entwuerfe!W22</f>
        <v/>
      </c>
      <c r="L13">
        <f>Entwuerfe!N22</f>
        <v/>
      </c>
      <c r="M13">
        <f>Entwuerfe!M22</f>
        <v/>
      </c>
      <c r="N13">
        <f>Entwuerfe!Y22</f>
        <v/>
      </c>
    </row>
    <row r="14">
      <c r="A14" t="inlineStr">
        <is>
          <t>Overlord Propaganda Reflector</t>
        </is>
      </c>
      <c r="B14" t="n">
        <v>2200</v>
      </c>
      <c r="C14">
        <f>Entwuerfe!AE23</f>
        <v/>
      </c>
      <c r="D14">
        <f>Entwuerfe!Q23</f>
        <v/>
      </c>
      <c r="E14">
        <f>Entwuerfe!R23</f>
        <v/>
      </c>
      <c r="F14">
        <f>E14-B14</f>
        <v/>
      </c>
      <c r="G14" s="2">
        <f>IF(B14=0,0,F14/B14)</f>
        <v/>
      </c>
      <c r="H14" t="n">
        <v>95000</v>
      </c>
      <c r="I14">
        <f>Entwuerfe!S23</f>
        <v/>
      </c>
      <c r="J14" t="n">
        <v>56</v>
      </c>
      <c r="K14">
        <f>Entwuerfe!W23</f>
        <v/>
      </c>
      <c r="L14">
        <f>Entwuerfe!N23</f>
        <v/>
      </c>
      <c r="M14">
        <f>Entwuerfe!M23</f>
        <v/>
      </c>
      <c r="N14">
        <f>Entwuerfe!Y23</f>
        <v/>
      </c>
    </row>
    <row r="15">
      <c r="A15" t="inlineStr">
        <is>
          <t>Dragon Tank</t>
        </is>
      </c>
      <c r="B15" t="n">
        <v>600</v>
      </c>
      <c r="C15">
        <f>Entwuerfe!AE24</f>
        <v/>
      </c>
      <c r="D15">
        <f>Entwuerfe!Q24</f>
        <v/>
      </c>
      <c r="E15">
        <f>Entwuerfe!R24</f>
        <v/>
      </c>
      <c r="F15">
        <f>E15-B15</f>
        <v/>
      </c>
      <c r="G15" s="2">
        <f>IF(B15=0,0,F15/B15)</f>
        <v/>
      </c>
      <c r="H15" t="n">
        <v>28000</v>
      </c>
      <c r="I15">
        <f>Entwuerfe!S24</f>
        <v/>
      </c>
      <c r="J15" t="n">
        <v>103</v>
      </c>
      <c r="K15">
        <f>Entwuerfe!W24</f>
        <v/>
      </c>
      <c r="L15">
        <f>Entwuerfe!N24</f>
        <v/>
      </c>
      <c r="M15">
        <f>Entwuerfe!M24</f>
        <v/>
      </c>
      <c r="N15">
        <f>Entwuerfe!Y24</f>
        <v/>
      </c>
    </row>
    <row r="16">
      <c r="A16" t="inlineStr">
        <is>
          <t>Dragon Tank PDL</t>
        </is>
      </c>
      <c r="B16" t="n">
        <v>1200</v>
      </c>
      <c r="C16">
        <f>Entwuerfe!AE25</f>
        <v/>
      </c>
      <c r="D16">
        <f>Entwuerfe!Q25</f>
        <v/>
      </c>
      <c r="E16">
        <f>Entwuerfe!R25</f>
        <v/>
      </c>
      <c r="F16">
        <f>E16-B16</f>
        <v/>
      </c>
      <c r="G16" s="2">
        <f>IF(B16=0,0,F16/B16)</f>
        <v/>
      </c>
      <c r="H16" t="n">
        <v>28000</v>
      </c>
      <c r="I16">
        <f>Entwuerfe!S25</f>
        <v/>
      </c>
      <c r="J16" t="n">
        <v>103</v>
      </c>
      <c r="K16">
        <f>Entwuerfe!W25</f>
        <v/>
      </c>
      <c r="L16">
        <f>Entwuerfe!N25</f>
        <v/>
      </c>
      <c r="M16">
        <f>Entwuerfe!M25</f>
        <v/>
      </c>
      <c r="N16">
        <f>Entwuerfe!Y25</f>
        <v/>
      </c>
    </row>
    <row r="17">
      <c r="A17" t="inlineStr">
        <is>
          <t>Dragon Tank Reflector</t>
        </is>
      </c>
      <c r="B17" t="n">
        <v>600</v>
      </c>
      <c r="C17">
        <f>Entwuerfe!AE26</f>
        <v/>
      </c>
      <c r="D17">
        <f>Entwuerfe!Q26</f>
        <v/>
      </c>
      <c r="E17">
        <f>Entwuerfe!R26</f>
        <v/>
      </c>
      <c r="F17">
        <f>E17-B17</f>
        <v/>
      </c>
      <c r="G17" s="2">
        <f>IF(B17=0,0,F17/B17)</f>
        <v/>
      </c>
      <c r="H17" t="n">
        <v>28000</v>
      </c>
      <c r="I17">
        <f>Entwuerfe!S26</f>
        <v/>
      </c>
      <c r="J17" t="n">
        <v>103</v>
      </c>
      <c r="K17">
        <f>Entwuerfe!W26</f>
        <v/>
      </c>
      <c r="L17">
        <f>Entwuerfe!N26</f>
        <v/>
      </c>
      <c r="M17">
        <f>Entwuerfe!M26</f>
        <v/>
      </c>
      <c r="N17">
        <f>Entwuerfe!Y26</f>
        <v/>
      </c>
    </row>
    <row r="18">
      <c r="A18" t="inlineStr">
        <is>
          <t>Gatling Tank</t>
        </is>
      </c>
      <c r="B18" t="n">
        <v>800</v>
      </c>
      <c r="C18">
        <f>Entwuerfe!AE27</f>
        <v/>
      </c>
      <c r="D18">
        <f>Entwuerfe!Q27</f>
        <v/>
      </c>
      <c r="E18">
        <f>Entwuerfe!R27</f>
        <v/>
      </c>
      <c r="F18">
        <f>E18-B18</f>
        <v/>
      </c>
      <c r="G18" s="2">
        <f>IF(B18=0,0,F18/B18)</f>
        <v/>
      </c>
      <c r="H18" t="n">
        <v>30000</v>
      </c>
      <c r="I18">
        <f>Entwuerfe!S27</f>
        <v/>
      </c>
      <c r="J18" t="n">
        <v>108</v>
      </c>
      <c r="K18">
        <f>Entwuerfe!W27</f>
        <v/>
      </c>
      <c r="L18">
        <f>Entwuerfe!N27</f>
        <v/>
      </c>
      <c r="M18">
        <f>Entwuerfe!M27</f>
        <v/>
      </c>
      <c r="N18">
        <f>Entwuerfe!Y27</f>
        <v/>
      </c>
    </row>
    <row r="19">
      <c r="A19" t="inlineStr">
        <is>
          <t>Gatling Tank PDL</t>
        </is>
      </c>
      <c r="B19" t="n">
        <v>1400</v>
      </c>
      <c r="C19">
        <f>Entwuerfe!AE28</f>
        <v/>
      </c>
      <c r="D19">
        <f>Entwuerfe!Q28</f>
        <v/>
      </c>
      <c r="E19">
        <f>Entwuerfe!R28</f>
        <v/>
      </c>
      <c r="F19">
        <f>E19-B19</f>
        <v/>
      </c>
      <c r="G19" s="2">
        <f>IF(B19=0,0,F19/B19)</f>
        <v/>
      </c>
      <c r="H19" t="n">
        <v>30000</v>
      </c>
      <c r="I19">
        <f>Entwuerfe!S28</f>
        <v/>
      </c>
      <c r="J19" t="n">
        <v>108</v>
      </c>
      <c r="K19">
        <f>Entwuerfe!W28</f>
        <v/>
      </c>
      <c r="L19">
        <f>Entwuerfe!N28</f>
        <v/>
      </c>
      <c r="M19">
        <f>Entwuerfe!M28</f>
        <v/>
      </c>
      <c r="N19">
        <f>Entwuerfe!Y28</f>
        <v/>
      </c>
    </row>
    <row r="20">
      <c r="A20" t="inlineStr">
        <is>
          <t>Gatling Tank Reflector</t>
        </is>
      </c>
      <c r="B20" t="n">
        <v>800</v>
      </c>
      <c r="C20">
        <f>Entwuerfe!AE29</f>
        <v/>
      </c>
      <c r="D20">
        <f>Entwuerfe!Q29</f>
        <v/>
      </c>
      <c r="E20">
        <f>Entwuerfe!R29</f>
        <v/>
      </c>
      <c r="F20">
        <f>E20-B20</f>
        <v/>
      </c>
      <c r="G20" s="2">
        <f>IF(B20=0,0,F20/B20)</f>
        <v/>
      </c>
      <c r="H20" t="n">
        <v>30000</v>
      </c>
      <c r="I20">
        <f>Entwuerfe!S29</f>
        <v/>
      </c>
      <c r="J20" t="n">
        <v>108</v>
      </c>
      <c r="K20">
        <f>Entwuerfe!W29</f>
        <v/>
      </c>
      <c r="L20">
        <f>Entwuerfe!N29</f>
        <v/>
      </c>
      <c r="M20">
        <f>Entwuerfe!M29</f>
        <v/>
      </c>
      <c r="N20">
        <f>Entwuerfe!Y29</f>
        <v/>
      </c>
    </row>
    <row r="21">
      <c r="A21" t="inlineStr">
        <is>
          <t>Battlemaster Nuclear Shells</t>
        </is>
      </c>
      <c r="B21" t="n">
        <v>950</v>
      </c>
      <c r="C21">
        <f>Entwuerfe!AE30</f>
        <v/>
      </c>
      <c r="D21">
        <f>Entwuerfe!Q30</f>
        <v/>
      </c>
      <c r="E21">
        <f>Entwuerfe!R30</f>
        <v/>
      </c>
      <c r="F21">
        <f>E21-B21</f>
        <v/>
      </c>
      <c r="G21" s="2">
        <f>IF(B21=0,0,F21/B21)</f>
        <v/>
      </c>
      <c r="H21" t="n">
        <v>40000</v>
      </c>
      <c r="I21">
        <f>Entwuerfe!S30</f>
        <v/>
      </c>
      <c r="J21" t="n">
        <v>100</v>
      </c>
      <c r="K21">
        <f>Entwuerfe!W30</f>
        <v/>
      </c>
      <c r="L21">
        <f>Entwuerfe!N30</f>
        <v/>
      </c>
      <c r="M21">
        <f>Entwuerfe!M30</f>
        <v/>
      </c>
      <c r="N21">
        <f>Entwuerfe!Y30</f>
        <v/>
      </c>
    </row>
    <row r="22">
      <c r="A22" t="inlineStr">
        <is>
          <t>Battlemaster Nuclear Shells PDL</t>
        </is>
      </c>
      <c r="B22" t="n">
        <v>1600</v>
      </c>
      <c r="C22">
        <f>Entwuerfe!AE31</f>
        <v/>
      </c>
      <c r="D22">
        <f>Entwuerfe!Q31</f>
        <v/>
      </c>
      <c r="E22">
        <f>Entwuerfe!R31</f>
        <v/>
      </c>
      <c r="F22">
        <f>E22-B22</f>
        <v/>
      </c>
      <c r="G22" s="2">
        <f>IF(B22=0,0,F22/B22)</f>
        <v/>
      </c>
      <c r="H22" t="n">
        <v>40000</v>
      </c>
      <c r="I22">
        <f>Entwuerfe!S31</f>
        <v/>
      </c>
      <c r="J22" t="n">
        <v>100</v>
      </c>
      <c r="K22">
        <f>Entwuerfe!W31</f>
        <v/>
      </c>
      <c r="L22">
        <f>Entwuerfe!N31</f>
        <v/>
      </c>
      <c r="M22">
        <f>Entwuerfe!M31</f>
        <v/>
      </c>
      <c r="N22">
        <f>Entwuerfe!Y31</f>
        <v/>
      </c>
    </row>
    <row r="23">
      <c r="A23" t="inlineStr">
        <is>
          <t>Battlemaster Nuclear Shells Reflector</t>
        </is>
      </c>
      <c r="B23" t="n">
        <v>950</v>
      </c>
      <c r="C23">
        <f>Entwuerfe!AE32</f>
        <v/>
      </c>
      <c r="D23">
        <f>Entwuerfe!Q32</f>
        <v/>
      </c>
      <c r="E23">
        <f>Entwuerfe!R32</f>
        <v/>
      </c>
      <c r="F23">
        <f>E23-B23</f>
        <v/>
      </c>
      <c r="G23" s="2">
        <f>IF(B23=0,0,F23/B23)</f>
        <v/>
      </c>
      <c r="H23" t="n">
        <v>40000</v>
      </c>
      <c r="I23">
        <f>Entwuerfe!S32</f>
        <v/>
      </c>
      <c r="J23" t="n">
        <v>100</v>
      </c>
      <c r="K23">
        <f>Entwuerfe!W32</f>
        <v/>
      </c>
      <c r="L23">
        <f>Entwuerfe!N32</f>
        <v/>
      </c>
      <c r="M23">
        <f>Entwuerfe!M32</f>
        <v/>
      </c>
      <c r="N23">
        <f>Entwuerfe!Y32</f>
        <v/>
      </c>
    </row>
    <row r="24">
      <c r="A24" t="inlineStr">
        <is>
          <t>Battlemaster Mass Production</t>
        </is>
      </c>
      <c r="B24" t="n">
        <v>600</v>
      </c>
      <c r="C24">
        <f>Entwuerfe!AE33</f>
        <v/>
      </c>
      <c r="D24">
        <f>Entwuerfe!Q33</f>
        <v/>
      </c>
      <c r="E24">
        <f>Entwuerfe!R33</f>
        <v/>
      </c>
      <c r="F24">
        <f>E24-B24</f>
        <v/>
      </c>
      <c r="G24" s="2">
        <f>IF(B24=0,0,F24/B24)</f>
        <v/>
      </c>
      <c r="H24" t="n">
        <v>40000</v>
      </c>
      <c r="I24">
        <f>Entwuerfe!S33</f>
        <v/>
      </c>
      <c r="J24" t="n">
        <v>100</v>
      </c>
      <c r="K24">
        <f>Entwuerfe!W33</f>
        <v/>
      </c>
      <c r="L24">
        <f>Entwuerfe!N33</f>
        <v/>
      </c>
      <c r="M24">
        <f>Entwuerfe!M33</f>
        <v/>
      </c>
      <c r="N24">
        <f>Entwuerfe!Y33</f>
        <v/>
      </c>
    </row>
    <row r="25">
      <c r="A25" t="inlineStr">
        <is>
          <t>Battlemaster Mass Production PDL</t>
        </is>
      </c>
      <c r="B25" t="n">
        <v>1000</v>
      </c>
      <c r="C25">
        <f>Entwuerfe!AE34</f>
        <v/>
      </c>
      <c r="D25">
        <f>Entwuerfe!Q34</f>
        <v/>
      </c>
      <c r="E25">
        <f>Entwuerfe!R34</f>
        <v/>
      </c>
      <c r="F25">
        <f>E25-B25</f>
        <v/>
      </c>
      <c r="G25" s="2">
        <f>IF(B25=0,0,F25/B25)</f>
        <v/>
      </c>
      <c r="H25" t="n">
        <v>40000</v>
      </c>
      <c r="I25">
        <f>Entwuerfe!S34</f>
        <v/>
      </c>
      <c r="J25" t="n">
        <v>100</v>
      </c>
      <c r="K25">
        <f>Entwuerfe!W34</f>
        <v/>
      </c>
      <c r="L25">
        <f>Entwuerfe!N34</f>
        <v/>
      </c>
      <c r="M25">
        <f>Entwuerfe!M34</f>
        <v/>
      </c>
      <c r="N25">
        <f>Entwuerfe!Y34</f>
        <v/>
      </c>
    </row>
    <row r="26">
      <c r="A26" t="inlineStr">
        <is>
          <t>Battlemaster Mass Production Reflector</t>
        </is>
      </c>
      <c r="B26" t="n">
        <v>600</v>
      </c>
      <c r="C26">
        <f>Entwuerfe!AE35</f>
        <v/>
      </c>
      <c r="D26">
        <f>Entwuerfe!Q35</f>
        <v/>
      </c>
      <c r="E26">
        <f>Entwuerfe!R35</f>
        <v/>
      </c>
      <c r="F26">
        <f>E26-B26</f>
        <v/>
      </c>
      <c r="G26" s="2">
        <f>IF(B26=0,0,F26/B26)</f>
        <v/>
      </c>
      <c r="H26" t="n">
        <v>40000</v>
      </c>
      <c r="I26">
        <f>Entwuerfe!S35</f>
        <v/>
      </c>
      <c r="J26" t="n">
        <v>100</v>
      </c>
      <c r="K26">
        <f>Entwuerfe!W35</f>
        <v/>
      </c>
      <c r="L26">
        <f>Entwuerfe!N35</f>
        <v/>
      </c>
      <c r="M26">
        <f>Entwuerfe!M35</f>
        <v/>
      </c>
      <c r="N26">
        <f>Entwuerfe!Y35</f>
        <v/>
      </c>
    </row>
    <row r="27">
      <c r="A27" t="inlineStr">
        <is>
          <t>Battlemaster Autoloader</t>
        </is>
      </c>
      <c r="B27" t="n">
        <v>950</v>
      </c>
      <c r="C27">
        <f>Entwuerfe!AE36</f>
        <v/>
      </c>
      <c r="D27">
        <f>Entwuerfe!Q36</f>
        <v/>
      </c>
      <c r="E27">
        <f>Entwuerfe!R36</f>
        <v/>
      </c>
      <c r="F27">
        <f>E27-B27</f>
        <v/>
      </c>
      <c r="G27" s="2">
        <f>IF(B27=0,0,F27/B27)</f>
        <v/>
      </c>
      <c r="H27" t="n">
        <v>40000</v>
      </c>
      <c r="I27">
        <f>Entwuerfe!S36</f>
        <v/>
      </c>
      <c r="J27" t="n">
        <v>100</v>
      </c>
      <c r="K27">
        <f>Entwuerfe!W36</f>
        <v/>
      </c>
      <c r="L27">
        <f>Entwuerfe!N36</f>
        <v/>
      </c>
      <c r="M27">
        <f>Entwuerfe!M36</f>
        <v/>
      </c>
      <c r="N27">
        <f>Entwuerfe!Y36</f>
        <v/>
      </c>
    </row>
    <row r="28">
      <c r="A28" t="inlineStr">
        <is>
          <t>Battlemaster Autoloader PDL</t>
        </is>
      </c>
      <c r="B28" t="n">
        <v>1600</v>
      </c>
      <c r="C28">
        <f>Entwuerfe!AE37</f>
        <v/>
      </c>
      <c r="D28">
        <f>Entwuerfe!Q37</f>
        <v/>
      </c>
      <c r="E28">
        <f>Entwuerfe!R37</f>
        <v/>
      </c>
      <c r="F28">
        <f>E28-B28</f>
        <v/>
      </c>
      <c r="G28" s="2">
        <f>IF(B28=0,0,F28/B28)</f>
        <v/>
      </c>
      <c r="H28" t="n">
        <v>40000</v>
      </c>
      <c r="I28">
        <f>Entwuerfe!S37</f>
        <v/>
      </c>
      <c r="J28" t="n">
        <v>100</v>
      </c>
      <c r="K28">
        <f>Entwuerfe!W37</f>
        <v/>
      </c>
      <c r="L28">
        <f>Entwuerfe!N37</f>
        <v/>
      </c>
      <c r="M28">
        <f>Entwuerfe!M37</f>
        <v/>
      </c>
      <c r="N28">
        <f>Entwuerfe!Y37</f>
        <v/>
      </c>
    </row>
    <row r="29">
      <c r="A29" t="inlineStr">
        <is>
          <t>Battlemaster Autoloader Reflector</t>
        </is>
      </c>
      <c r="B29" t="n">
        <v>950</v>
      </c>
      <c r="C29">
        <f>Entwuerfe!AE38</f>
        <v/>
      </c>
      <c r="D29">
        <f>Entwuerfe!Q38</f>
        <v/>
      </c>
      <c r="E29">
        <f>Entwuerfe!R38</f>
        <v/>
      </c>
      <c r="F29">
        <f>E29-B29</f>
        <v/>
      </c>
      <c r="G29" s="2">
        <f>IF(B29=0,0,F29/B29)</f>
        <v/>
      </c>
      <c r="H29" t="n">
        <v>40000</v>
      </c>
      <c r="I29">
        <f>Entwuerfe!S38</f>
        <v/>
      </c>
      <c r="J29" t="n">
        <v>100</v>
      </c>
      <c r="K29">
        <f>Entwuerfe!W38</f>
        <v/>
      </c>
      <c r="L29">
        <f>Entwuerfe!N38</f>
        <v/>
      </c>
      <c r="M29">
        <f>Entwuerfe!M38</f>
        <v/>
      </c>
      <c r="N29">
        <f>Entwuerfe!Y38</f>
        <v/>
      </c>
    </row>
    <row r="30">
      <c r="A30" t="inlineStr">
        <is>
          <t>Battlemaster baseline</t>
        </is>
      </c>
      <c r="B30" t="n">
        <v>950</v>
      </c>
      <c r="C30">
        <f>Entwuerfe!AE39</f>
        <v/>
      </c>
      <c r="D30">
        <f>Entwuerfe!Q39</f>
        <v/>
      </c>
      <c r="E30">
        <f>Entwuerfe!R39</f>
        <v/>
      </c>
      <c r="F30">
        <f>E30-B30</f>
        <v/>
      </c>
      <c r="G30" s="2">
        <f>IF(B30=0,0,F30/B30)</f>
        <v/>
      </c>
      <c r="H30" t="n">
        <v>40000</v>
      </c>
      <c r="I30">
        <f>Entwuerfe!S39</f>
        <v/>
      </c>
      <c r="J30" t="n">
        <v>100</v>
      </c>
      <c r="K30">
        <f>Entwuerfe!W39</f>
        <v/>
      </c>
      <c r="L30">
        <f>Entwuerfe!N39</f>
        <v/>
      </c>
      <c r="M30">
        <f>Entwuerfe!M39</f>
        <v/>
      </c>
      <c r="N30">
        <f>Entwuerfe!Y39</f>
        <v/>
      </c>
    </row>
    <row r="31">
      <c r="A31" t="inlineStr">
        <is>
          <t>Battlemaster nuclear drive</t>
        </is>
      </c>
      <c r="B31" t="n">
        <v>950</v>
      </c>
      <c r="C31">
        <f>Entwuerfe!AE40</f>
        <v/>
      </c>
      <c r="D31">
        <f>Entwuerfe!Q40</f>
        <v/>
      </c>
      <c r="E31">
        <f>Entwuerfe!R40</f>
        <v/>
      </c>
      <c r="F31">
        <f>E31-B31</f>
        <v/>
      </c>
      <c r="G31" s="2">
        <f>IF(B31=0,0,F31/B31)</f>
        <v/>
      </c>
      <c r="H31" t="n">
        <v>40000</v>
      </c>
      <c r="I31">
        <f>Entwuerfe!S40</f>
        <v/>
      </c>
      <c r="J31" t="n">
        <v>125</v>
      </c>
      <c r="K31">
        <f>Entwuerfe!W40</f>
        <v/>
      </c>
      <c r="L31">
        <f>Entwuerfe!N40</f>
        <v/>
      </c>
      <c r="M31">
        <f>Entwuerfe!M40</f>
        <v/>
      </c>
      <c r="N31">
        <f>Entwuerfe!Y40</f>
        <v/>
      </c>
    </row>
    <row r="32">
      <c r="A32" t="inlineStr">
        <is>
          <t>Juggernaut baseline</t>
        </is>
      </c>
      <c r="B32" t="n">
        <v>2000</v>
      </c>
      <c r="C32">
        <f>Entwuerfe!AE46</f>
        <v/>
      </c>
      <c r="D32">
        <f>Entwuerfe!Q46</f>
        <v/>
      </c>
      <c r="E32">
        <f>Entwuerfe!R46</f>
        <v/>
      </c>
      <c r="F32">
        <f>E32-B32</f>
        <v/>
      </c>
      <c r="G32" s="2">
        <f>IF(B32=0,0,F32/B32)</f>
        <v/>
      </c>
      <c r="H32" t="n">
        <v>60000</v>
      </c>
      <c r="I32">
        <f>Entwuerfe!S46</f>
        <v/>
      </c>
      <c r="J32" t="n">
        <v>50</v>
      </c>
      <c r="K32">
        <f>Entwuerfe!W46</f>
        <v/>
      </c>
      <c r="L32">
        <f>Entwuerfe!N46</f>
        <v/>
      </c>
      <c r="M32">
        <f>Entwuerfe!M46</f>
        <v/>
      </c>
      <c r="N32">
        <f>Entwuerfe!Y46</f>
        <v/>
      </c>
    </row>
    <row r="33">
      <c r="A33" t="inlineStr">
        <is>
          <t>Juggernaut EMP / baseline</t>
        </is>
      </c>
      <c r="B33" t="n">
        <v>2000</v>
      </c>
      <c r="C33">
        <f>Entwuerfe!AE47</f>
        <v/>
      </c>
      <c r="D33">
        <f>Entwuerfe!Q47</f>
        <v/>
      </c>
      <c r="E33">
        <f>Entwuerfe!R47</f>
        <v/>
      </c>
      <c r="F33">
        <f>E33-B33</f>
        <v/>
      </c>
      <c r="G33" s="2">
        <f>IF(B33=0,0,F33/B33)</f>
        <v/>
      </c>
      <c r="H33" t="n">
        <v>60000</v>
      </c>
      <c r="I33">
        <f>Entwuerfe!S47</f>
        <v/>
      </c>
      <c r="J33" t="n">
        <v>50</v>
      </c>
      <c r="K33">
        <f>Entwuerfe!W47</f>
        <v/>
      </c>
      <c r="L33">
        <f>Entwuerfe!N47</f>
        <v/>
      </c>
      <c r="M33">
        <f>Entwuerfe!M47</f>
        <v/>
      </c>
      <c r="N33">
        <f>Entwuerfe!Y47</f>
        <v/>
      </c>
    </row>
    <row r="34">
      <c r="A34" t="inlineStr">
        <is>
          <t>Juggernaut EMP / efficient</t>
        </is>
      </c>
      <c r="B34" t="n">
        <v>2000</v>
      </c>
      <c r="C34">
        <f>Entwuerfe!AE48</f>
        <v/>
      </c>
      <c r="D34">
        <f>Entwuerfe!Q48</f>
        <v/>
      </c>
      <c r="E34">
        <f>Entwuerfe!R48</f>
        <v/>
      </c>
      <c r="F34">
        <f>E34-B34</f>
        <v/>
      </c>
      <c r="G34" s="2">
        <f>IF(B34=0,0,F34/B34)</f>
        <v/>
      </c>
      <c r="H34" t="n">
        <v>60000</v>
      </c>
      <c r="I34">
        <f>Entwuerfe!S48</f>
        <v/>
      </c>
      <c r="J34" t="n">
        <v>50</v>
      </c>
      <c r="K34">
        <f>Entwuerfe!W48</f>
        <v/>
      </c>
      <c r="L34">
        <f>Entwuerfe!N48</f>
        <v/>
      </c>
      <c r="M34">
        <f>Entwuerfe!M48</f>
        <v/>
      </c>
      <c r="N34">
        <f>Entwuerfe!Y48</f>
        <v/>
      </c>
    </row>
    <row r="35">
      <c r="A35" t="inlineStr">
        <is>
          <t>Heavy Tesla Tank baseline</t>
        </is>
      </c>
      <c r="B35" t="n">
        <v>1350</v>
      </c>
      <c r="C35">
        <f>Entwuerfe!AE49</f>
        <v/>
      </c>
      <c r="D35">
        <f>Entwuerfe!Q49</f>
        <v/>
      </c>
      <c r="E35">
        <f>Entwuerfe!R49</f>
        <v/>
      </c>
      <c r="F35">
        <f>E35-B35</f>
        <v/>
      </c>
      <c r="G35" s="2">
        <f>IF(B35=0,0,F35/B35)</f>
        <v/>
      </c>
      <c r="H35" t="n">
        <v>48000</v>
      </c>
      <c r="I35">
        <f>Entwuerfe!S49</f>
        <v/>
      </c>
      <c r="J35" t="n">
        <v>100</v>
      </c>
      <c r="K35">
        <f>Entwuerfe!W49</f>
        <v/>
      </c>
      <c r="L35">
        <f>Entwuerfe!N49</f>
        <v/>
      </c>
      <c r="M35">
        <f>Entwuerfe!M49</f>
        <v/>
      </c>
      <c r="N35">
        <f>Entwuerfe!Y49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2026-09-27T10:18:30Z</dcterms:created>
  <dcterms:modified xsi:type="dcterms:W3CDTF">2026-09-27T10:18:31Z</dcterms:modified>
</cp:coreProperties>
</file>