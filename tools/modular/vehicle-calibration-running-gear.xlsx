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nweise" sheetId="1" state="visible" r:id="rId1"/>
    <sheet name="Parameter" sheetId="2" state="visible" r:id="rId2"/>
    <sheet name="Bausteine" sheetId="3" state="visible" r:id="rId3"/>
    <sheet name="Infanterie" sheetId="4" state="visible" r:id="rId4"/>
    <sheet name="Startbesatzung" sheetId="5" state="visible" r:id="rId5"/>
    <sheet name="Entwuerfe" sheetId="6" state="visible" r:id="rId6"/>
    <sheet name="Fahrprofile" sheetId="7" state="visible" r:id="rId7"/>
    <sheet name="FahrzeugInventar" sheetId="8" state="visible" r:id="rId8"/>
    <sheet name="AltNeu" sheetId="9" state="visible" r:id="rId9"/>
    <sheet name="SchwereReferenzen" sheetId="10" state="visible" r:id="rId10"/>
    <sheet name="Preisfit" sheetId="11" state="visible" r:id="rId11"/>
    <sheet name="FitAbweichungen" sheetId="12" state="visible" r:id="rId12"/>
  </sheets>
  <definedNames>
    <definedName name="ComponentIDs">'Bausteine'!$A$2:$A$76</definedName>
    <definedName name="InfantryIDs">'Infanterie'!$A$2:$A$4</definedName>
  </definedNames>
  <calcPr calcId="0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04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ables/table1.xml><?xml version="1.0" encoding="utf-8"?>
<table xmlns="http://schemas.openxmlformats.org/spreadsheetml/2006/main" id="1" name="Parameters" displayName="Parameters" ref="A1:B4" headerRowCount="1">
  <autoFilter ref="A1:B4"/>
  <tableColumns count="2">
    <tableColumn id="1" name="Parameter"/>
    <tableColumn id="2" name="Wert"/>
  </tableColumns>
  <tableStyleInfo name="TableStyleMedium2" showRowStripes="1"/>
</table>
</file>

<file path=xl/tables/table2.xml><?xml version="1.0" encoding="utf-8"?>
<table xmlns="http://schemas.openxmlformats.org/spreadsheetml/2006/main" id="2" name="Components" displayName="Components" ref="A1:AY76" headerRowCount="1">
  <autoFilter ref="A1:AY76"/>
  <tableColumns count="51">
    <tableColumn id="1" name="ID"/>
    <tableColumn id="2" name="Rolle"/>
    <tableColumn id="3" name="Fraktionen"/>
    <tableColumn id="4" name="Katalog-Tier"/>
    <tableColumn id="5" name="CP"/>
    <tableColumn id="6" name="Tech"/>
    <tableColumn id="7" name="Hardwarepreis"/>
    <tableColumn id="8" name="Masse kg"/>
    <tableColumn id="9" name="Bedarf kWe"/>
    <tableColumn id="10" name="Motor kWm"/>
    <tableColumn id="11" name="Generator Wirkungsgrad"/>
    <tableColumn id="12" name="Generator max kWe"/>
    <tableColumn id="13" name="HP Chassis"/>
    <tableColumn id="14" name="Panzerung"/>
    <tableColumn id="15" name="Chassis Masse %"/>
    <tableColumn id="16" name="Chassis HP %"/>
    <tableColumn id="17" name="Chassis Preis %"/>
    <tableColumn id="18" name="Referenzmasse kg"/>
    <tableColumn id="19" name="Referenzleistung kWm"/>
    <tableColumn id="20" name="Referenztempo"/>
    <tableColumn id="21" name="Max Tempo"/>
    <tableColumn id="22" name="Max Masse kg"/>
    <tableColumn id="23" name="Waffentraegerplaetze"/>
    <tableColumn id="24" name="Zusatzplaetze"/>
    <tableColumn id="25" name="Salve"/>
    <tableColumn id="26" name="Schussabstand Ticks"/>
    <tableColumn id="27" name="Nachladen Ticks"/>
    <tableColumn id="28" name="Reichweite Zellen"/>
    <tableColumn id="29" name="Rohschaden"/>
    <tableColumn id="30" name="Hinweis"/>
    <tableColumn id="31" name="Quelle"/>
    <tableColumn id="32" name="Kompatibilitaet"/>
    <tableColumn id="33" name="Ausrüstung erlaubt"/>
    <tableColumn id="34" name="Waffen erlaubt"/>
    <tableColumn id="35" name="Munition erlaubt"/>
    <tableColumn id="36" name="Anzeigename"/>
    <tableColumn id="37" name="Hardware Fertigung %"/>
    <tableColumn id="38" name="Munition Reichweite Override"/>
    <tableColumn id="39" name="Transportkapazitaet"/>
    <tableColumn id="40" name="Ausschluesse"/>
    <tableColumn id="41" name="Aufsatzplatz"/>
    <tableColumn id="42" name="Zusatztraeger erlaubt"/>
    <tableColumn id="43" name="Infanterie erlaubt"/>
    <tableColumn id="44" name="Mindestreichweite Zellen"/>
    <tableColumn id="45" name="Feuerverzug Ticks"/>
    <tableColumn id="46" name="Standardfahrwerk"/>
    <tableColumn id="47" name="Fahrwerke erlaubt"/>
    <tableColumn id="48" name="Locomotor"/>
    <tableColumn id="49" name="Fahrwerkstyp"/>
    <tableColumn id="50" name="Fahrwerk Wenderate"/>
    <tableColumn id="51" name="Rumpf Wendelimit"/>
  </tableColumns>
  <tableStyleInfo name="TableStyleMedium2" showRowStripes="1"/>
</table>
</file>

<file path=xl/tables/table3.xml><?xml version="1.0" encoding="utf-8"?>
<table xmlns="http://schemas.openxmlformats.org/spreadsheetml/2006/main" id="3" name="Infantry" displayName="Infantry" ref="A1:G4" headerRowCount="1">
  <autoFilter ref="A1:G4"/>
  <tableColumns count="7">
    <tableColumn id="1" name="ID"/>
    <tableColumn id="2" name="Name"/>
    <tableColumn id="3" name="Fraktionen"/>
    <tableColumn id="4" name="Preis"/>
    <tableColumn id="5" name="Masse kg"/>
    <tableColumn id="6" name="Transportgewicht"/>
    <tableColumn id="7" name="Tech"/>
  </tableColumns>
  <tableStyleInfo name="TableStyleMedium2" showRowStripes="1"/>
</table>
</file>

<file path=xl/tables/table4.xml><?xml version="1.0" encoding="utf-8"?>
<table xmlns="http://schemas.openxmlformats.org/spreadsheetml/2006/main" id="4" name="Crew" displayName="Crew" ref="A1:G7" headerRowCount="1">
  <autoFilter ref="A1:G7"/>
  <tableColumns count="7">
    <tableColumn id="1" name="Design"/>
    <tableColumn id="2" name="Infanterie"/>
    <tableColumn id="3" name="Anzahl"/>
    <tableColumn id="4" name="Preis"/>
    <tableColumn id="5" name="Masse kg"/>
    <tableColumn id="6" name="Transportgewicht"/>
    <tableColumn id="7" name="Tech"/>
  </tableColumns>
  <tableStyleInfo name="TableStyleMedium2" showRowStripes="1"/>
</table>
</file>

<file path=xl/tables/table5.xml><?xml version="1.0" encoding="utf-8"?>
<table xmlns="http://schemas.openxmlformats.org/spreadsheetml/2006/main" id="5" name="Designs" displayName="Designs" ref="A1:AS61" headerRowCount="1">
  <autoFilter ref="A1:AS61"/>
  <tableColumns count="45">
    <tableColumn id="1" name="Design"/>
    <tableColumn id="2" name="Fraktion"/>
    <tableColumn id="3" name="Chassis"/>
    <tableColumn id="4" name="Motor"/>
    <tableColumn id="5" name="Generator"/>
    <tableColumn id="6" name="Panzerung"/>
    <tableColumn id="7" name="Traeger"/>
    <tableColumn id="8" name="Waffe"/>
    <tableColumn id="9" name="Munition"/>
    <tableColumn id="10" name="Zusatz 1"/>
    <tableColumn id="11" name="Zusatz 2"/>
    <tableColumn id="12" name="Zusatz 3"/>
    <tableColumn id="13" name="Katalog"/>
    <tableColumn id="14" name="CP"/>
    <tableColumn id="15" name="Tech"/>
    <tableColumn id="16" name="Hardware"/>
    <tableColumn id="17" name="CP-Abzug"/>
    <tableColumn id="18" name="Preis"/>
    <tableColumn id="19" name="HP"/>
    <tableColumn id="20" name="Masse kg"/>
    <tableColumn id="21" name="Last kWe"/>
    <tableColumn id="22" name="Rest kWm"/>
    <tableColumn id="23" name="Tempo"/>
    <tableColumn id="24" name="Armor"/>
    <tableColumn id="25" name="Grenzen"/>
    <tableColumn id="26" name="Python Preis"/>
    <tableColumn id="27" name="Python Tempo"/>
    <tableColumn id="28" name="Referenzhinweis"/>
    <tableColumn id="29" name="Fertigungsmodul"/>
    <tableColumn id="30" name="Fertigungsfaktor"/>
    <tableColumn id="31" name="Hardware nach Fertigung"/>
    <tableColumn id="32" name="Aufsatztraeger"/>
    <tableColumn id="33" name="Aufsatzwaffe"/>
    <tableColumn id="34" name="Aufsatzmunition"/>
    <tableColumn id="35" name="Besatzungspreis"/>
    <tableColumn id="36" name="Besatzungsmasse"/>
    <tableColumn id="37" name="Besatzungstech"/>
    <tableColumn id="38" name="Aufsatz Reichweite"/>
    <tableColumn id="39" name="Aufsatz Mindestreichweite"/>
    <tableColumn id="40" name="Aufsatz Reload Ticks"/>
    <tableColumn id="41" name="Aufsatz Salve"/>
    <tableColumn id="42" name="Aufsatz Rohschaden"/>
    <tableColumn id="43" name="Fahrwerk"/>
    <tableColumn id="44" name="Locomotor"/>
    <tableColumn id="45" name="Wenderate"/>
  </tableColumns>
  <tableStyleInfo name="TableStyleMedium2" showRowStripes="1"/>
</table>
</file>

<file path=xl/tables/table6.xml><?xml version="1.0" encoding="utf-8"?>
<table xmlns="http://schemas.openxmlformats.org/spreadsheetml/2006/main" id="6" name="MovementProfiles" displayName="MovementProfiles" ref="A1:M5" headerRowCount="1">
  <autoFilter ref="A1:M5"/>
  <tableColumns count="13">
    <tableColumn id="1" name="Locomotor"/>
    <tableColumn id="2" name="Quelle"/>
    <tableColumn id="3" name="Ueberfahren"/>
    <tableColumn id="4" name="Clear"/>
    <tableColumn id="5" name="Rough"/>
    <tableColumn id="6" name="Road"/>
    <tableColumn id="7" name="Bridge"/>
    <tableColumn id="8" name="Ford"/>
    <tableColumn id="9" name="Ore"/>
    <tableColumn id="10" name="Gems"/>
    <tableColumn id="11" name="Tiberium"/>
    <tableColumn id="12" name="BlueTiberium"/>
    <tableColumn id="13" name="Beach"/>
  </tableColumns>
  <tableStyleInfo name="TableStyleMedium2" showRowStripes="1"/>
</table>
</file>

<file path=xl/tables/table7.xml><?xml version="1.0" encoding="utf-8"?>
<table xmlns="http://schemas.openxmlformats.org/spreadsheetml/2006/main" id="7" name="VehicleInventory" displayName="VehicleInventory" ref="A1:O389" headerRowCount="1">
  <autoFilter ref="A1:O389"/>
  <tableColumns count="15">
    <tableColumn id="1" name="Fraktion"/>
    <tableColumn id="2" name="Actor"/>
    <tableColumn id="3" name="Name lokal"/>
    <tableColumn id="4" name="Preis lokal"/>
    <tableColumn id="5" name="HP lokal"/>
    <tableColumn id="6" name="Tempo lokal"/>
    <tableColumn id="7" name="Locomotor lokal"/>
    <tableColumn id="8" name="Buildable lokal"/>
    <tableColumn id="9" name="Voraussetzungen lokal"/>
    <tableColumn id="10" name="Erbt von"/>
    <tableColumn id="11" name="Waffen lokal"/>
    <tableColumn id="12" name="Pruefhinweise"/>
    <tableColumn id="13" name="Status"/>
    <tableColumn id="14" name="Entwuerfe"/>
    <tableColumn id="15" name="Quelle"/>
  </tableColumns>
  <tableStyleInfo name="TableStyleMedium2" showRowStripes="1"/>
</table>
</file>

<file path=xl/tables/table8.xml><?xml version="1.0" encoding="utf-8"?>
<table xmlns="http://schemas.openxmlformats.org/spreadsheetml/2006/main" id="8" name="Comparison" displayName="Comparison" ref="A1:N47" headerRowCount="1">
  <autoFilter ref="A1:N47"/>
  <tableColumns count="14">
    <tableColumn id="1" name="Design"/>
    <tableColumn id="2" name="Preis alt"/>
    <tableColumn id="3" name="Hardware nach Fertigung"/>
    <tableColumn id="4" name="CP-Abzug"/>
    <tableColumn id="5" name="Preis neu"/>
    <tableColumn id="6" name="Differenz"/>
    <tableColumn id="7" name="Differenz %"/>
    <tableColumn id="8" name="HP alt"/>
    <tableColumn id="9" name="HP neu"/>
    <tableColumn id="10" name="Tempo alt"/>
    <tableColumn id="11" name="Tempo neu"/>
    <tableColumn id="12" name="CP neu"/>
    <tableColumn id="13" name="Katalog neu"/>
    <tableColumn id="14" name="Grenzen"/>
  </tableColumns>
  <tableStyleInfo name="TableStyleMedium2" showRowStripes="1"/>
</table>
</file>

<file path=xl/tables/table9.xml><?xml version="1.0" encoding="utf-8"?>
<table xmlns="http://schemas.openxmlformats.org/spreadsheetml/2006/main" id="9" name="HeavyReferences" displayName="HeavyReferences" ref="A1:L7" headerRowCount="1">
  <autoFilter ref="A1:L7"/>
  <tableColumns count="12">
    <tableColumn id="1" name="Familie"/>
    <tableColumn id="2" name="Actor"/>
    <tableColumn id="3" name="Originalpreis"/>
    <tableColumn id="4" name="PDL Preis"/>
    <tableColumn id="5" name="PDL Aufpreis"/>
    <tableColumn id="6" name="Reflector Preis"/>
    <tableColumn id="7" name="Reflector Aufpreis"/>
    <tableColumn id="8" name="CP ohne Abwehr"/>
    <tableColumn id="9" name="CP mit Abwehr"/>
    <tableColumn id="10" name="Basis HP"/>
    <tableColumn id="11" name="Basistempo"/>
    <tableColumn id="12" name="Hinweise"/>
  </tableColumns>
  <tableStyleInfo name="TableStyleMedium2" showRowStripes="1"/>
</table>
</file>

<file path=xl/tables/table10.xml><?xml version="1.0" encoding="utf-8"?>
<table xmlns="http://schemas.openxmlformats.org/spreadsheetml/2006/main" id="10" name="PriceFit" displayName="PriceFit" ref="A1:H10" headerRowCount="1">
  <autoFilter ref="A1:H10"/>
  <tableColumns count="8">
    <tableColumn id="1" name="CP-Wert"/>
    <tableColumn id="2" name="Fertigungsfaktor"/>
    <tableColumn id="3" name="Upgrade Hardware"/>
    <tableColumn id="4" name="PDL Paket"/>
    <tableColumn id="5" name="Reflector Paket"/>
    <tableColumn id="6" name="RMSE Credits"/>
    <tableColumn id="7" name="Max Fehler Credits"/>
    <tableColumn id="8" name="Status"/>
  </tableColumns>
  <tableStyleInfo name="TableStyleMedium2" showRowStripes="1"/>
</table>
</file>

<file path=xl/tables/table11.xml><?xml version="1.0" encoding="utf-8"?>
<table xmlns="http://schemas.openxmlformats.org/spreadsheetml/2006/main" id="11" name="FitResiduals" displayName="FitResiduals" ref="A1:F55" headerRowCount="1">
  <autoFilter ref="A1:F55"/>
  <tableColumns count="6">
    <tableColumn id="1" name="CP-Wert"/>
    <tableColumn id="2" name="Design"/>
    <tableColumn id="3" name="Preis alt"/>
    <tableColumn id="4" name="Preis Fit"/>
    <tableColumn id="5" name="Differenz"/>
    <tableColumn id="6" name="Differenz %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6" customWidth="1" min="1" max="1"/>
    <col width="125" customWidth="1" min="2" max="2"/>
  </cols>
  <sheetData>
    <row r="1">
      <c r="A1" t="inlineStr">
        <is>
          <t>YMCA Modular – Kalibrierung</t>
        </is>
      </c>
      <c r="B1" t="inlineStr"/>
    </row>
    <row r="2">
      <c r="A2" t="inlineStr">
        <is>
          <t>Referenz</t>
        </is>
      </c>
      <c r="B2" t="inlineStr">
        <is>
          <t>Quellblock-Abgleich: 9d8a9dec (integrierter Game-Stand), siehe reference-audit.md.</t>
        </is>
      </c>
    </row>
    <row r="3">
      <c r="A3" t="inlineStr">
        <is>
          <t>Status</t>
        </is>
      </c>
      <c r="B3" t="inlineStr">
        <is>
          <t>Experimentelle Zahlen; keine Spielregeln oder grafische/volle Verhaltensgleichheit.</t>
        </is>
      </c>
    </row>
    <row r="4">
      <c r="A4" t="inlineStr">
        <is>
          <t>Eingaben</t>
        </is>
      </c>
      <c r="B4" t="inlineStr">
        <is>
          <t>Parameter und Bausteinwerte sind editierbar. Formeln berechnen Entwuerfe/Vergleich beim Öffnen neu.</t>
        </is>
      </c>
    </row>
    <row r="5">
      <c r="A5" t="inlineStr">
        <is>
          <t>Preise</t>
        </is>
      </c>
      <c r="B5" t="inlineStr">
        <is>
          <t>Hardwarekosten minus CP-Anforderung mal globaler CP-Creditwert. Keine Sonderrabatte.</t>
        </is>
      </c>
    </row>
    <row r="6">
      <c r="A6" t="inlineStr">
        <is>
          <t>Massenproduktion</t>
        </is>
      </c>
      <c r="B6" t="inlineStr">
        <is>
          <t>Separates Fertigungsmodul: vorläufig 95% aller Hardwarekosten, danach globaler CP-Abzug. Preisfit ist separate Studie.</t>
        </is>
      </c>
    </row>
    <row r="7">
      <c r="A7" t="inlineStr">
        <is>
          <t>Arbeitsfluss</t>
        </is>
      </c>
      <c r="B7" t="inlineStr">
        <is>
          <t>catalog.json ist Quelle. export_excel.py erzeugt eine neue Momentaufnahme, kein Excel-Import.</t>
        </is>
      </c>
    </row>
    <row r="8">
      <c r="A8" t="inlineStr">
        <is>
          <t>Schutz</t>
        </is>
      </c>
      <c r="B8" t="inlineStr">
        <is>
          <t>Exporter überschreibt keine bestehende Arbeitsmappe; für neue Daten neuen Dateinamen verwenden.</t>
        </is>
      </c>
    </row>
    <row r="9">
      <c r="A9" t="inlineStr">
        <is>
          <t>Erweiterung</t>
        </is>
      </c>
      <c r="B9" t="inlineStr">
        <is>
          <t>Neue Bausteine/Designs in JSON eintragen und neu exportieren. Manuelles Zeilenanfügen wird nicht automatisch verdrahtet.</t>
        </is>
      </c>
    </row>
    <row r="10">
      <c r="A10" t="inlineStr">
        <is>
          <t>Validierung</t>
        </is>
      </c>
      <c r="B10" t="inlineStr">
        <is>
          <t>Excel prüft nur elektrische/physische Grenzen; Rolle, Fraktion, Montage und Besatzungskosten-Konsistenz im Python-Rechner prüfen.</t>
        </is>
      </c>
    </row>
    <row r="11">
      <c r="A11" t="inlineStr">
        <is>
          <t>Bunkerpreis</t>
        </is>
      </c>
      <c r="B11" t="inlineStr">
        <is>
          <t>Leeres Bunkermodul plus separat gewählte Startbesatzung. Infanteriepreise und Besatzungszeilen sind editierbar; Kosten/Masse werden einmal addiert.</t>
        </is>
      </c>
    </row>
    <row r="12">
      <c r="A12" t="inlineStr">
        <is>
          <t>Aufsatzplatz</t>
        </is>
      </c>
      <c r="B12" t="inlineStr">
        <is>
          <t>Gatling, Bunker und Lautsprecher teilen roof. Vollständige Slot-/Fraktions-/Kapazitätsprüfung weiterhin im Python-Rechner.</t>
        </is>
      </c>
    </row>
    <row r="13">
      <c r="A13" t="inlineStr">
        <is>
          <t>Grafikentwürfe</t>
        </is>
      </c>
      <c r="B13" t="inlineStr">
        <is>
          <t>Flame/Mortar Roof / draft sind nur Offline-Kalkulation. Sprites geprüft, Montage auf Overlord noch nicht. Kein Originalvergleich oder spielbarer Actor.</t>
        </is>
      </c>
    </row>
    <row r="14">
      <c r="A14" t="inlineStr">
        <is>
          <t>Fahrwerk</t>
        </is>
      </c>
      <c r="B14" t="inlineStr">
        <is>
          <t>AQ ist ein eigener Baustein, vorbelegt mit Rumpf-Standard. Masse/Preis einmal addiert; Rumpfpanzerung skaliert das Fahrwerk nicht. Ketten/Räder nicht ohne passende Grafik tauschen.</t>
        </is>
      </c>
    </row>
    <row r="15">
      <c r="A15" t="inlineStr">
        <is>
          <t>Abdeckung</t>
        </is>
      </c>
      <c r="B15" t="inlineStr">
        <is>
          <t>FahrzeugInventar zeigt lokale Rohblöcke aus sechs Fraktionen, KEINE aufgelösten Spielregeln. Leer = geerbt/ungeprüft; Helfer und deaktivierte Prototypen enthalten.</t>
        </is>
      </c>
    </row>
    <row r="16">
      <c r="A16" t="inlineStr">
        <is>
          <t>Besatzung</t>
        </is>
      </c>
      <c r="B16" t="inlineStr">
        <is>
          <t>0 in Excel deaktiviert eine vorhandene Zeile; für neue Typen/Zeilen JSON ändern und neu exportieren. Infanteriemasse ist ein Designwert.</t>
        </is>
      </c>
    </row>
    <row r="17">
      <c r="A17" t="inlineStr">
        <is>
          <t>Momentaufnahme</t>
        </is>
      </c>
      <c r="B17" t="inlineStr">
        <is>
          <t>Python-Werte und Preisfit sind statisch. Änderungen in Excel aktualisieren nur die Formelspalten.</t>
        </is>
      </c>
    </row>
    <row r="18">
      <c r="A18" t="inlineStr">
        <is>
          <t>Genauigkeit</t>
        </is>
      </c>
      <c r="B18" t="inlineStr">
        <is>
          <t>CP/Tier sind unabhängig; 1% Abweichung kann akzeptabel sein. Preisfit ist kein Beweis des CP-Wertes.</t>
        </is>
      </c>
    </row>
    <row r="19">
      <c r="A19" t="inlineStr">
        <is>
          <t>Branches</t>
        </is>
      </c>
      <c r="B19" t="inlineStr">
        <is>
          <t>Game modular: tournament-bot integriert in 9d8a9dec; master nicht zusätzlich gemergt.</t>
        </is>
      </c>
    </row>
    <row r="20">
      <c r="A20" t="inlineStr">
        <is>
          <t>Merge</t>
        </is>
      </c>
      <c r="B20" t="inlineStr">
        <is>
          <t>Engine modular-engine: 484afea27c kombiniert Isometric und Tournament.</t>
        </is>
      </c>
    </row>
    <row r="21">
      <c r="A21" t="inlineStr">
        <is>
          <t>Referenzbedingungen</t>
        </is>
      </c>
      <c r="B21" t="inlineStr">
        <is>
          <t>Base states without isotope stability, horde, uranium or veterancy bonuses. Isotope stability now applies 90% received damage as well as death-explosion suppression; not modeled as extra HP.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Parameter</t>
        </is>
      </c>
      <c r="B1" s="1" t="inlineStr">
        <is>
          <t>Wert</t>
        </is>
      </c>
    </row>
    <row r="2">
      <c r="A2" t="inlineStr">
        <is>
          <t>Credits pro CP</t>
        </is>
      </c>
      <c r="B2" t="n">
        <v>300</v>
      </c>
    </row>
    <row r="3">
      <c r="A3" t="inlineStr">
        <is>
          <t>Geschwindigkeitsexponent</t>
        </is>
      </c>
      <c r="B3" t="n">
        <v>0.5</v>
      </c>
    </row>
    <row r="4">
      <c r="A4" t="inlineStr">
        <is>
          <t>Katalogbudget</t>
        </is>
      </c>
      <c r="B4" t="n">
        <v>50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7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24" customWidth="1" min="11" max="11"/>
    <col width="19" customWidth="1" min="12" max="12"/>
    <col width="16" customWidth="1" min="13" max="13"/>
    <col width="16" customWidth="1" min="14" max="14"/>
    <col width="17" customWidth="1" min="15" max="15"/>
    <col width="16" customWidth="1" min="16" max="16"/>
    <col width="17" customWidth="1" min="17" max="17"/>
    <col width="18" customWidth="1" min="18" max="18"/>
    <col width="22" customWidth="1" min="19" max="19"/>
    <col width="16" customWidth="1" min="20" max="20"/>
    <col width="16" customWidth="1" min="21" max="21"/>
    <col width="16" customWidth="1" min="22" max="22"/>
    <col width="22" customWidth="1" min="23" max="23"/>
    <col width="16" customWidth="1" min="24" max="24"/>
    <col width="16" customWidth="1" min="25" max="25"/>
    <col width="21" customWidth="1" min="26" max="26"/>
    <col width="17" customWidth="1" min="27" max="27"/>
    <col width="19" customWidth="1" min="28" max="28"/>
    <col width="16" customWidth="1" min="29" max="29"/>
    <col width="16" customWidth="1" min="30" max="30"/>
    <col width="16" customWidth="1" min="31" max="31"/>
    <col width="17" customWidth="1" min="32" max="32"/>
    <col width="20" customWidth="1" min="33" max="33"/>
    <col width="16" customWidth="1" min="34" max="34"/>
    <col width="18" customWidth="1" min="35" max="35"/>
    <col width="16" customWidth="1" min="36" max="36"/>
    <col width="22" customWidth="1" min="37" max="37"/>
    <col width="30" customWidth="1" min="38" max="38"/>
    <col width="21" customWidth="1" min="39" max="39"/>
    <col width="16" customWidth="1" min="40" max="40"/>
    <col width="16" customWidth="1" min="41" max="41"/>
    <col width="23" customWidth="1" min="42" max="42"/>
    <col width="20" customWidth="1" min="43" max="43"/>
    <col width="26" customWidth="1" min="44" max="44"/>
    <col width="19" customWidth="1" min="45" max="45"/>
    <col width="18" customWidth="1" min="46" max="46"/>
    <col width="19" customWidth="1" min="47" max="47"/>
    <col width="16" customWidth="1" min="48" max="48"/>
    <col width="16" customWidth="1" min="49" max="49"/>
    <col width="20" customWidth="1" min="50" max="50"/>
    <col width="18" customWidth="1" min="51" max="51"/>
  </cols>
  <sheetData>
    <row r="1">
      <c r="A1" s="1" t="inlineStr">
        <is>
          <t>ID</t>
        </is>
      </c>
      <c r="B1" s="1" t="inlineStr">
        <is>
          <t>Rolle</t>
        </is>
      </c>
      <c r="C1" s="1" t="inlineStr">
        <is>
          <t>Fraktionen</t>
        </is>
      </c>
      <c r="D1" s="1" t="inlineStr">
        <is>
          <t>Katalog-Tier</t>
        </is>
      </c>
      <c r="E1" s="1" t="inlineStr">
        <is>
          <t>CP</t>
        </is>
      </c>
      <c r="F1" s="1" t="inlineStr">
        <is>
          <t>Tech</t>
        </is>
      </c>
      <c r="G1" s="1" t="inlineStr">
        <is>
          <t>Hardwarepreis</t>
        </is>
      </c>
      <c r="H1" s="1" t="inlineStr">
        <is>
          <t>Masse kg</t>
        </is>
      </c>
      <c r="I1" s="1" t="inlineStr">
        <is>
          <t>Bedarf kWe</t>
        </is>
      </c>
      <c r="J1" s="1" t="inlineStr">
        <is>
          <t>Motor kWm</t>
        </is>
      </c>
      <c r="K1" s="1" t="inlineStr">
        <is>
          <t>Generator Wirkungsgrad</t>
        </is>
      </c>
      <c r="L1" s="1" t="inlineStr">
        <is>
          <t>Generator max kWe</t>
        </is>
      </c>
      <c r="M1" s="1" t="inlineStr">
        <is>
          <t>HP Chassis</t>
        </is>
      </c>
      <c r="N1" s="1" t="inlineStr">
        <is>
          <t>Panzerung</t>
        </is>
      </c>
      <c r="O1" s="1" t="inlineStr">
        <is>
          <t>Chassis Masse %</t>
        </is>
      </c>
      <c r="P1" s="1" t="inlineStr">
        <is>
          <t>Chassis HP %</t>
        </is>
      </c>
      <c r="Q1" s="1" t="inlineStr">
        <is>
          <t>Chassis Preis %</t>
        </is>
      </c>
      <c r="R1" s="1" t="inlineStr">
        <is>
          <t>Referenzmasse kg</t>
        </is>
      </c>
      <c r="S1" s="1" t="inlineStr">
        <is>
          <t>Referenzleistung kWm</t>
        </is>
      </c>
      <c r="T1" s="1" t="inlineStr">
        <is>
          <t>Referenztempo</t>
        </is>
      </c>
      <c r="U1" s="1" t="inlineStr">
        <is>
          <t>Max Tempo</t>
        </is>
      </c>
      <c r="V1" s="1" t="inlineStr">
        <is>
          <t>Max Masse kg</t>
        </is>
      </c>
      <c r="W1" s="1" t="inlineStr">
        <is>
          <t>Waffentraegerplaetze</t>
        </is>
      </c>
      <c r="X1" s="1" t="inlineStr">
        <is>
          <t>Zusatzplaetze</t>
        </is>
      </c>
      <c r="Y1" s="1" t="inlineStr">
        <is>
          <t>Salve</t>
        </is>
      </c>
      <c r="Z1" s="1" t="inlineStr">
        <is>
          <t>Schussabstand Ticks</t>
        </is>
      </c>
      <c r="AA1" s="1" t="inlineStr">
        <is>
          <t>Nachladen Ticks</t>
        </is>
      </c>
      <c r="AB1" s="1" t="inlineStr">
        <is>
          <t>Reichweite Zellen</t>
        </is>
      </c>
      <c r="AC1" s="1" t="inlineStr">
        <is>
          <t>Rohschaden</t>
        </is>
      </c>
      <c r="AD1" s="1" t="inlineStr">
        <is>
          <t>Hinweis</t>
        </is>
      </c>
      <c r="AE1" s="1" t="inlineStr">
        <is>
          <t>Quelle</t>
        </is>
      </c>
      <c r="AF1" s="1" t="inlineStr">
        <is>
          <t>Kompatibilitaet</t>
        </is>
      </c>
      <c r="AG1" s="1" t="inlineStr">
        <is>
          <t>Ausrüstung erlaubt</t>
        </is>
      </c>
      <c r="AH1" s="1" t="inlineStr">
        <is>
          <t>Waffen erlaubt</t>
        </is>
      </c>
      <c r="AI1" s="1" t="inlineStr">
        <is>
          <t>Munition erlaubt</t>
        </is>
      </c>
      <c r="AJ1" s="1" t="inlineStr">
        <is>
          <t>Anzeigename</t>
        </is>
      </c>
      <c r="AK1" s="1" t="inlineStr">
        <is>
          <t>Hardware Fertigung %</t>
        </is>
      </c>
      <c r="AL1" s="1" t="inlineStr">
        <is>
          <t>Munition Reichweite Override</t>
        </is>
      </c>
      <c r="AM1" s="1" t="inlineStr">
        <is>
          <t>Transportkapazitaet</t>
        </is>
      </c>
      <c r="AN1" s="1" t="inlineStr">
        <is>
          <t>Ausschluesse</t>
        </is>
      </c>
      <c r="AO1" s="1" t="inlineStr">
        <is>
          <t>Aufsatzplatz</t>
        </is>
      </c>
      <c r="AP1" s="1" t="inlineStr">
        <is>
          <t>Zusatztraeger erlaubt</t>
        </is>
      </c>
      <c r="AQ1" s="1" t="inlineStr">
        <is>
          <t>Infanterie erlaubt</t>
        </is>
      </c>
      <c r="AR1" s="1" t="inlineStr">
        <is>
          <t>Mindestreichweite Zellen</t>
        </is>
      </c>
      <c r="AS1" s="1" t="inlineStr">
        <is>
          <t>Feuerverzug Ticks</t>
        </is>
      </c>
      <c r="AT1" s="1" t="inlineStr">
        <is>
          <t>Standardfahrwerk</t>
        </is>
      </c>
      <c r="AU1" s="1" t="inlineStr">
        <is>
          <t>Fahrwerke erlaubt</t>
        </is>
      </c>
      <c r="AV1" s="1" t="inlineStr">
        <is>
          <t>Locomotor</t>
        </is>
      </c>
      <c r="AW1" s="1" t="inlineStr">
        <is>
          <t>Fahrwerkstyp</t>
        </is>
      </c>
      <c r="AX1" s="1" t="inlineStr">
        <is>
          <t>Fahrwerk Wenderate</t>
        </is>
      </c>
      <c r="AY1" s="1" t="inlineStr">
        <is>
          <t>Rumpf Wendelimit</t>
        </is>
      </c>
    </row>
    <row r="2">
      <c r="A2" t="inlineStr">
        <is>
          <t>diesel-light</t>
        </is>
      </c>
      <c r="B2" t="inlineStr">
        <is>
          <t>drive</t>
        </is>
      </c>
      <c r="C2" t="inlineStr">
        <is>
          <t>["gdi", "nod", "allies", "soviet"]</t>
        </is>
      </c>
      <c r="D2" t="n">
        <v>0</v>
      </c>
      <c r="E2" t="n">
        <v>0</v>
      </c>
      <c r="F2" t="n">
        <v>1</v>
      </c>
      <c r="G2" t="n">
        <v>60</v>
      </c>
      <c r="H2" t="n">
        <v>250</v>
      </c>
      <c r="I2" t="n">
        <v>0</v>
      </c>
      <c r="J2" t="n">
        <v>250</v>
      </c>
      <c r="K2" t="n">
        <v>0</v>
      </c>
      <c r="L2" t="n">
        <v>0</v>
      </c>
      <c r="M2" t="n">
        <v>0</v>
      </c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inlineStr">
        <is>
          <t>New shared scout motor; all physical values experimental.</t>
        </is>
      </c>
      <c r="AE2" t="inlineStr"/>
      <c r="AF2" t="inlineStr"/>
      <c r="AG2" t="inlineStr"/>
      <c r="AH2" t="inlineStr"/>
      <c r="AI2" t="inlineStr"/>
      <c r="AJ2" t="inlineStr">
        <is>
          <t>Leichter Dieselmotor</t>
        </is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light</t>
        </is>
      </c>
      <c r="B3" t="inlineStr">
        <is>
          <t>armor</t>
        </is>
      </c>
      <c r="C3" t="inlineStr">
        <is>
          <t>["gdi", "nod", "allies", "soviet"]</t>
        </is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Light</t>
        </is>
      </c>
      <c r="O3" t="n">
        <v>100</v>
      </c>
      <c r="P3" t="n">
        <v>100</v>
      </c>
      <c r="Q3" t="n">
        <v>100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inlineStr"/>
      <c r="AE3" t="inlineStr">
        <is>
          <t>^LightArmor</t>
        </is>
      </c>
      <c r="AF3" t="inlineStr"/>
      <c r="AG3" t="inlineStr"/>
      <c r="AH3" t="inlineStr"/>
      <c r="AI3" t="inlineStr"/>
      <c r="AJ3" t="inlineStr">
        <is>
          <t>Leichte Panzerung</t>
        </is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scout-sensors</t>
        </is>
      </c>
      <c r="B4" t="inlineStr">
        <is>
          <t>equipment</t>
        </is>
      </c>
      <c r="C4" t="inlineStr">
        <is>
          <t>["gdi", "nod"]</t>
        </is>
      </c>
      <c r="D4" t="n">
        <v>0</v>
      </c>
      <c r="E4" t="n">
        <v>0</v>
      </c>
      <c r="F4" t="n">
        <v>1</v>
      </c>
      <c r="G4" t="n">
        <v>50</v>
      </c>
      <c r="H4" t="n">
        <v>50</v>
      </c>
      <c r="I4" t="n">
        <v>5</v>
      </c>
      <c r="J4" t="n">
        <v>0</v>
      </c>
      <c r="K4" t="n">
        <v>0</v>
      </c>
      <c r="L4" t="n">
        <v>0</v>
      </c>
      <c r="M4" t="n">
        <v>0</v>
      </c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inlineStr">
        <is>
          <t>Shared 50-credit proposal. Reuse detection/shroud traits, not detection simulated by calculator.</t>
        </is>
      </c>
      <c r="AE4" t="inlineStr">
        <is>
          <t>^SensorEquipment</t>
        </is>
      </c>
      <c r="AF4" t="inlineStr"/>
      <c r="AG4" t="inlineStr"/>
      <c r="AH4" t="inlineStr"/>
      <c r="AI4" t="inlineStr"/>
      <c r="AJ4" t="inlineStr">
        <is>
          <t>Spähsensoren</t>
        </is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scout-mg-mount</t>
        </is>
      </c>
      <c r="B5" t="inlineStr">
        <is>
          <t>carrier</t>
        </is>
      </c>
      <c r="C5" t="inlineStr">
        <is>
          <t>["gdi", "nod"]</t>
        </is>
      </c>
      <c r="D5" t="n">
        <v>0</v>
      </c>
      <c r="E5" t="n">
        <v>0</v>
      </c>
      <c r="F5" t="n">
        <v>1</v>
      </c>
      <c r="G5" t="n">
        <v>25</v>
      </c>
      <c r="H5" t="n">
        <v>100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</v>
      </c>
      <c r="Z5" t="n">
        <v>0</v>
      </c>
      <c r="AA5" t="n">
        <v>30</v>
      </c>
      <c r="AB5" t="n">
        <v>0</v>
      </c>
      <c r="AC5" t="n">
        <v>0</v>
      </c>
      <c r="AD5" t="inlineStr"/>
      <c r="AE5" t="inlineStr">
        <is>
          <t>M60mgTD; HMMV / BGGY turrets</t>
        </is>
      </c>
      <c r="AF5" t="inlineStr"/>
      <c r="AG5" t="inlineStr"/>
      <c r="AH5" t="inlineStr">
        <is>
          <t>["scout-mg"]</t>
        </is>
      </c>
      <c r="AI5" t="inlineStr"/>
      <c r="AJ5" t="inlineStr">
        <is>
          <t>Leichte MG-Lafette</t>
        </is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scout-mg</t>
        </is>
      </c>
      <c r="B6" t="inlineStr">
        <is>
          <t>weapon</t>
        </is>
      </c>
      <c r="C6" t="inlineStr">
        <is>
          <t>["gdi", "nod"]</t>
        </is>
      </c>
      <c r="D6" t="n">
        <v>0</v>
      </c>
      <c r="E6" t="n">
        <v>0</v>
      </c>
      <c r="F6" t="n">
        <v>1</v>
      </c>
      <c r="G6" t="n">
        <v>65</v>
      </c>
      <c r="H6" t="n">
        <v>100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4</v>
      </c>
      <c r="AC6" t="n">
        <v>0</v>
      </c>
      <c r="AD6" t="inlineStr"/>
      <c r="AE6" t="inlineStr">
        <is>
          <t>M60mgTD</t>
        </is>
      </c>
      <c r="AF6" t="inlineStr"/>
      <c r="AG6" t="inlineStr"/>
      <c r="AH6" t="inlineStr"/>
      <c r="AI6" t="inlineStr">
        <is>
          <t>["scout-mg-rounds"]</t>
        </is>
      </c>
      <c r="AJ6" t="inlineStr">
        <is>
          <t>Spähfahrzeug-MG</t>
        </is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scout-mg-rounds</t>
        </is>
      </c>
      <c r="B7" t="inlineStr">
        <is>
          <t>ammunition</t>
        </is>
      </c>
      <c r="C7" t="inlineStr">
        <is>
          <t>["gdi", "nod"]</t>
        </is>
      </c>
      <c r="D7" t="n">
        <v>0</v>
      </c>
      <c r="E7" t="n">
        <v>0</v>
      </c>
      <c r="F7" t="n">
        <v>1</v>
      </c>
      <c r="G7" t="n">
        <v>25</v>
      </c>
      <c r="H7" t="n">
        <v>100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1000</v>
      </c>
      <c r="AD7" t="inlineStr"/>
      <c r="AE7" t="inlineStr">
        <is>
          <t>M60mgTD / ^LightMG / ^Bullet</t>
        </is>
      </c>
      <c r="AF7" t="inlineStr"/>
      <c r="AG7" t="inlineStr"/>
      <c r="AH7" t="inlineStr"/>
      <c r="AI7" t="inlineStr"/>
      <c r="AJ7" t="inlineStr">
        <is>
          <t>MG-Munition</t>
        </is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light-cannon-mount</t>
        </is>
      </c>
      <c r="B8" t="inlineStr">
        <is>
          <t>carrier</t>
        </is>
      </c>
      <c r="C8" t="inlineStr">
        <is>
          <t>["nod", "soviet"]</t>
        </is>
      </c>
      <c r="D8" t="n">
        <v>0</v>
      </c>
      <c r="E8" t="n">
        <v>0</v>
      </c>
      <c r="F8" t="n">
        <v>1</v>
      </c>
      <c r="G8" t="n">
        <v>75</v>
      </c>
      <c r="H8" t="n">
        <v>500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36</v>
      </c>
      <c r="AB8" t="n">
        <v>0</v>
      </c>
      <c r="AC8" t="n">
        <v>0</v>
      </c>
      <c r="AD8" t="inlineStr"/>
      <c r="AE8" t="inlineStr">
        <is>
          <t>30mm / LTNK / T-34 / Devil_Tank</t>
        </is>
      </c>
      <c r="AF8" t="inlineStr"/>
      <c r="AG8" t="inlineStr"/>
      <c r="AH8" t="inlineStr">
        <is>
          <t>["light-cannon"]</t>
        </is>
      </c>
      <c r="AI8" t="inlineStr"/>
      <c r="AJ8" t="inlineStr">
        <is>
          <t>Leichter Kanonenturm</t>
        </is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light-cannon</t>
        </is>
      </c>
      <c r="B9" t="inlineStr">
        <is>
          <t>weapon</t>
        </is>
      </c>
      <c r="C9" t="inlineStr">
        <is>
          <t>["nod", "soviet"]</t>
        </is>
      </c>
      <c r="D9" t="n">
        <v>0</v>
      </c>
      <c r="E9" t="n">
        <v>0</v>
      </c>
      <c r="F9" t="n">
        <v>1</v>
      </c>
      <c r="G9" t="n">
        <v>175</v>
      </c>
      <c r="H9" t="n">
        <v>500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4.75</v>
      </c>
      <c r="AC9" t="n">
        <v>0</v>
      </c>
      <c r="AD9" t="inlineStr"/>
      <c r="AE9" t="inlineStr">
        <is>
          <t>30mm / 25mm / ^Cannon</t>
        </is>
      </c>
      <c r="AF9" t="inlineStr"/>
      <c r="AG9" t="inlineStr"/>
      <c r="AH9" t="inlineStr"/>
      <c r="AI9" t="inlineStr">
        <is>
          <t>["light-tank-shell"]</t>
        </is>
      </c>
      <c r="AJ9" t="inlineStr">
        <is>
          <t>Leichte Panzerkanone</t>
        </is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light-tank-shell</t>
        </is>
      </c>
      <c r="B10" t="inlineStr">
        <is>
          <t>ammunition</t>
        </is>
      </c>
      <c r="C10" t="inlineStr">
        <is>
          <t>["nod", "soviet"]</t>
        </is>
      </c>
      <c r="D10" t="n">
        <v>0</v>
      </c>
      <c r="E10" t="n">
        <v>0</v>
      </c>
      <c r="F10" t="n">
        <v>1</v>
      </c>
      <c r="G10" t="n">
        <v>50</v>
      </c>
      <c r="H10" t="n">
        <v>400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3500</v>
      </c>
      <c r="AD10" t="inlineStr">
        <is>
          <t>Existing versus table is NOT the medium ShellHeavy payload.</t>
        </is>
      </c>
      <c r="AE10" t="inlineStr">
        <is>
          <t>30mm / ^Shell</t>
        </is>
      </c>
      <c r="AF10" t="inlineStr"/>
      <c r="AG10" t="inlineStr"/>
      <c r="AH10" t="inlineStr"/>
      <c r="AI10" t="inlineStr"/>
      <c r="AJ10" t="inlineStr">
        <is>
          <t>Leichte Panzergranaten</t>
        </is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medium-cannon-mount</t>
        </is>
      </c>
      <c r="B11" t="inlineStr">
        <is>
          <t>carrier</t>
        </is>
      </c>
      <c r="C11" t="inlineStr">
        <is>
          <t>["gdi", "allies"]</t>
        </is>
      </c>
      <c r="D11" t="n">
        <v>0</v>
      </c>
      <c r="E11" t="n">
        <v>0</v>
      </c>
      <c r="F11" t="n">
        <v>1</v>
      </c>
      <c r="G11" t="n">
        <v>100</v>
      </c>
      <c r="H11" t="n">
        <v>500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50</v>
      </c>
      <c r="AB11" t="n">
        <v>0</v>
      </c>
      <c r="AC11" t="n">
        <v>0</v>
      </c>
      <c r="AD11" t="inlineStr"/>
      <c r="AE11" t="inlineStr">
        <is>
          <t>90mm / 120mm</t>
        </is>
      </c>
      <c r="AF11" t="inlineStr"/>
      <c r="AG11" t="inlineStr"/>
      <c r="AH11" t="inlineStr">
        <is>
          <t>["medium-cannon"]</t>
        </is>
      </c>
      <c r="AI11" t="inlineStr"/>
      <c r="AJ11" t="inlineStr">
        <is>
          <t>Mittlerer Kanonenturm</t>
        </is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soviet-twin-mount</t>
        </is>
      </c>
      <c r="B12" t="inlineStr">
        <is>
          <t>carrier</t>
        </is>
      </c>
      <c r="C12" t="inlineStr">
        <is>
          <t>["soviet"]</t>
        </is>
      </c>
      <c r="D12" t="n">
        <v>0</v>
      </c>
      <c r="E12" t="n">
        <v>0</v>
      </c>
      <c r="F12" t="n">
        <v>2</v>
      </c>
      <c r="G12" t="n">
        <v>200</v>
      </c>
      <c r="H12" t="n">
        <v>1000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</v>
      </c>
      <c r="Z12" t="n">
        <v>0</v>
      </c>
      <c r="AA12" t="n">
        <v>70</v>
      </c>
      <c r="AB12" t="n">
        <v>0</v>
      </c>
      <c r="AC12" t="n">
        <v>0</v>
      </c>
      <c r="AD12" t="inlineStr"/>
      <c r="AE12" t="inlineStr">
        <is>
          <t>125mm / Heavy_Tank</t>
        </is>
      </c>
      <c r="AF12" t="inlineStr"/>
      <c r="AG12" t="inlineStr"/>
      <c r="AH12" t="inlineStr">
        <is>
          <t>["medium-cannon"]</t>
        </is>
      </c>
      <c r="AI12" t="inlineStr"/>
      <c r="AJ12" t="inlineStr">
        <is>
          <t>Zwillings-Panzerkanonenturm</t>
        </is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medium-cannon</t>
        </is>
      </c>
      <c r="B13" t="inlineStr">
        <is>
          <t>weapon</t>
        </is>
      </c>
      <c r="C13" t="inlineStr">
        <is>
          <t>["gdi", "allies", "soviet"]</t>
        </is>
      </c>
      <c r="D13" t="n">
        <v>0</v>
      </c>
      <c r="E13" t="n">
        <v>0</v>
      </c>
      <c r="F13" t="n">
        <v>1</v>
      </c>
      <c r="G13" t="n">
        <v>200</v>
      </c>
      <c r="H13" t="n">
        <v>500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4.75</v>
      </c>
      <c r="AC13" t="n">
        <v>0</v>
      </c>
      <c r="AD13" t="inlineStr">
        <is>
          <t>Shared scalar gun family. Carrier chooses single/twin cadence; full legacy source binding retains different reports and muzzle/recoil behavior. No caliber inferred for new designs.</t>
        </is>
      </c>
      <c r="AE13" t="inlineStr">
        <is>
          <t>90mm / 120mm / 125mm</t>
        </is>
      </c>
      <c r="AF13" t="inlineStr"/>
      <c r="AG13" t="inlineStr"/>
      <c r="AH13" t="inlineStr"/>
      <c r="AI13" t="inlineStr">
        <is>
          <t>["medium-tank-shell"]</t>
        </is>
      </c>
      <c r="AJ13" t="inlineStr">
        <is>
          <t>Mittlere Panzerkanone</t>
        </is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medium-tank-shell</t>
        </is>
      </c>
      <c r="B14" t="inlineStr">
        <is>
          <t>ammunition</t>
        </is>
      </c>
      <c r="C14" t="inlineStr">
        <is>
          <t>["gdi", "allies", "soviet"]</t>
        </is>
      </c>
      <c r="D14" t="n">
        <v>0</v>
      </c>
      <c r="E14" t="n">
        <v>0</v>
      </c>
      <c r="F14" t="n">
        <v>1</v>
      </c>
      <c r="G14" t="n">
        <v>50</v>
      </c>
      <c r="H14" t="n">
        <v>400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4000</v>
      </c>
      <c r="AD14" t="inlineStr">
        <is>
          <t>Must reuse full existing versus/effect package; raw damage alone is not equivalence.</t>
        </is>
      </c>
      <c r="AE14" t="inlineStr">
        <is>
          <t>^Cannon / ^ShellHeavy</t>
        </is>
      </c>
      <c r="AF14" t="inlineStr"/>
      <c r="AG14" t="inlineStr"/>
      <c r="AH14" t="inlineStr"/>
      <c r="AI14" t="inlineStr"/>
      <c r="AJ14" t="inlineStr">
        <is>
          <t>Panzergranaten gegen schwere Ziele</t>
        </is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field-artillery-mount</t>
        </is>
      </c>
      <c r="B15" t="inlineStr">
        <is>
          <t>carrier</t>
        </is>
      </c>
      <c r="C15" t="inlineStr">
        <is>
          <t>["allies"]</t>
        </is>
      </c>
      <c r="D15" t="n">
        <v>0</v>
      </c>
      <c r="E15" t="n">
        <v>0</v>
      </c>
      <c r="F15" t="n">
        <v>1</v>
      </c>
      <c r="G15" t="n">
        <v>50</v>
      </c>
      <c r="H15" t="n">
        <v>500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60</v>
      </c>
      <c r="AB15" t="n">
        <v>0</v>
      </c>
      <c r="AC15" t="n">
        <v>0</v>
      </c>
      <c r="AD15" t="inlineStr">
        <is>
          <t>Fixed assembly, not a freely rotatable roof turret.</t>
        </is>
      </c>
      <c r="AE15" t="inlineStr">
        <is>
          <t>ARTY / AttackFrontal / 155mm</t>
        </is>
      </c>
      <c r="AF15" t="inlineStr"/>
      <c r="AG15" t="inlineStr"/>
      <c r="AH15" t="inlineStr">
        <is>
          <t>["field-artillery"]</t>
        </is>
      </c>
      <c r="AI15" t="inlineStr"/>
      <c r="AJ15" t="inlineStr">
        <is>
          <t>Festes Artilleriegeschütz</t>
        </is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field-artillery</t>
        </is>
      </c>
      <c r="B16" t="inlineStr">
        <is>
          <t>weapon</t>
        </is>
      </c>
      <c r="C16" t="inlineStr">
        <is>
          <t>["allies"]</t>
        </is>
      </c>
      <c r="D16" t="n">
        <v>0</v>
      </c>
      <c r="E16" t="n">
        <v>0</v>
      </c>
      <c r="F16" t="n">
        <v>1</v>
      </c>
      <c r="G16" t="n">
        <v>200</v>
      </c>
      <c r="H16" t="n">
        <v>700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14</v>
      </c>
      <c r="AC16" t="n">
        <v>0</v>
      </c>
      <c r="AD16" t="inlineStr"/>
      <c r="AE16" t="inlineStr">
        <is>
          <t>155mm / ^Artillery / ^ShellArtillery</t>
        </is>
      </c>
      <c r="AF16" t="inlineStr"/>
      <c r="AG16" t="inlineStr"/>
      <c r="AH16" t="inlineStr"/>
      <c r="AI16" t="inlineStr">
        <is>
          <t>["field-artillery-he"]</t>
        </is>
      </c>
      <c r="AJ16" t="inlineStr">
        <is>
          <t>Feldartillerie</t>
        </is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4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field-artillery-he</t>
        </is>
      </c>
      <c r="B17" t="inlineStr">
        <is>
          <t>ammunition</t>
        </is>
      </c>
      <c r="C17" t="inlineStr">
        <is>
          <t>["allies"]</t>
        </is>
      </c>
      <c r="D17" t="n">
        <v>0</v>
      </c>
      <c r="E17" t="n">
        <v>0</v>
      </c>
      <c r="F17" t="n">
        <v>1</v>
      </c>
      <c r="G17" t="n">
        <v>50</v>
      </c>
      <c r="H17" t="n">
        <v>500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6500</v>
      </c>
      <c r="AD17" t="inlineStr">
        <is>
          <t>Not Juggernaut or mortar ammunition: preserve full projectile spread/effects and targeting.</t>
        </is>
      </c>
      <c r="AE17" t="inlineStr">
        <is>
          <t>155mm</t>
        </is>
      </c>
      <c r="AF17" t="inlineStr"/>
      <c r="AG17" t="inlineStr"/>
      <c r="AH17" t="inlineStr"/>
      <c r="AI17" t="inlineStr"/>
      <c r="AJ17" t="inlineStr">
        <is>
          <t>Artillerie-Sprenggranaten</t>
        </is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humvee-hull</t>
        </is>
      </c>
      <c r="B18" t="inlineStr">
        <is>
          <t>chassis</t>
        </is>
      </c>
      <c r="C18" t="inlineStr">
        <is>
          <t>["gdi"]</t>
        </is>
      </c>
      <c r="D18" t="n">
        <v>1</v>
      </c>
      <c r="E18" t="n">
        <v>0</v>
      </c>
      <c r="F18" t="n">
        <v>1</v>
      </c>
      <c r="G18" t="n">
        <v>125</v>
      </c>
      <c r="H18" t="n">
        <v>1600</v>
      </c>
      <c r="I18" t="n">
        <v>5</v>
      </c>
      <c r="J18" t="n">
        <v>0</v>
      </c>
      <c r="K18" t="n">
        <v>0</v>
      </c>
      <c r="L18" t="n">
        <v>0</v>
      </c>
      <c r="M18" t="n">
        <v>15000</v>
      </c>
      <c r="N18" t="inlineStr"/>
      <c r="O18" t="n">
        <v>0</v>
      </c>
      <c r="P18" t="n">
        <v>0</v>
      </c>
      <c r="Q18" t="n">
        <v>0</v>
      </c>
      <c r="R18" t="n">
        <v>2500</v>
      </c>
      <c r="S18" t="n">
        <v>210</v>
      </c>
      <c r="T18" t="n">
        <v>157</v>
      </c>
      <c r="U18" t="n">
        <v>180</v>
      </c>
      <c r="V18" t="n">
        <v>6000</v>
      </c>
      <c r="W18" t="n">
        <v>1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inlineStr"/>
      <c r="AE18" t="inlineStr">
        <is>
          <t>HMMV</t>
        </is>
      </c>
      <c r="AF18" t="inlineStr">
        <is>
          <t>{"carrier": ["scout-mg-mount"], "drive": ["diesel-light"]}</t>
        </is>
      </c>
      <c r="AG18" t="inlineStr">
        <is>
          <t>["scout-sensors"]</t>
        </is>
      </c>
      <c r="AH18" t="inlineStr"/>
      <c r="AI18" t="inlineStr"/>
      <c r="AJ18" t="inlineStr">
        <is>
          <t>Hum-Vee Rumpf</t>
        </is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inlineStr">
        <is>
          <t>wheels-light</t>
        </is>
      </c>
      <c r="AU18" t="inlineStr">
        <is>
          <t>["wheels-light"]</t>
        </is>
      </c>
      <c r="AV18" t="n">
        <v>0</v>
      </c>
      <c r="AW18" t="n">
        <v>0</v>
      </c>
      <c r="AX18" t="n">
        <v>0</v>
      </c>
      <c r="AY18" t="n">
        <v>80</v>
      </c>
    </row>
    <row r="19">
      <c r="A19" t="inlineStr">
        <is>
          <t>buggy-hull</t>
        </is>
      </c>
      <c r="B19" t="inlineStr">
        <is>
          <t>chassis</t>
        </is>
      </c>
      <c r="C19" t="inlineStr">
        <is>
          <t>["nod"]</t>
        </is>
      </c>
      <c r="D19" t="n">
        <v>1</v>
      </c>
      <c r="E19" t="n">
        <v>0</v>
      </c>
      <c r="F19" t="n">
        <v>1</v>
      </c>
      <c r="G19" t="n">
        <v>75</v>
      </c>
      <c r="H19" t="n">
        <v>1300</v>
      </c>
      <c r="I19" t="n">
        <v>5</v>
      </c>
      <c r="J19" t="n">
        <v>0</v>
      </c>
      <c r="K19" t="n">
        <v>0</v>
      </c>
      <c r="L19" t="n">
        <v>0</v>
      </c>
      <c r="M19" t="n">
        <v>14000</v>
      </c>
      <c r="N19" t="inlineStr"/>
      <c r="O19" t="n">
        <v>0</v>
      </c>
      <c r="P19" t="n">
        <v>0</v>
      </c>
      <c r="Q19" t="n">
        <v>0</v>
      </c>
      <c r="R19" t="n">
        <v>2200</v>
      </c>
      <c r="S19" t="n">
        <v>210</v>
      </c>
      <c r="T19" t="n">
        <v>157</v>
      </c>
      <c r="U19" t="n">
        <v>180</v>
      </c>
      <c r="V19" t="n">
        <v>6000</v>
      </c>
      <c r="W19" t="n">
        <v>1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inlineStr"/>
      <c r="AE19" t="inlineStr">
        <is>
          <t>BGGY</t>
        </is>
      </c>
      <c r="AF19" t="inlineStr">
        <is>
          <t>{"carrier": ["scout-mg-mount"], "drive": ["diesel-light"]}</t>
        </is>
      </c>
      <c r="AG19" t="inlineStr">
        <is>
          <t>["scout-sensors"]</t>
        </is>
      </c>
      <c r="AH19" t="inlineStr"/>
      <c r="AI19" t="inlineStr"/>
      <c r="AJ19" t="inlineStr">
        <is>
          <t>Buggy Rumpf</t>
        </is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inlineStr">
        <is>
          <t>wheels-light</t>
        </is>
      </c>
      <c r="AU19" t="inlineStr">
        <is>
          <t>["wheels-light"]</t>
        </is>
      </c>
      <c r="AV19" t="n">
        <v>0</v>
      </c>
      <c r="AW19" t="n">
        <v>0</v>
      </c>
      <c r="AX19" t="n">
        <v>0</v>
      </c>
      <c r="AY19" t="n">
        <v>48</v>
      </c>
    </row>
    <row r="20">
      <c r="A20" t="inlineStr">
        <is>
          <t>nod-light-hull</t>
        </is>
      </c>
      <c r="B20" t="inlineStr">
        <is>
          <t>chassis</t>
        </is>
      </c>
      <c r="C20" t="inlineStr">
        <is>
          <t>["nod"]</t>
        </is>
      </c>
      <c r="D20" t="n">
        <v>1</v>
      </c>
      <c r="E20" t="n">
        <v>0</v>
      </c>
      <c r="F20" t="n">
        <v>1</v>
      </c>
      <c r="G20" t="n">
        <v>125</v>
      </c>
      <c r="H20" t="n">
        <v>6500</v>
      </c>
      <c r="I20" t="n">
        <v>10</v>
      </c>
      <c r="J20" t="n">
        <v>0</v>
      </c>
      <c r="K20" t="n">
        <v>0</v>
      </c>
      <c r="L20" t="n">
        <v>0</v>
      </c>
      <c r="M20" t="n">
        <v>41250</v>
      </c>
      <c r="N20" t="inlineStr"/>
      <c r="O20" t="n">
        <v>0</v>
      </c>
      <c r="P20" t="n">
        <v>0</v>
      </c>
      <c r="Q20" t="n">
        <v>0</v>
      </c>
      <c r="R20" t="n">
        <v>10000</v>
      </c>
      <c r="S20" t="n">
        <v>460</v>
      </c>
      <c r="T20" t="n">
        <v>100</v>
      </c>
      <c r="U20" t="n">
        <v>125</v>
      </c>
      <c r="V20" t="n">
        <v>18000</v>
      </c>
      <c r="W20" t="n">
        <v>1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inlineStr"/>
      <c r="AE20" t="inlineStr">
        <is>
          <t>LTNK</t>
        </is>
      </c>
      <c r="AF20" t="inlineStr">
        <is>
          <t>{"carrier": ["light-cannon-mount"], "drive": ["diesel"]}</t>
        </is>
      </c>
      <c r="AG20" t="inlineStr">
        <is>
          <t>[]</t>
        </is>
      </c>
      <c r="AH20" t="inlineStr"/>
      <c r="AI20" t="inlineStr"/>
      <c r="AJ20" t="inlineStr">
        <is>
          <t>Nod Leichtpanzerrumpf</t>
        </is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inlineStr">
        <is>
          <t>tracks-standard</t>
        </is>
      </c>
      <c r="AU20" t="inlineStr">
        <is>
          <t>["tracks-standard"]</t>
        </is>
      </c>
      <c r="AV20" t="n">
        <v>0</v>
      </c>
      <c r="AW20" t="n">
        <v>0</v>
      </c>
      <c r="AX20" t="n">
        <v>0</v>
      </c>
      <c r="AY20" t="n">
        <v>48</v>
      </c>
    </row>
    <row r="21">
      <c r="A21" t="inlineStr">
        <is>
          <t>t34-hull</t>
        </is>
      </c>
      <c r="B21" t="inlineStr">
        <is>
          <t>chassis</t>
        </is>
      </c>
      <c r="C21" t="inlineStr">
        <is>
          <t>["soviet"]</t>
        </is>
      </c>
      <c r="D21" t="n">
        <v>1</v>
      </c>
      <c r="E21" t="n">
        <v>0</v>
      </c>
      <c r="F21" t="n">
        <v>1</v>
      </c>
      <c r="G21" t="n">
        <v>100</v>
      </c>
      <c r="H21" t="n">
        <v>6500</v>
      </c>
      <c r="I21" t="n">
        <v>10</v>
      </c>
      <c r="J21" t="n">
        <v>0</v>
      </c>
      <c r="K21" t="n">
        <v>0</v>
      </c>
      <c r="L21" t="n">
        <v>0</v>
      </c>
      <c r="M21" t="n">
        <v>42000</v>
      </c>
      <c r="N21" t="inlineStr"/>
      <c r="O21" t="n">
        <v>0</v>
      </c>
      <c r="P21" t="n">
        <v>0</v>
      </c>
      <c r="Q21" t="n">
        <v>0</v>
      </c>
      <c r="R21" t="n">
        <v>10000</v>
      </c>
      <c r="S21" t="n">
        <v>460</v>
      </c>
      <c r="T21" t="n">
        <v>100</v>
      </c>
      <c r="U21" t="n">
        <v>125</v>
      </c>
      <c r="V21" t="n">
        <v>18000</v>
      </c>
      <c r="W21" t="n">
        <v>1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inlineStr"/>
      <c r="AE21" t="inlineStr">
        <is>
          <t>T-34</t>
        </is>
      </c>
      <c r="AF21" t="inlineStr">
        <is>
          <t>{"carrier": ["light-cannon-mount"], "drive": ["diesel"]}</t>
        </is>
      </c>
      <c r="AG21" t="inlineStr">
        <is>
          <t>[]</t>
        </is>
      </c>
      <c r="AH21" t="inlineStr"/>
      <c r="AI21" t="inlineStr"/>
      <c r="AJ21" t="inlineStr">
        <is>
          <t>T-34 Rumpf</t>
        </is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inlineStr">
        <is>
          <t>tracks-standard</t>
        </is>
      </c>
      <c r="AU21" t="inlineStr">
        <is>
          <t>["tracks-standard"]</t>
        </is>
      </c>
      <c r="AV21" t="n">
        <v>0</v>
      </c>
      <c r="AW21" t="n">
        <v>0</v>
      </c>
      <c r="AX21" t="n">
        <v>0</v>
      </c>
      <c r="AY21" t="n">
        <v>48</v>
      </c>
    </row>
    <row r="22">
      <c r="A22" t="inlineStr">
        <is>
          <t>devil-hull</t>
        </is>
      </c>
      <c r="B22" t="inlineStr">
        <is>
          <t>chassis</t>
        </is>
      </c>
      <c r="C22" t="inlineStr">
        <is>
          <t>["soviet"]</t>
        </is>
      </c>
      <c r="D22" t="n">
        <v>1</v>
      </c>
      <c r="E22" t="n">
        <v>0</v>
      </c>
      <c r="F22" t="n">
        <v>1</v>
      </c>
      <c r="G22" t="n">
        <v>200</v>
      </c>
      <c r="H22" t="n">
        <v>7000</v>
      </c>
      <c r="I22" t="n">
        <v>10</v>
      </c>
      <c r="J22" t="n">
        <v>0</v>
      </c>
      <c r="K22" t="n">
        <v>0</v>
      </c>
      <c r="L22" t="n">
        <v>0</v>
      </c>
      <c r="M22" t="n">
        <v>45000</v>
      </c>
      <c r="N22" t="inlineStr"/>
      <c r="O22" t="n">
        <v>0</v>
      </c>
      <c r="P22" t="n">
        <v>0</v>
      </c>
      <c r="Q22" t="n">
        <v>0</v>
      </c>
      <c r="R22" t="n">
        <v>10500</v>
      </c>
      <c r="S22" t="n">
        <v>460</v>
      </c>
      <c r="T22" t="n">
        <v>90</v>
      </c>
      <c r="U22" t="n">
        <v>115</v>
      </c>
      <c r="V22" t="n">
        <v>18000</v>
      </c>
      <c r="W22" t="n">
        <v>1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inlineStr"/>
      <c r="AE22" t="inlineStr">
        <is>
          <t>Devil_Tank</t>
        </is>
      </c>
      <c r="AF22" t="inlineStr">
        <is>
          <t>{"carrier": ["light-cannon-mount"], "drive": ["diesel"]}</t>
        </is>
      </c>
      <c r="AG22" t="inlineStr">
        <is>
          <t>[]</t>
        </is>
      </c>
      <c r="AH22" t="inlineStr"/>
      <c r="AI22" t="inlineStr"/>
      <c r="AJ22" t="inlineStr">
        <is>
          <t>Devil-Tank Rumpf</t>
        </is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inlineStr">
        <is>
          <t>tracks-standard</t>
        </is>
      </c>
      <c r="AU22" t="inlineStr">
        <is>
          <t>["tracks-standard"]</t>
        </is>
      </c>
      <c r="AV22" t="n">
        <v>0</v>
      </c>
      <c r="AW22" t="n">
        <v>0</v>
      </c>
      <c r="AX22" t="n">
        <v>0</v>
      </c>
      <c r="AY22" t="n">
        <v>48</v>
      </c>
    </row>
    <row r="23">
      <c r="A23" t="inlineStr">
        <is>
          <t>gdi-battle-hull</t>
        </is>
      </c>
      <c r="B23" t="inlineStr">
        <is>
          <t>chassis</t>
        </is>
      </c>
      <c r="C23" t="inlineStr">
        <is>
          <t>["gdi"]</t>
        </is>
      </c>
      <c r="D23" t="n">
        <v>1</v>
      </c>
      <c r="E23" t="n">
        <v>0</v>
      </c>
      <c r="F23" t="n">
        <v>1</v>
      </c>
      <c r="G23" t="n">
        <v>350</v>
      </c>
      <c r="H23" t="n">
        <v>8000</v>
      </c>
      <c r="I23" t="n">
        <v>10</v>
      </c>
      <c r="J23" t="n">
        <v>0</v>
      </c>
      <c r="K23" t="n">
        <v>0</v>
      </c>
      <c r="L23" t="n">
        <v>0</v>
      </c>
      <c r="M23" t="n">
        <v>52000</v>
      </c>
      <c r="N23" t="inlineStr"/>
      <c r="O23" t="n">
        <v>0</v>
      </c>
      <c r="P23" t="n">
        <v>0</v>
      </c>
      <c r="Q23" t="n">
        <v>0</v>
      </c>
      <c r="R23" t="n">
        <v>11500</v>
      </c>
      <c r="S23" t="n">
        <v>460</v>
      </c>
      <c r="T23" t="n">
        <v>82</v>
      </c>
      <c r="U23" t="n">
        <v>110</v>
      </c>
      <c r="V23" t="n">
        <v>20000</v>
      </c>
      <c r="W23" t="n">
        <v>1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inlineStr"/>
      <c r="AE23" t="inlineStr">
        <is>
          <t>MTNK</t>
        </is>
      </c>
      <c r="AF23" t="inlineStr">
        <is>
          <t>{"carrier": ["medium-cannon-mount"], "drive": ["diesel"]}</t>
        </is>
      </c>
      <c r="AG23" t="inlineStr">
        <is>
          <t>[]</t>
        </is>
      </c>
      <c r="AH23" t="inlineStr"/>
      <c r="AI23" t="inlineStr"/>
      <c r="AJ23" t="inlineStr">
        <is>
          <t>GDI Kampfpanzer-Rumpf</t>
        </is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inlineStr">
        <is>
          <t>tracks-standard</t>
        </is>
      </c>
      <c r="AU23" t="inlineStr">
        <is>
          <t>["tracks-standard"]</t>
        </is>
      </c>
      <c r="AV23" t="n">
        <v>0</v>
      </c>
      <c r="AW23" t="n">
        <v>0</v>
      </c>
      <c r="AX23" t="n">
        <v>0</v>
      </c>
      <c r="AY23" t="n">
        <v>48</v>
      </c>
    </row>
    <row r="24">
      <c r="A24" t="inlineStr">
        <is>
          <t>allied-medium-hull</t>
        </is>
      </c>
      <c r="B24" t="inlineStr">
        <is>
          <t>chassis</t>
        </is>
      </c>
      <c r="C24" t="inlineStr">
        <is>
          <t>["allies"]</t>
        </is>
      </c>
      <c r="D24" t="n">
        <v>1</v>
      </c>
      <c r="E24" t="n">
        <v>0</v>
      </c>
      <c r="F24" t="n">
        <v>1</v>
      </c>
      <c r="G24" t="n">
        <v>250</v>
      </c>
      <c r="H24" t="n">
        <v>7500</v>
      </c>
      <c r="I24" t="n">
        <v>10</v>
      </c>
      <c r="J24" t="n">
        <v>0</v>
      </c>
      <c r="K24" t="n">
        <v>0</v>
      </c>
      <c r="L24" t="n">
        <v>0</v>
      </c>
      <c r="M24" t="n">
        <v>45000</v>
      </c>
      <c r="N24" t="inlineStr"/>
      <c r="O24" t="n">
        <v>0</v>
      </c>
      <c r="P24" t="n">
        <v>0</v>
      </c>
      <c r="Q24" t="n">
        <v>0</v>
      </c>
      <c r="R24" t="n">
        <v>11000</v>
      </c>
      <c r="S24" t="n">
        <v>460</v>
      </c>
      <c r="T24" t="n">
        <v>82</v>
      </c>
      <c r="U24" t="n">
        <v>110</v>
      </c>
      <c r="V24" t="n">
        <v>20000</v>
      </c>
      <c r="W24" t="n">
        <v>1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inlineStr">
        <is>
          <t>Shared scalar hull family for Challenger/Leclerc/Leopard; artwork remains bound to complete actor variant. 2TNK itself is not buildable.</t>
        </is>
      </c>
      <c r="AE24" t="inlineStr">
        <is>
          <t>2TNK</t>
        </is>
      </c>
      <c r="AF24" t="inlineStr">
        <is>
          <t>{"carrier": ["medium-cannon-mount"], "drive": ["diesel"]}</t>
        </is>
      </c>
      <c r="AG24" t="inlineStr">
        <is>
          <t>[]</t>
        </is>
      </c>
      <c r="AH24" t="inlineStr"/>
      <c r="AI24" t="inlineStr"/>
      <c r="AJ24" t="inlineStr">
        <is>
          <t>Alliierter Kampfpanzer-Rumpf</t>
        </is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inlineStr">
        <is>
          <t>tracks-standard</t>
        </is>
      </c>
      <c r="AU24" t="inlineStr">
        <is>
          <t>["tracks-standard"]</t>
        </is>
      </c>
      <c r="AV24" t="n">
        <v>0</v>
      </c>
      <c r="AW24" t="n">
        <v>0</v>
      </c>
      <c r="AX24" t="n">
        <v>0</v>
      </c>
      <c r="AY24" t="n">
        <v>48</v>
      </c>
    </row>
    <row r="25">
      <c r="A25" t="inlineStr">
        <is>
          <t>soviet-heavy-hull</t>
        </is>
      </c>
      <c r="B25" t="inlineStr">
        <is>
          <t>chassis</t>
        </is>
      </c>
      <c r="C25" t="inlineStr">
        <is>
          <t>["soviet"]</t>
        </is>
      </c>
      <c r="D25" t="n">
        <v>2</v>
      </c>
      <c r="E25" t="n">
        <v>0</v>
      </c>
      <c r="F25" t="n">
        <v>2</v>
      </c>
      <c r="G25" t="n">
        <v>450</v>
      </c>
      <c r="H25" t="n">
        <v>11000</v>
      </c>
      <c r="I25" t="n">
        <v>10</v>
      </c>
      <c r="J25" t="n">
        <v>0</v>
      </c>
      <c r="K25" t="n">
        <v>0</v>
      </c>
      <c r="L25" t="n">
        <v>0</v>
      </c>
      <c r="M25" t="n">
        <v>65000</v>
      </c>
      <c r="N25" t="inlineStr"/>
      <c r="O25" t="n">
        <v>0</v>
      </c>
      <c r="P25" t="n">
        <v>0</v>
      </c>
      <c r="Q25" t="n">
        <v>0</v>
      </c>
      <c r="R25" t="n">
        <v>15000</v>
      </c>
      <c r="S25" t="n">
        <v>460</v>
      </c>
      <c r="T25" t="n">
        <v>68</v>
      </c>
      <c r="U25" t="n">
        <v>95</v>
      </c>
      <c r="V25" t="n">
        <v>20000</v>
      </c>
      <c r="W25" t="n">
        <v>1</v>
      </c>
      <c r="X25" t="n">
        <v>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inlineStr"/>
      <c r="AE25" t="inlineStr">
        <is>
          <t>Heavy_Tank</t>
        </is>
      </c>
      <c r="AF25" t="inlineStr">
        <is>
          <t>{"carrier": ["soviet-twin-mount"], "drive": ["diesel"]}</t>
        </is>
      </c>
      <c r="AG25" t="inlineStr">
        <is>
          <t>[]</t>
        </is>
      </c>
      <c r="AH25" t="inlineStr"/>
      <c r="AI25" t="inlineStr"/>
      <c r="AJ25" t="inlineStr">
        <is>
          <t>Sowjetischer schwerer Panzerrumpf</t>
        </is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inlineStr">
        <is>
          <t>tracks-standard</t>
        </is>
      </c>
      <c r="AU25" t="inlineStr">
        <is>
          <t>["tracks-standard"]</t>
        </is>
      </c>
      <c r="AV25" t="n">
        <v>0</v>
      </c>
      <c r="AW25" t="n">
        <v>0</v>
      </c>
      <c r="AX25" t="n">
        <v>0</v>
      </c>
      <c r="AY25" t="n">
        <v>48</v>
      </c>
    </row>
    <row r="26">
      <c r="A26" t="inlineStr">
        <is>
          <t>field-artillery-hull</t>
        </is>
      </c>
      <c r="B26" t="inlineStr">
        <is>
          <t>chassis</t>
        </is>
      </c>
      <c r="C26" t="inlineStr">
        <is>
          <t>["allies"]</t>
        </is>
      </c>
      <c r="D26" t="n">
        <v>1</v>
      </c>
      <c r="E26" t="n">
        <v>0</v>
      </c>
      <c r="F26" t="n">
        <v>1</v>
      </c>
      <c r="G26" t="n">
        <v>75</v>
      </c>
      <c r="H26" t="n">
        <v>5000</v>
      </c>
      <c r="I26" t="n">
        <v>10</v>
      </c>
      <c r="J26" t="n">
        <v>0</v>
      </c>
      <c r="K26" t="n">
        <v>0</v>
      </c>
      <c r="L26" t="n">
        <v>0</v>
      </c>
      <c r="M26" t="n">
        <v>10000</v>
      </c>
      <c r="N26" t="inlineStr"/>
      <c r="O26" t="n">
        <v>0</v>
      </c>
      <c r="P26" t="n">
        <v>0</v>
      </c>
      <c r="Q26" t="n">
        <v>0</v>
      </c>
      <c r="R26" t="n">
        <v>8300</v>
      </c>
      <c r="S26" t="n">
        <v>460</v>
      </c>
      <c r="T26" t="n">
        <v>56</v>
      </c>
      <c r="U26" t="n">
        <v>80</v>
      </c>
      <c r="V26" t="n">
        <v>14000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inlineStr">
        <is>
          <t>Light armor despite tracked graphics. Fixed hull/gun artwork, no free turret replacement.</t>
        </is>
      </c>
      <c r="AE26" t="inlineStr">
        <is>
          <t>ARTY</t>
        </is>
      </c>
      <c r="AF26" t="inlineStr">
        <is>
          <t>{"carrier": ["field-artillery-mount"], "drive": ["diesel"]}</t>
        </is>
      </c>
      <c r="AG26" t="inlineStr">
        <is>
          <t>[]</t>
        </is>
      </c>
      <c r="AH26" t="inlineStr"/>
      <c r="AI26" t="inlineStr"/>
      <c r="AJ26" t="inlineStr">
        <is>
          <t>Leichter Artillerierumpf</t>
        </is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inlineStr">
        <is>
          <t>tracks-light-artillery</t>
        </is>
      </c>
      <c r="AU26" t="inlineStr">
        <is>
          <t>["tracks-light-artillery"]</t>
        </is>
      </c>
      <c r="AV26" t="n">
        <v>0</v>
      </c>
      <c r="AW26" t="n">
        <v>0</v>
      </c>
      <c r="AX26" t="n">
        <v>0</v>
      </c>
      <c r="AY26" t="n">
        <v>16</v>
      </c>
    </row>
    <row r="27">
      <c r="A27" t="inlineStr">
        <is>
          <t>tracks-standard</t>
        </is>
      </c>
      <c r="B27" t="inlineStr">
        <is>
          <t>running_gear</t>
        </is>
      </c>
      <c r="C27" t="inlineStr">
        <is>
          <t>["china", "gdi", "nod", "allies", "soviet"]</t>
        </is>
      </c>
      <c r="D27" t="n">
        <v>0</v>
      </c>
      <c r="E27" t="n">
        <v>0</v>
      </c>
      <c r="F27" t="n">
        <v>1</v>
      </c>
      <c r="G27" t="n">
        <v>100</v>
      </c>
      <c r="H27" t="n">
        <v>1500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inlineStr"/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150</v>
      </c>
      <c r="V27" t="n">
        <v>20000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inlineStr">
        <is>
          <t>Shared provisional mechanical allocation removed from old hull values, not an extra retrofit charge. Engine movement template unchanged; hull limits turning.</t>
        </is>
      </c>
      <c r="AE27" t="inlineStr"/>
      <c r="AF27" t="inlineStr"/>
      <c r="AG27" t="inlineStr"/>
      <c r="AH27" t="inlineStr"/>
      <c r="AI27" t="inlineStr"/>
      <c r="AJ27" t="inlineStr">
        <is>
          <t>Standard-Kettenlaufwerk</t>
        </is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inlineStr">
        <is>
          <t>tracked</t>
        </is>
      </c>
      <c r="AW27" t="inlineStr">
        <is>
          <t>tracks</t>
        </is>
      </c>
      <c r="AX27" t="n">
        <v>64</v>
      </c>
      <c r="AY27" t="n">
        <v>0</v>
      </c>
    </row>
    <row r="28">
      <c r="A28" t="inlineStr">
        <is>
          <t>tracks-superheavy</t>
        </is>
      </c>
      <c r="B28" t="inlineStr">
        <is>
          <t>running_gear</t>
        </is>
      </c>
      <c r="C28" t="inlineStr">
        <is>
          <t>["china", "gdi", "soviet"]</t>
        </is>
      </c>
      <c r="D28" t="n">
        <v>0</v>
      </c>
      <c r="E28" t="n">
        <v>0</v>
      </c>
      <c r="F28" t="n">
        <v>2</v>
      </c>
      <c r="G28" t="n">
        <v>250</v>
      </c>
      <c r="H28" t="n">
        <v>5000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inlineStr"/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90</v>
      </c>
      <c r="V28" t="n">
        <v>45000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inlineStr"/>
      <c r="AE28" t="inlineStr"/>
      <c r="AF28" t="inlineStr"/>
      <c r="AG28" t="inlineStr"/>
      <c r="AH28" t="inlineStr"/>
      <c r="AI28" t="inlineStr"/>
      <c r="AJ28" t="inlineStr">
        <is>
          <t>Schwerlast-Kettenlaufwerk</t>
        </is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inlineStr">
        <is>
          <t>sheavytracked</t>
        </is>
      </c>
      <c r="AW28" t="inlineStr">
        <is>
          <t>tracks</t>
        </is>
      </c>
      <c r="AX28" t="n">
        <v>16</v>
      </c>
      <c r="AY28" t="n">
        <v>0</v>
      </c>
    </row>
    <row r="29">
      <c r="A29" t="inlineStr">
        <is>
          <t>walker-heavy</t>
        </is>
      </c>
      <c r="B29" t="inlineStr">
        <is>
          <t>running_gear</t>
        </is>
      </c>
      <c r="C29" t="inlineStr">
        <is>
          <t>["gdi"]</t>
        </is>
      </c>
      <c r="D29" t="n">
        <v>0</v>
      </c>
      <c r="E29" t="n">
        <v>0</v>
      </c>
      <c r="F29" t="n">
        <v>3</v>
      </c>
      <c r="G29" t="n">
        <v>300</v>
      </c>
      <c r="H29" t="n">
        <v>3500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inlineStr"/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50</v>
      </c>
      <c r="V29" t="n">
        <v>30000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inlineStr">
        <is>
          <t>Juggernaut physically walks, but its existing engine Locomotor is sheavytracked. Artwork does not determine locomotor semantics.</t>
        </is>
      </c>
      <c r="AE29" t="inlineStr"/>
      <c r="AF29" t="inlineStr"/>
      <c r="AG29" t="inlineStr"/>
      <c r="AH29" t="inlineStr"/>
      <c r="AI29" t="inlineStr"/>
      <c r="AJ29" t="inlineStr">
        <is>
          <t>Schweres Schreitwerk</t>
        </is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inlineStr">
        <is>
          <t>sheavytracked</t>
        </is>
      </c>
      <c r="AW29" t="inlineStr">
        <is>
          <t>walker</t>
        </is>
      </c>
      <c r="AX29" t="n">
        <v>16</v>
      </c>
      <c r="AY29" t="n">
        <v>0</v>
      </c>
    </row>
    <row r="30">
      <c r="A30" t="inlineStr">
        <is>
          <t>wheels-light</t>
        </is>
      </c>
      <c r="B30" t="inlineStr">
        <is>
          <t>running_gear</t>
        </is>
      </c>
      <c r="C30" t="inlineStr">
        <is>
          <t>["gdi", "nod", "allies", "soviet"]</t>
        </is>
      </c>
      <c r="D30" t="n">
        <v>0</v>
      </c>
      <c r="E30" t="n">
        <v>0</v>
      </c>
      <c r="F30" t="n">
        <v>1</v>
      </c>
      <c r="G30" t="n">
        <v>50</v>
      </c>
      <c r="H30" t="n">
        <v>300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inlineStr"/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180</v>
      </c>
      <c r="V30" t="n">
        <v>6000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inlineStr"/>
      <c r="AE30" t="inlineStr"/>
      <c r="AF30" t="inlineStr"/>
      <c r="AG30" t="inlineStr"/>
      <c r="AH30" t="inlineStr"/>
      <c r="AI30" t="inlineStr"/>
      <c r="AJ30" t="inlineStr">
        <is>
          <t>Leichtes Radfahrwerk</t>
        </is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inlineStr">
        <is>
          <t>wheeled</t>
        </is>
      </c>
      <c r="AW30" t="inlineStr">
        <is>
          <t>wheels</t>
        </is>
      </c>
      <c r="AX30" t="n">
        <v>80</v>
      </c>
      <c r="AY30" t="n">
        <v>0</v>
      </c>
    </row>
    <row r="31">
      <c r="A31" t="inlineStr">
        <is>
          <t>tracks-light-artillery</t>
        </is>
      </c>
      <c r="B31" t="inlineStr">
        <is>
          <t>running_gear</t>
        </is>
      </c>
      <c r="C31" t="inlineStr">
        <is>
          <t>["allies"]</t>
        </is>
      </c>
      <c r="D31" t="n">
        <v>0</v>
      </c>
      <c r="E31" t="n">
        <v>0</v>
      </c>
      <c r="F31" t="n">
        <v>1</v>
      </c>
      <c r="G31" t="n">
        <v>75</v>
      </c>
      <c r="H31" t="n">
        <v>1000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inlineStr"/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130</v>
      </c>
      <c r="V31" t="n">
        <v>14000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inlineStr">
        <is>
          <t>No infantry crush: exact existing lighttracked locomotor, not ordinary tracked.</t>
        </is>
      </c>
      <c r="AE31" t="inlineStr"/>
      <c r="AF31" t="inlineStr"/>
      <c r="AG31" t="inlineStr"/>
      <c r="AH31" t="inlineStr"/>
      <c r="AI31" t="inlineStr"/>
      <c r="AJ31" t="inlineStr">
        <is>
          <t>Leichtes Kettenlaufwerk</t>
        </is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inlineStr">
        <is>
          <t>lighttracked</t>
        </is>
      </c>
      <c r="AW31" t="inlineStr">
        <is>
          <t>tracks</t>
        </is>
      </c>
      <c r="AX31" t="n">
        <v>64</v>
      </c>
      <c r="AY31" t="n">
        <v>0</v>
      </c>
    </row>
    <row r="32">
      <c r="A32" t="inlineStr">
        <is>
          <t>mortar-roof-carrier</t>
        </is>
      </c>
      <c r="B32" t="inlineStr">
        <is>
          <t>carrier</t>
        </is>
      </c>
      <c r="C32" t="inlineStr">
        <is>
          <t>["china"]</t>
        </is>
      </c>
      <c r="D32" t="n">
        <v>1</v>
      </c>
      <c r="E32" t="n">
        <v>0</v>
      </c>
      <c r="F32" t="n">
        <v>3</v>
      </c>
      <c r="G32" t="n">
        <v>200</v>
      </c>
      <c r="H32" t="n">
        <v>400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inlineStr"/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60</v>
      </c>
      <c r="AB32" t="n">
        <v>0</v>
      </c>
      <c r="AC32" t="n">
        <v>0</v>
      </c>
      <c r="AD32" t="inlineStr">
        <is>
          <t>Experimental China gameplay carrier using existing artillery artwork, not Allied weapon access. Proposed 200-credit mount, 12 turn speed. Offset, scale, recoil and muzzle on Overlord not live-tested; infantry Mortar FireDelay 15 retained as a trial.</t>
        </is>
      </c>
      <c r="AE32" t="inlineStr">
        <is>
          <t>batf.artillery.turret / artytur.shp</t>
        </is>
      </c>
      <c r="AF32" t="inlineStr"/>
      <c r="AG32" t="inlineStr"/>
      <c r="AH32" t="inlineStr">
        <is>
          <t>["roof-mortar"]</t>
        </is>
      </c>
      <c r="AI32" t="inlineStr"/>
      <c r="AJ32" t="inlineStr">
        <is>
          <t>Leichter Artillerie-Aufsatzturm</t>
        </is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15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roof-mortar</t>
        </is>
      </c>
      <c r="B33" t="inlineStr">
        <is>
          <t>weapon</t>
        </is>
      </c>
      <c r="C33" t="inlineStr">
        <is>
          <t>["china"]</t>
        </is>
      </c>
      <c r="D33" t="n">
        <v>1</v>
      </c>
      <c r="E33" t="n">
        <v>0</v>
      </c>
      <c r="F33" t="n">
        <v>3</v>
      </c>
      <c r="G33" t="n">
        <v>350</v>
      </c>
      <c r="H33" t="n">
        <v>600</v>
      </c>
      <c r="I33" t="n">
        <v>3</v>
      </c>
      <c r="J33" t="n">
        <v>0</v>
      </c>
      <c r="K33" t="n">
        <v>0</v>
      </c>
      <c r="L33" t="n">
        <v>0</v>
      </c>
      <c r="M33" t="n">
        <v>0</v>
      </c>
      <c r="N33" t="inlineStr"/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11</v>
      </c>
      <c r="AC33" t="n">
        <v>0</v>
      </c>
      <c r="AD33" t="inlineStr">
        <is>
          <t>Existing BulletCA: speed 166, launch angle 92, inaccuracy 768, BOMB image. New vehicle price, mass and power are proposals, not inferred from 150-credit infantry.</t>
        </is>
      </c>
      <c r="AE33" t="inlineStr">
        <is>
          <t>Mortar / MortarPrototype</t>
        </is>
      </c>
      <c r="AF33" t="inlineStr"/>
      <c r="AG33" t="inlineStr"/>
      <c r="AH33" t="inlineStr"/>
      <c r="AI33" t="inlineStr">
        <is>
          <t>["mortar-he"]</t>
        </is>
      </c>
      <c r="AJ33" t="inlineStr">
        <is>
          <t>Leichter Fahrzeugmoerser</t>
        </is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1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mortar-he</t>
        </is>
      </c>
      <c r="B34" t="inlineStr">
        <is>
          <t>ammunition</t>
        </is>
      </c>
      <c r="C34" t="inlineStr">
        <is>
          <t>["china"]</t>
        </is>
      </c>
      <c r="D34" t="n">
        <v>0</v>
      </c>
      <c r="E34" t="n">
        <v>0</v>
      </c>
      <c r="F34" t="n">
        <v>3</v>
      </c>
      <c r="G34" t="n">
        <v>100</v>
      </c>
      <c r="H34" t="n">
        <v>300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inlineStr"/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5500</v>
      </c>
      <c r="AD34" t="inlineStr">
        <is>
          <t>Raw primary damage only, not DPS. Full impact/smudge/water effects belong to existing payload template; no compiler yet.</t>
        </is>
      </c>
      <c r="AE34" t="inlineStr">
        <is>
          <t>MortarPrototype</t>
        </is>
      </c>
      <c r="AF34" t="inlineStr"/>
      <c r="AG34" t="inlineStr"/>
      <c r="AH34" t="inlineStr"/>
      <c r="AI34" t="inlineStr"/>
      <c r="AJ34" t="inlineStr">
        <is>
          <t>Moerser-Sprenggranaten</t>
        </is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overlord-chassis</t>
        </is>
      </c>
      <c r="B35" t="inlineStr">
        <is>
          <t>chassis</t>
        </is>
      </c>
      <c r="C35" t="inlineStr">
        <is>
          <t>["china"]</t>
        </is>
      </c>
      <c r="D35" t="n">
        <v>3</v>
      </c>
      <c r="E35" t="n">
        <v>0</v>
      </c>
      <c r="F35" t="n">
        <v>2</v>
      </c>
      <c r="G35" t="n">
        <v>750</v>
      </c>
      <c r="H35" t="n">
        <v>20000</v>
      </c>
      <c r="I35" t="n">
        <v>10</v>
      </c>
      <c r="J35" t="n">
        <v>0</v>
      </c>
      <c r="K35" t="n">
        <v>0</v>
      </c>
      <c r="L35" t="n">
        <v>0</v>
      </c>
      <c r="M35" t="n">
        <v>95000</v>
      </c>
      <c r="N35" t="inlineStr"/>
      <c r="O35" t="n">
        <v>0</v>
      </c>
      <c r="P35" t="n">
        <v>0</v>
      </c>
      <c r="Q35" t="n">
        <v>0</v>
      </c>
      <c r="R35" t="n">
        <v>32000</v>
      </c>
      <c r="S35" t="n">
        <v>960</v>
      </c>
      <c r="T35" t="n">
        <v>56</v>
      </c>
      <c r="U35" t="n">
        <v>70</v>
      </c>
      <c r="V35" t="n">
        <v>45000</v>
      </c>
      <c r="W35" t="n">
        <v>2</v>
      </c>
      <c r="X35" t="n">
        <v>3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inlineStr">
        <is>
          <t>Main heavy carrier plus shared roof slot for an approved auxiliary carrier, bunker or speaker. Emperor 80% received-damage modifier is excluded from base state.</t>
        </is>
      </c>
      <c r="AE35" t="inlineStr">
        <is>
          <t>choverlord</t>
        </is>
      </c>
      <c r="AF35" t="inlineStr">
        <is>
          <t>{"carrier": ["heavy-twin-turret"], "drive": ["diesel-heavy", "diesel-heavy-boost"]}</t>
        </is>
      </c>
      <c r="AG35" t="inlineStr">
        <is>
          <t>["pdl", "propaganda-speaker", "firing-bunker"]</t>
        </is>
      </c>
      <c r="AH35" t="inlineStr"/>
      <c r="AI35" t="inlineStr"/>
      <c r="AJ35" t="inlineStr">
        <is>
          <t>Schwerer Rumpf (Overlord)</t>
        </is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inlineStr">
        <is>
          <t>{"slot": "roof", "carriers": ["gatling-roof-carrier"], "experimental_carriers": ["flame-turret", "mortar-roof-carrier"]}</t>
        </is>
      </c>
      <c r="AQ35" t="n">
        <v>0</v>
      </c>
      <c r="AR35" t="n">
        <v>0</v>
      </c>
      <c r="AS35" t="n">
        <v>0</v>
      </c>
      <c r="AT35" t="inlineStr">
        <is>
          <t>tracks-superheavy</t>
        </is>
      </c>
      <c r="AU35" t="inlineStr">
        <is>
          <t>["tracks-superheavy"]</t>
        </is>
      </c>
      <c r="AV35" t="n">
        <v>0</v>
      </c>
      <c r="AW35" t="n">
        <v>0</v>
      </c>
      <c r="AX35" t="n">
        <v>0</v>
      </c>
      <c r="AY35" t="n">
        <v>8</v>
      </c>
    </row>
    <row r="36">
      <c r="A36" t="inlineStr">
        <is>
          <t>diesel-heavy</t>
        </is>
      </c>
      <c r="B36" t="inlineStr">
        <is>
          <t>drive</t>
        </is>
      </c>
      <c r="C36" t="inlineStr">
        <is>
          <t>["china", "gdi", "soviet"]</t>
        </is>
      </c>
      <c r="D36" t="n">
        <v>1</v>
      </c>
      <c r="E36" t="n">
        <v>0</v>
      </c>
      <c r="F36" t="n">
        <v>2</v>
      </c>
      <c r="G36" t="n">
        <v>300</v>
      </c>
      <c r="H36" t="n">
        <v>2000</v>
      </c>
      <c r="I36" t="n">
        <v>0</v>
      </c>
      <c r="J36" t="n">
        <v>1000</v>
      </c>
      <c r="K36" t="n">
        <v>0</v>
      </c>
      <c r="L36" t="n">
        <v>0</v>
      </c>
      <c r="M36" t="n">
        <v>0</v>
      </c>
      <c r="N36" t="inlineStr"/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inlineStr">
        <is>
          <t>New provisional heavy family, not a formula derived from engine size.</t>
        </is>
      </c>
      <c r="AE36" t="inlineStr"/>
      <c r="AF36" t="inlineStr"/>
      <c r="AG36" t="inlineStr"/>
      <c r="AH36" t="inlineStr"/>
      <c r="AI36" t="inlineStr"/>
      <c r="AJ36" t="inlineStr">
        <is>
          <t>Schwerer Dieselmotor</t>
        </is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diesel-heavy-boost</t>
        </is>
      </c>
      <c r="B37" t="inlineStr">
        <is>
          <t>drive</t>
        </is>
      </c>
      <c r="C37" t="inlineStr">
        <is>
          <t>["china", "gdi", "soviet"]</t>
        </is>
      </c>
      <c r="D37" t="n">
        <v>2</v>
      </c>
      <c r="E37" t="n">
        <v>0</v>
      </c>
      <c r="F37" t="n">
        <v>2</v>
      </c>
      <c r="G37" t="n">
        <v>400</v>
      </c>
      <c r="H37" t="n">
        <v>2000</v>
      </c>
      <c r="I37" t="n">
        <v>0</v>
      </c>
      <c r="J37" t="n">
        <v>1045</v>
      </c>
      <c r="K37" t="n">
        <v>0</v>
      </c>
      <c r="L37" t="n">
        <v>0</v>
      </c>
      <c r="M37" t="n">
        <v>0</v>
      </c>
      <c r="N37" t="inlineStr"/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inlineStr"/>
      <c r="AE37" t="inlineStr"/>
      <c r="AF37" t="inlineStr"/>
      <c r="AG37" t="inlineStr"/>
      <c r="AH37" t="inlineStr"/>
      <c r="AI37" t="inlineStr"/>
      <c r="AJ37" t="inlineStr">
        <is>
          <t>Leistungsgesteigerter schwerer Dieselmotor</t>
        </is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heavy-twin-turret</t>
        </is>
      </c>
      <c r="B38" t="inlineStr">
        <is>
          <t>carrier</t>
        </is>
      </c>
      <c r="C38" t="inlineStr">
        <is>
          <t>["china"]</t>
        </is>
      </c>
      <c r="D38" t="n">
        <v>0</v>
      </c>
      <c r="E38" t="n">
        <v>0</v>
      </c>
      <c r="F38" t="n">
        <v>2</v>
      </c>
      <c r="G38" t="n">
        <v>250</v>
      </c>
      <c r="H38" t="n">
        <v>2000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inlineStr"/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</v>
      </c>
      <c r="Z38" t="n">
        <v>6</v>
      </c>
      <c r="AA38" t="n">
        <v>90</v>
      </c>
      <c r="AB38" t="n">
        <v>0</v>
      </c>
      <c r="AC38" t="n">
        <v>0</v>
      </c>
      <c r="AD38" t="inlineStr">
        <is>
          <t>Normal, nuclear and speaker artwork bindings must select appropriate existing turret sequences; no claim of arbitrary visual interchangeability.</t>
        </is>
      </c>
      <c r="AE38" t="inlineStr">
        <is>
          <t>OverlordCannon</t>
        </is>
      </c>
      <c r="AF38" t="inlineStr"/>
      <c r="AG38" t="inlineStr"/>
      <c r="AH38" t="inlineStr">
        <is>
          <t>["overlord-cannon"]</t>
        </is>
      </c>
      <c r="AI38" t="inlineStr"/>
      <c r="AJ38" t="inlineStr">
        <is>
          <t>Schwerer Zwillingsgeschützturm</t>
        </is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overlord-cannon</t>
        </is>
      </c>
      <c r="B39" t="inlineStr">
        <is>
          <t>weapon</t>
        </is>
      </c>
      <c r="C39" t="inlineStr">
        <is>
          <t>["china"]</t>
        </is>
      </c>
      <c r="D39" t="n">
        <v>0</v>
      </c>
      <c r="E39" t="n">
        <v>0</v>
      </c>
      <c r="F39" t="n">
        <v>2</v>
      </c>
      <c r="G39" t="n">
        <v>300</v>
      </c>
      <c r="H39" t="n">
        <v>1500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inlineStr"/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5</v>
      </c>
      <c r="AC39" t="n">
        <v>0</v>
      </c>
      <c r="AD39" t="inlineStr"/>
      <c r="AE39" t="inlineStr">
        <is>
          <t>OverlordCannon</t>
        </is>
      </c>
      <c r="AF39" t="inlineStr"/>
      <c r="AG39" t="inlineStr"/>
      <c r="AH39" t="inlineStr"/>
      <c r="AI39" t="inlineStr">
        <is>
          <t>["heavy-shell", "heavy-nuclear-shell"]</t>
        </is>
      </c>
      <c r="AJ39" t="inlineStr">
        <is>
          <t>Schwere Panzerkanone</t>
        </is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heavy-shell</t>
        </is>
      </c>
      <c r="B40" t="inlineStr">
        <is>
          <t>ammunition</t>
        </is>
      </c>
      <c r="C40" t="inlineStr">
        <is>
          <t>["china"]</t>
        </is>
      </c>
      <c r="D40" t="n">
        <v>0</v>
      </c>
      <c r="E40" t="n">
        <v>0</v>
      </c>
      <c r="F40" t="n">
        <v>2</v>
      </c>
      <c r="G40" t="n">
        <v>150</v>
      </c>
      <c r="H40" t="n">
        <v>1500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inlineStr"/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8000</v>
      </c>
      <c r="AD40" t="inlineStr"/>
      <c r="AE40" t="inlineStr">
        <is>
          <t>OverlordCannon</t>
        </is>
      </c>
      <c r="AF40" t="inlineStr"/>
      <c r="AG40" t="inlineStr"/>
      <c r="AH40" t="inlineStr"/>
      <c r="AI40" t="inlineStr"/>
      <c r="AJ40" t="inlineStr">
        <is>
          <t>Schwere Panzergranaten</t>
        </is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heavy-nuclear-shell</t>
        </is>
      </c>
      <c r="B41" t="inlineStr">
        <is>
          <t>ammunition</t>
        </is>
      </c>
      <c r="C41" t="inlineStr">
        <is>
          <t>["china"]</t>
        </is>
      </c>
      <c r="D41" t="n">
        <v>1</v>
      </c>
      <c r="E41" t="n">
        <v>1</v>
      </c>
      <c r="F41" t="n">
        <v>3</v>
      </c>
      <c r="G41" t="n">
        <v>950</v>
      </c>
      <c r="H41" t="n">
        <v>1500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inlineStr"/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24000</v>
      </c>
      <c r="AD41" t="inlineStr">
        <is>
          <t>Base nuclear Overlord price fits +800 hardware minus 300/CP. Full radiation/projectile/effect rules reused later; no nuclear motor implied.</t>
        </is>
      </c>
      <c r="AE41" t="inlineStr">
        <is>
          <t>OverlordCannonNuclear</t>
        </is>
      </c>
      <c r="AF41" t="inlineStr"/>
      <c r="AG41" t="inlineStr"/>
      <c r="AH41" t="inlineStr"/>
      <c r="AI41" t="inlineStr"/>
      <c r="AJ41" t="inlineStr">
        <is>
          <t>Schwere Nukleargranaten</t>
        </is>
      </c>
      <c r="AK41" t="n">
        <v>0</v>
      </c>
      <c r="AL41" t="n">
        <v>5.5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firing-bunker</t>
        </is>
      </c>
      <c r="B42" t="inlineStr">
        <is>
          <t>equipment</t>
        </is>
      </c>
      <c r="C42" t="inlineStr">
        <is>
          <t>["china"]</t>
        </is>
      </c>
      <c r="D42" t="n">
        <v>1</v>
      </c>
      <c r="E42" t="n">
        <v>1</v>
      </c>
      <c r="F42" t="n">
        <v>3</v>
      </c>
      <c r="G42" t="n">
        <v>100</v>
      </c>
      <c r="H42" t="n">
        <v>600</v>
      </c>
      <c r="I42" t="n">
        <v>5</v>
      </c>
      <c r="J42" t="n">
        <v>0</v>
      </c>
      <c r="K42" t="n">
        <v>0</v>
      </c>
      <c r="L42" t="n">
        <v>0</v>
      </c>
      <c r="M42" t="n">
        <v>0</v>
      </c>
      <c r="N42" t="inlineStr"/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inlineStr">
        <is>
          <t>Empty module. Start crew is a separate design selection; price/mass added once. Empty cost/mass experimental. PDL composition uses ^AttackingCargoAndPDL; requires turretbunker artwork.</t>
        </is>
      </c>
      <c r="AE42" t="inlineStr">
        <is>
          <t>^AttackingCargoAndTurret</t>
        </is>
      </c>
      <c r="AF42" t="inlineStr"/>
      <c r="AG42" t="inlineStr"/>
      <c r="AH42" t="inlineStr"/>
      <c r="AI42" t="inlineStr"/>
      <c r="AJ42" t="inlineStr">
        <is>
          <t>Besetzbarer Bunker</t>
        </is>
      </c>
      <c r="AK42" t="n">
        <v>0</v>
      </c>
      <c r="AL42" t="n">
        <v>0</v>
      </c>
      <c r="AM42" t="n">
        <v>4</v>
      </c>
      <c r="AN42" t="n">
        <v>0</v>
      </c>
      <c r="AO42" t="inlineStr">
        <is>
          <t>roof</t>
        </is>
      </c>
      <c r="AP42" t="n">
        <v>0</v>
      </c>
      <c r="AQ42" t="inlineStr">
        <is>
          <t>["che1", "che3", "minigunner"]</t>
        </is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gatling-roof-carrier</t>
        </is>
      </c>
      <c r="B43" t="inlineStr">
        <is>
          <t>carrier</t>
        </is>
      </c>
      <c r="C43" t="inlineStr">
        <is>
          <t>["china"]</t>
        </is>
      </c>
      <c r="D43" t="n">
        <v>1</v>
      </c>
      <c r="E43" t="n">
        <v>1</v>
      </c>
      <c r="F43" t="n">
        <v>3</v>
      </c>
      <c r="G43" t="n">
        <v>50</v>
      </c>
      <c r="H43" t="n">
        <v>300</v>
      </c>
      <c r="I43" t="n">
        <v>5</v>
      </c>
      <c r="J43" t="n">
        <v>0</v>
      </c>
      <c r="K43" t="n">
        <v>0</v>
      </c>
      <c r="L43" t="n">
        <v>0</v>
      </c>
      <c r="M43" t="n">
        <v>0</v>
      </c>
      <c r="N43" t="inlineStr"/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12</v>
      </c>
      <c r="AB43" t="n">
        <v>0</v>
      </c>
      <c r="AC43" t="n">
        <v>0</v>
      </c>
      <c r="AD43" t="inlineStr">
        <is>
          <t>Shares gatling weapon/ammunition. Complete legacy behavior includes sensor equipment, ground/AA spin-up and turretgat sprite; 50-credit carrier allocation is a provisional fit, not intrinsic market value.</t>
        </is>
      </c>
      <c r="AE43" t="inlineStr">
        <is>
          <t>^ChinaGatlingOverlord + ^SensorEquipment</t>
        </is>
      </c>
      <c r="AF43" t="inlineStr"/>
      <c r="AG43" t="inlineStr"/>
      <c r="AH43" t="inlineStr">
        <is>
          <t>["gatling-gun"]</t>
        </is>
      </c>
      <c r="AI43" t="inlineStr"/>
      <c r="AJ43" t="inlineStr">
        <is>
          <t>Gatling-Aufsatzturm</t>
        </is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propaganda-speaker</t>
        </is>
      </c>
      <c r="B44" t="inlineStr">
        <is>
          <t>equipment</t>
        </is>
      </c>
      <c r="C44" t="inlineStr">
        <is>
          <t>["china"]</t>
        </is>
      </c>
      <c r="D44" t="n">
        <v>1</v>
      </c>
      <c r="E44" t="n">
        <v>1</v>
      </c>
      <c r="F44" t="n">
        <v>3</v>
      </c>
      <c r="G44" t="n">
        <v>500</v>
      </c>
      <c r="H44" t="n">
        <v>500</v>
      </c>
      <c r="I44" t="n">
        <v>20</v>
      </c>
      <c r="J44" t="n">
        <v>0</v>
      </c>
      <c r="K44" t="n">
        <v>0</v>
      </c>
      <c r="L44" t="n">
        <v>0</v>
      </c>
      <c r="M44" t="n">
        <v>0</v>
      </c>
      <c r="N44" t="inlineStr"/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inlineStr">
        <is>
          <t>Existing aura/upgrade traits to reuse. +500 hardware minus 300/CP fits base price; mass and load deliberately expose speed residuals.</t>
        </is>
      </c>
      <c r="AE44" t="inlineStr">
        <is>
          <t>^PropagandaSpeaker</t>
        </is>
      </c>
      <c r="AF44" t="inlineStr"/>
      <c r="AG44" t="inlineStr"/>
      <c r="AH44" t="inlineStr"/>
      <c r="AI44" t="inlineStr"/>
      <c r="AJ44" t="inlineStr">
        <is>
          <t>Propagandalautsprecher</t>
        </is>
      </c>
      <c r="AK44" t="n">
        <v>0</v>
      </c>
      <c r="AL44" t="n">
        <v>0</v>
      </c>
      <c r="AM44" t="n">
        <v>0</v>
      </c>
      <c r="AN44" t="n">
        <v>0</v>
      </c>
      <c r="AO44" t="inlineStr">
        <is>
          <t>roof</t>
        </is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battlemaster</t>
        </is>
      </c>
      <c r="B45" t="inlineStr">
        <is>
          <t>chassis</t>
        </is>
      </c>
      <c r="C45" t="inlineStr">
        <is>
          <t>["china"]</t>
        </is>
      </c>
      <c r="D45" t="n">
        <v>1</v>
      </c>
      <c r="E45" t="n">
        <v>0</v>
      </c>
      <c r="F45" t="n">
        <v>1</v>
      </c>
      <c r="G45" t="n">
        <v>400</v>
      </c>
      <c r="H45" t="n">
        <v>6500</v>
      </c>
      <c r="I45" t="n">
        <v>10</v>
      </c>
      <c r="J45" t="n">
        <v>0</v>
      </c>
      <c r="K45" t="n">
        <v>0</v>
      </c>
      <c r="L45" t="n">
        <v>0</v>
      </c>
      <c r="M45" t="n">
        <v>40000</v>
      </c>
      <c r="N45" t="inlineStr"/>
      <c r="O45" t="n">
        <v>0</v>
      </c>
      <c r="P45" t="n">
        <v>0</v>
      </c>
      <c r="Q45" t="n">
        <v>0</v>
      </c>
      <c r="R45" t="n">
        <v>10000</v>
      </c>
      <c r="S45" t="n">
        <v>460</v>
      </c>
      <c r="T45" t="n">
        <v>100</v>
      </c>
      <c r="U45" t="n">
        <v>125</v>
      </c>
      <c r="V45" t="n">
        <v>18000</v>
      </c>
      <c r="W45" t="n">
        <v>1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inlineStr"/>
      <c r="AE45" t="inlineStr">
        <is>
          <t>chbattle</t>
        </is>
      </c>
      <c r="AF45" t="inlineStr">
        <is>
          <t>{"carrier": ["cannon-turret", "autoloader-turret"], "drive": ["diesel", "diesel-large", "nuclear"]}</t>
        </is>
      </c>
      <c r="AG45" t="inlineStr">
        <is>
          <t>["pdl"]</t>
        </is>
      </c>
      <c r="AH45" t="inlineStr"/>
      <c r="AI45" t="inlineStr"/>
      <c r="AJ45" t="inlineStr">
        <is>
          <t>Type 59 Chassis</t>
        </is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inlineStr">
        <is>
          <t>tracks-standard</t>
        </is>
      </c>
      <c r="AU45" t="inlineStr">
        <is>
          <t>["tracks-standard"]</t>
        </is>
      </c>
      <c r="AV45" t="n">
        <v>0</v>
      </c>
      <c r="AW45" t="n">
        <v>0</v>
      </c>
      <c r="AX45" t="n">
        <v>0</v>
      </c>
      <c r="AY45" t="n">
        <v>48</v>
      </c>
    </row>
    <row r="46">
      <c r="A46" t="inlineStr">
        <is>
          <t>mass-production</t>
        </is>
      </c>
      <c r="B46" t="inlineStr">
        <is>
          <t>manufacturing</t>
        </is>
      </c>
      <c r="C46" t="inlineStr">
        <is>
          <t>["china"]</t>
        </is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inlineStr"/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inlineStr">
        <is>
          <t>Separate manufacturing selection, not chassis or physical equipment. Provisional 5% reduction of all hardware before global CP deduction; not the joint-fit optimum. No special per-design rebate.</t>
        </is>
      </c>
      <c r="AE46" t="inlineStr"/>
      <c r="AF46" t="inlineStr"/>
      <c r="AG46" t="inlineStr"/>
      <c r="AH46" t="inlineStr"/>
      <c r="AI46" t="inlineStr"/>
      <c r="AJ46" t="inlineStr">
        <is>
          <t>Massenproduktion</t>
        </is>
      </c>
      <c r="AK46" t="n">
        <v>95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dragon-chassis</t>
        </is>
      </c>
      <c r="B47" t="inlineStr">
        <is>
          <t>chassis</t>
        </is>
      </c>
      <c r="C47" t="inlineStr">
        <is>
          <t>["china"]</t>
        </is>
      </c>
      <c r="D47" t="n">
        <v>1</v>
      </c>
      <c r="E47" t="n">
        <v>0</v>
      </c>
      <c r="F47" t="n">
        <v>1</v>
      </c>
      <c r="G47" t="n">
        <v>150</v>
      </c>
      <c r="H47" t="n">
        <v>5000</v>
      </c>
      <c r="I47" t="n">
        <v>10</v>
      </c>
      <c r="J47" t="n">
        <v>0</v>
      </c>
      <c r="K47" t="n">
        <v>0</v>
      </c>
      <c r="L47" t="n">
        <v>0</v>
      </c>
      <c r="M47" t="n">
        <v>28000</v>
      </c>
      <c r="N47" t="inlineStr"/>
      <c r="O47" t="n">
        <v>0</v>
      </c>
      <c r="P47" t="n">
        <v>0</v>
      </c>
      <c r="Q47" t="n">
        <v>0</v>
      </c>
      <c r="R47" t="n">
        <v>8000</v>
      </c>
      <c r="S47" t="n">
        <v>460</v>
      </c>
      <c r="T47" t="n">
        <v>103</v>
      </c>
      <c r="U47" t="n">
        <v>125</v>
      </c>
      <c r="V47" t="n">
        <v>14000</v>
      </c>
      <c r="W47" t="n">
        <v>1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inlineStr">
        <is>
          <t>Base price/HP/speed fitted. Firewall deploy behavior and Black Napalm remain source references, not implemented.</t>
        </is>
      </c>
      <c r="AE47" t="inlineStr">
        <is>
          <t>chdragon</t>
        </is>
      </c>
      <c r="AF47" t="inlineStr">
        <is>
          <t>{"carrier": ["flame-turret"], "drive": ["diesel", "diesel-large"]}</t>
        </is>
      </c>
      <c r="AG47" t="inlineStr">
        <is>
          <t>["pdl"]</t>
        </is>
      </c>
      <c r="AH47" t="inlineStr"/>
      <c r="AI47" t="inlineStr"/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inlineStr">
        <is>
          <t>tracks-standard</t>
        </is>
      </c>
      <c r="AU47" t="inlineStr">
        <is>
          <t>["tracks-standard"]</t>
        </is>
      </c>
      <c r="AV47" t="n">
        <v>0</v>
      </c>
      <c r="AW47" t="n">
        <v>0</v>
      </c>
      <c r="AX47" t="n">
        <v>0</v>
      </c>
      <c r="AY47" t="n">
        <v>48</v>
      </c>
    </row>
    <row r="48">
      <c r="A48" t="inlineStr">
        <is>
          <t>gatling-chassis</t>
        </is>
      </c>
      <c r="B48" t="inlineStr">
        <is>
          <t>chassis</t>
        </is>
      </c>
      <c r="C48" t="inlineStr">
        <is>
          <t>["china"]</t>
        </is>
      </c>
      <c r="D48" t="n">
        <v>1</v>
      </c>
      <c r="E48" t="n">
        <v>0</v>
      </c>
      <c r="F48" t="n">
        <v>1</v>
      </c>
      <c r="G48" t="n">
        <v>250</v>
      </c>
      <c r="H48" t="n">
        <v>5500</v>
      </c>
      <c r="I48" t="n">
        <v>10</v>
      </c>
      <c r="J48" t="n">
        <v>0</v>
      </c>
      <c r="K48" t="n">
        <v>0</v>
      </c>
      <c r="L48" t="n">
        <v>0</v>
      </c>
      <c r="M48" t="n">
        <v>30000</v>
      </c>
      <c r="N48" t="inlineStr"/>
      <c r="O48" t="n">
        <v>0</v>
      </c>
      <c r="P48" t="n">
        <v>0</v>
      </c>
      <c r="Q48" t="n">
        <v>0</v>
      </c>
      <c r="R48" t="n">
        <v>9000</v>
      </c>
      <c r="S48" t="n">
        <v>460</v>
      </c>
      <c r="T48" t="n">
        <v>108</v>
      </c>
      <c r="U48" t="n">
        <v>130</v>
      </c>
      <c r="V48" t="n">
        <v>16000</v>
      </c>
      <c r="W48" t="n">
        <v>1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inlineStr">
        <is>
          <t>Legacy sight override 6c0; preserve as audit metadata, not a claim of standard sight equivalence. AA/ground spool-up not simulated.</t>
        </is>
      </c>
      <c r="AE48" t="inlineStr">
        <is>
          <t>chgtnk</t>
        </is>
      </c>
      <c r="AF48" t="inlineStr">
        <is>
          <t>{"carrier": ["gatling-turret"], "drive": ["diesel", "diesel-large"]}</t>
        </is>
      </c>
      <c r="AG48" t="inlineStr">
        <is>
          <t>["pdl"]</t>
        </is>
      </c>
      <c r="AH48" t="inlineStr"/>
      <c r="AI48" t="inlineStr"/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inlineStr">
        <is>
          <t>tracks-standard</t>
        </is>
      </c>
      <c r="AU48" t="inlineStr">
        <is>
          <t>["tracks-standard"]</t>
        </is>
      </c>
      <c r="AV48" t="n">
        <v>0</v>
      </c>
      <c r="AW48" t="n">
        <v>0</v>
      </c>
      <c r="AX48" t="n">
        <v>0</v>
      </c>
      <c r="AY48" t="n">
        <v>48</v>
      </c>
    </row>
    <row r="49">
      <c r="A49" t="inlineStr">
        <is>
          <t>flame-turret</t>
        </is>
      </c>
      <c r="B49" t="inlineStr">
        <is>
          <t>carrier</t>
        </is>
      </c>
      <c r="C49" t="inlineStr">
        <is>
          <t>["china"]</t>
        </is>
      </c>
      <c r="D49" t="n">
        <v>0</v>
      </c>
      <c r="E49" t="n">
        <v>0</v>
      </c>
      <c r="F49" t="n">
        <v>1</v>
      </c>
      <c r="G49" t="n">
        <v>75</v>
      </c>
      <c r="H49" t="n">
        <v>400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inlineStr"/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8</v>
      </c>
      <c r="Z49" t="n">
        <v>4</v>
      </c>
      <c r="AA49" t="n">
        <v>45</v>
      </c>
      <c r="AB49" t="n">
        <v>0</v>
      </c>
      <c r="AC49" t="n">
        <v>0</v>
      </c>
      <c r="AD49" t="inlineStr">
        <is>
          <t>Normal attack only; deployed Firewall has additional armaments and state changes.</t>
        </is>
      </c>
      <c r="AE49" t="inlineStr">
        <is>
          <t>CHDragonFlamer</t>
        </is>
      </c>
      <c r="AF49" t="inlineStr"/>
      <c r="AG49" t="inlineStr"/>
      <c r="AH49" t="inlineStr">
        <is>
          <t>["dragon-flamer"]</t>
        </is>
      </c>
      <c r="AI49" t="inlineStr"/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dragon-flamer</t>
        </is>
      </c>
      <c r="B50" t="inlineStr">
        <is>
          <t>weapon</t>
        </is>
      </c>
      <c r="C50" t="inlineStr">
        <is>
          <t>["china"]</t>
        </is>
      </c>
      <c r="D50" t="n">
        <v>0</v>
      </c>
      <c r="E50" t="n">
        <v>0</v>
      </c>
      <c r="F50" t="n">
        <v>1</v>
      </c>
      <c r="G50" t="n">
        <v>125</v>
      </c>
      <c r="H50" t="n">
        <v>400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inlineStr"/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5</v>
      </c>
      <c r="AC50" t="n">
        <v>0</v>
      </c>
      <c r="AD50" t="inlineStr"/>
      <c r="AE50" t="inlineStr">
        <is>
          <t>CHDragonFlamer</t>
        </is>
      </c>
      <c r="AF50" t="inlineStr"/>
      <c r="AG50" t="inlineStr"/>
      <c r="AH50" t="inlineStr"/>
      <c r="AI50" t="inlineStr">
        <is>
          <t>["flame-fuel"]</t>
        </is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flame-fuel</t>
        </is>
      </c>
      <c r="B51" t="inlineStr">
        <is>
          <t>ammunition</t>
        </is>
      </c>
      <c r="C51" t="inlineStr">
        <is>
          <t>["china"]</t>
        </is>
      </c>
      <c r="D51" t="n">
        <v>0</v>
      </c>
      <c r="E51" t="n">
        <v>0</v>
      </c>
      <c r="F51" t="n">
        <v>1</v>
      </c>
      <c r="G51" t="n">
        <v>50</v>
      </c>
      <c r="H51" t="n">
        <v>100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inlineStr"/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2500</v>
      </c>
      <c r="AD51" t="inlineStr">
        <is>
          <t>Raw primary warhead only; fire clusters, heat and garrison damage omitted from calculator.</t>
        </is>
      </c>
      <c r="AE51" t="inlineStr"/>
      <c r="AF51" t="inlineStr"/>
      <c r="AG51" t="inlineStr"/>
      <c r="AH51" t="inlineStr"/>
      <c r="AI51" t="inlineStr"/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gatling-turret</t>
        </is>
      </c>
      <c r="B52" t="inlineStr">
        <is>
          <t>carrier</t>
        </is>
      </c>
      <c r="C52" t="inlineStr">
        <is>
          <t>["china"]</t>
        </is>
      </c>
      <c r="D52" t="n">
        <v>0</v>
      </c>
      <c r="E52" t="n">
        <v>0</v>
      </c>
      <c r="F52" t="n">
        <v>1</v>
      </c>
      <c r="G52" t="n">
        <v>100</v>
      </c>
      <c r="H52" t="n">
        <v>500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inlineStr"/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12</v>
      </c>
      <c r="AB52" t="n">
        <v>0</v>
      </c>
      <c r="AC52" t="n">
        <v>0</v>
      </c>
      <c r="AD52" t="inlineStr">
        <is>
          <t>Ground cold-state representative only. Reload stages 12/8/4/2 ticks, separate air/ground charge, thresholds 1/3/5, reset delay 40. Full attack-state behavior not modeled.</t>
        </is>
      </c>
      <c r="AE52" t="inlineStr">
        <is>
          <t>^ChinaGatling</t>
        </is>
      </c>
      <c r="AF52" t="inlineStr"/>
      <c r="AG52" t="inlineStr"/>
      <c r="AH52" t="inlineStr">
        <is>
          <t>["gatling-gun"]</t>
        </is>
      </c>
      <c r="AI52" t="inlineStr"/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gatling-gun</t>
        </is>
      </c>
      <c r="B53" t="inlineStr">
        <is>
          <t>weapon</t>
        </is>
      </c>
      <c r="C53" t="inlineStr">
        <is>
          <t>["china"]</t>
        </is>
      </c>
      <c r="D53" t="n">
        <v>0</v>
      </c>
      <c r="E53" t="n">
        <v>0</v>
      </c>
      <c r="F53" t="n">
        <v>1</v>
      </c>
      <c r="G53" t="n">
        <v>150</v>
      </c>
      <c r="H53" t="n">
        <v>500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inlineStr"/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6</v>
      </c>
      <c r="AC53" t="n">
        <v>0</v>
      </c>
      <c r="AD53" t="inlineStr">
        <is>
          <t>Ground range 6 cells; AA uses ChinaMGatt.0 with range 9.5. Not a single fixed weapon.</t>
        </is>
      </c>
      <c r="AE53" t="inlineStr">
        <is>
          <t>ChinaMGatt.0G</t>
        </is>
      </c>
      <c r="AF53" t="inlineStr"/>
      <c r="AG53" t="inlineStr"/>
      <c r="AH53" t="inlineStr"/>
      <c r="AI53" t="inlineStr">
        <is>
          <t>["gatling-rounds"]</t>
        </is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gatling-rounds</t>
        </is>
      </c>
      <c r="B54" t="inlineStr">
        <is>
          <t>ammunition</t>
        </is>
      </c>
      <c r="C54" t="inlineStr">
        <is>
          <t>["china"]</t>
        </is>
      </c>
      <c r="D54" t="n">
        <v>0</v>
      </c>
      <c r="E54" t="n">
        <v>0</v>
      </c>
      <c r="F54" t="n">
        <v>1</v>
      </c>
      <c r="G54" t="n">
        <v>100</v>
      </c>
      <c r="H54" t="n">
        <v>400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inlineStr"/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350</v>
      </c>
      <c r="AD54" t="inlineStr">
        <is>
          <t>Raw ground damage 350; AA raw damage 660. Values are not DPS.</t>
        </is>
      </c>
      <c r="AE54" t="inlineStr"/>
      <c r="AF54" t="inlineStr"/>
      <c r="AG54" t="inlineStr"/>
      <c r="AH54" t="inlineStr"/>
      <c r="AI54" t="inlineStr"/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juggernaut</t>
        </is>
      </c>
      <c r="B55" t="inlineStr">
        <is>
          <t>chassis</t>
        </is>
      </c>
      <c r="C55" t="inlineStr">
        <is>
          <t>["gdi"]</t>
        </is>
      </c>
      <c r="D55" t="n">
        <v>3</v>
      </c>
      <c r="E55" t="n">
        <v>0</v>
      </c>
      <c r="F55" t="n">
        <v>3</v>
      </c>
      <c r="G55" t="n">
        <v>800</v>
      </c>
      <c r="H55" t="n">
        <v>12500</v>
      </c>
      <c r="I55" t="n">
        <v>10</v>
      </c>
      <c r="J55" t="n">
        <v>0</v>
      </c>
      <c r="K55" t="n">
        <v>0</v>
      </c>
      <c r="L55" t="n">
        <v>0</v>
      </c>
      <c r="M55" t="n">
        <v>60000</v>
      </c>
      <c r="N55" t="inlineStr"/>
      <c r="O55" t="n">
        <v>0</v>
      </c>
      <c r="P55" t="n">
        <v>0</v>
      </c>
      <c r="Q55" t="n">
        <v>0</v>
      </c>
      <c r="R55" t="n">
        <v>20000</v>
      </c>
      <c r="S55" t="n">
        <v>460</v>
      </c>
      <c r="T55" t="n">
        <v>50</v>
      </c>
      <c r="U55" t="n">
        <v>50</v>
      </c>
      <c r="V55" t="n">
        <v>30000</v>
      </c>
      <c r="W55" t="n">
        <v>1</v>
      </c>
      <c r="X55" t="n">
        <v>3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inlineStr"/>
      <c r="AE55" t="inlineStr">
        <is>
          <t>Juggernaut</t>
        </is>
      </c>
      <c r="AF55" t="inlineStr">
        <is>
          <t>{"carrier": ["fixed-triple"], "drive": ["diesel"]}</t>
        </is>
      </c>
      <c r="AG55" t="inlineStr">
        <is>
          <t>[]</t>
        </is>
      </c>
      <c r="AH55" t="inlineStr"/>
      <c r="AI55" t="inlineStr"/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inlineStr">
        <is>
          <t>walker-heavy</t>
        </is>
      </c>
      <c r="AU55" t="inlineStr">
        <is>
          <t>["walker-heavy"]</t>
        </is>
      </c>
      <c r="AV55" t="n">
        <v>0</v>
      </c>
      <c r="AW55" t="n">
        <v>0</v>
      </c>
      <c r="AX55" t="n">
        <v>0</v>
      </c>
      <c r="AY55" t="n">
        <v>16</v>
      </c>
    </row>
    <row r="56">
      <c r="A56" t="inlineStr">
        <is>
          <t>heavy-tesla</t>
        </is>
      </c>
      <c r="B56" t="inlineStr">
        <is>
          <t>chassis</t>
        </is>
      </c>
      <c r="C56" t="inlineStr">
        <is>
          <t>["soviet"]</t>
        </is>
      </c>
      <c r="D56" t="n">
        <v>2</v>
      </c>
      <c r="E56" t="n">
        <v>0</v>
      </c>
      <c r="F56" t="n">
        <v>2</v>
      </c>
      <c r="G56" t="n">
        <v>500</v>
      </c>
      <c r="H56" t="n">
        <v>6500</v>
      </c>
      <c r="I56" t="n">
        <v>10</v>
      </c>
      <c r="J56" t="n">
        <v>0</v>
      </c>
      <c r="K56" t="n">
        <v>0</v>
      </c>
      <c r="L56" t="n">
        <v>0</v>
      </c>
      <c r="M56" t="n">
        <v>48000</v>
      </c>
      <c r="N56" t="inlineStr"/>
      <c r="O56" t="n">
        <v>0</v>
      </c>
      <c r="P56" t="n">
        <v>0</v>
      </c>
      <c r="Q56" t="n">
        <v>0</v>
      </c>
      <c r="R56" t="n">
        <v>10000</v>
      </c>
      <c r="S56" t="n">
        <v>260</v>
      </c>
      <c r="T56" t="n">
        <v>100</v>
      </c>
      <c r="U56" t="n">
        <v>110</v>
      </c>
      <c r="V56" t="n">
        <v>18000</v>
      </c>
      <c r="W56" t="n">
        <v>1</v>
      </c>
      <c r="X56" t="n">
        <v>2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inlineStr"/>
      <c r="AE56" t="inlineStr">
        <is>
          <t>TTNK.RA2</t>
        </is>
      </c>
      <c r="AF56" t="inlineStr">
        <is>
          <t>{"carrier": ["twin-coil"], "drive": ["diesel", "nuclear"]}</t>
        </is>
      </c>
      <c r="AG56" t="inlineStr">
        <is>
          <t>[]</t>
        </is>
      </c>
      <c r="AH56" t="inlineStr"/>
      <c r="AI56" t="inlineStr"/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inlineStr">
        <is>
          <t>tracks-standard</t>
        </is>
      </c>
      <c r="AU56" t="inlineStr">
        <is>
          <t>["tracks-standard"]</t>
        </is>
      </c>
      <c r="AV56" t="n">
        <v>0</v>
      </c>
      <c r="AW56" t="n">
        <v>0</v>
      </c>
      <c r="AX56" t="n">
        <v>0</v>
      </c>
      <c r="AY56" t="n">
        <v>48</v>
      </c>
    </row>
    <row r="57">
      <c r="A57" t="inlineStr">
        <is>
          <t>diesel</t>
        </is>
      </c>
      <c r="B57" t="inlineStr">
        <is>
          <t>drive</t>
        </is>
      </c>
      <c r="C57" t="inlineStr">
        <is>
          <t>["china", "gdi", "soviet", "nod", "allies"]</t>
        </is>
      </c>
      <c r="D57" t="n">
        <v>0</v>
      </c>
      <c r="E57" t="n">
        <v>0</v>
      </c>
      <c r="F57" t="n">
        <v>1</v>
      </c>
      <c r="G57" t="n">
        <v>100</v>
      </c>
      <c r="H57" t="n">
        <v>600</v>
      </c>
      <c r="I57" t="n">
        <v>0</v>
      </c>
      <c r="J57" t="n">
        <v>500</v>
      </c>
      <c r="K57" t="n">
        <v>0</v>
      </c>
      <c r="L57" t="n">
        <v>0</v>
      </c>
      <c r="M57" t="n">
        <v>0</v>
      </c>
      <c r="N57" t="inlineStr"/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inlineStr"/>
      <c r="AE57" t="inlineStr"/>
      <c r="AF57" t="inlineStr"/>
      <c r="AG57" t="inlineStr"/>
      <c r="AH57" t="inlineStr"/>
      <c r="AI57" t="inlineStr"/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diesel-large</t>
        </is>
      </c>
      <c r="B58" t="inlineStr">
        <is>
          <t>drive</t>
        </is>
      </c>
      <c r="C58" t="inlineStr">
        <is>
          <t>["china", "gdi", "soviet"]</t>
        </is>
      </c>
      <c r="D58" t="n">
        <v>1</v>
      </c>
      <c r="E58" t="n">
        <v>0</v>
      </c>
      <c r="F58" t="n">
        <v>2</v>
      </c>
      <c r="G58" t="n">
        <v>200</v>
      </c>
      <c r="H58" t="n">
        <v>600</v>
      </c>
      <c r="I58" t="n">
        <v>0</v>
      </c>
      <c r="J58" t="n">
        <v>550</v>
      </c>
      <c r="K58" t="n">
        <v>0</v>
      </c>
      <c r="L58" t="n">
        <v>0</v>
      </c>
      <c r="M58" t="n">
        <v>0</v>
      </c>
      <c r="N58" t="inlineStr"/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inlineStr"/>
      <c r="AE58" t="inlineStr"/>
      <c r="AF58" t="inlineStr"/>
      <c r="AG58" t="inlineStr"/>
      <c r="AH58" t="inlineStr"/>
      <c r="AI58" t="inlineStr"/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nuclear</t>
        </is>
      </c>
      <c r="B59" t="inlineStr">
        <is>
          <t>drive</t>
        </is>
      </c>
      <c r="C59" t="inlineStr">
        <is>
          <t>["china", "soviet"]</t>
        </is>
      </c>
      <c r="D59" t="n">
        <v>1</v>
      </c>
      <c r="E59" t="n">
        <v>1</v>
      </c>
      <c r="F59" t="n">
        <v>2</v>
      </c>
      <c r="G59" t="n">
        <v>400</v>
      </c>
      <c r="H59" t="n">
        <v>600</v>
      </c>
      <c r="I59" t="n">
        <v>0</v>
      </c>
      <c r="J59" t="n">
        <v>758.75</v>
      </c>
      <c r="K59" t="n">
        <v>0</v>
      </c>
      <c r="L59" t="n">
        <v>0</v>
      </c>
      <c r="M59" t="n">
        <v>0</v>
      </c>
      <c r="N59" t="inlineStr"/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inlineStr"/>
      <c r="AE59" t="inlineStr"/>
      <c r="AF59" t="inlineStr"/>
      <c r="AG59" t="inlineStr"/>
      <c r="AH59" t="inlineStr"/>
      <c r="AI59" t="inlineStr"/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baseline-generator</t>
        </is>
      </c>
      <c r="B60" t="inlineStr">
        <is>
          <t>generator</t>
        </is>
      </c>
      <c r="C60" t="inlineStr">
        <is>
          <t>["china", "gdi", "soviet", "nod", "allies"]</t>
        </is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0.25</v>
      </c>
      <c r="L60" t="n">
        <v>100</v>
      </c>
      <c r="M60" t="n">
        <v>0</v>
      </c>
      <c r="N60" t="inlineStr"/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inlineStr"/>
      <c r="AE60" t="inlineStr"/>
      <c r="AF60" t="inlineStr"/>
      <c r="AG60" t="inlineStr"/>
      <c r="AH60" t="inlineStr"/>
      <c r="AI60" t="inlineStr"/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efficient-generator</t>
        </is>
      </c>
      <c r="B61" t="inlineStr">
        <is>
          <t>generator</t>
        </is>
      </c>
      <c r="C61" t="inlineStr">
        <is>
          <t>["china", "gdi", "soviet"]</t>
        </is>
      </c>
      <c r="D61" t="n">
        <v>1</v>
      </c>
      <c r="E61" t="n">
        <v>0</v>
      </c>
      <c r="F61" t="n">
        <v>2</v>
      </c>
      <c r="G61" t="n">
        <v>200</v>
      </c>
      <c r="H61" t="n">
        <v>0</v>
      </c>
      <c r="I61" t="n">
        <v>0</v>
      </c>
      <c r="J61" t="n">
        <v>0</v>
      </c>
      <c r="K61" t="n">
        <v>0.75</v>
      </c>
      <c r="L61" t="n">
        <v>120</v>
      </c>
      <c r="M61" t="n">
        <v>0</v>
      </c>
      <c r="N61" t="inlineStr"/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inlineStr"/>
      <c r="AE61" t="inlineStr"/>
      <c r="AF61" t="inlineStr"/>
      <c r="AG61" t="inlineStr"/>
      <c r="AH61" t="inlineStr"/>
      <c r="AI61" t="inlineStr"/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heavy</t>
        </is>
      </c>
      <c r="B62" t="inlineStr">
        <is>
          <t>armor</t>
        </is>
      </c>
      <c r="C62" t="inlineStr">
        <is>
          <t>["china", "gdi", "soviet", "nod", "allies"]</t>
        </is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inlineStr">
        <is>
          <t>Heavy</t>
        </is>
      </c>
      <c r="O62" t="n">
        <v>100</v>
      </c>
      <c r="P62" t="n">
        <v>100</v>
      </c>
      <c r="Q62" t="n">
        <v>100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inlineStr"/>
      <c r="AE62" t="inlineStr"/>
      <c r="AF62" t="inlineStr"/>
      <c r="AG62" t="inlineStr"/>
      <c r="AH62" t="inlineStr"/>
      <c r="AI62" t="inlineStr"/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reflector</t>
        </is>
      </c>
      <c r="B63" t="inlineStr">
        <is>
          <t>armor</t>
        </is>
      </c>
      <c r="C63" t="inlineStr">
        <is>
          <t>["china", "gdi", "soviet"]</t>
        </is>
      </c>
      <c r="D63" t="n">
        <v>1</v>
      </c>
      <c r="E63" t="n">
        <v>1</v>
      </c>
      <c r="F63" t="n">
        <v>3</v>
      </c>
      <c r="G63" t="n">
        <v>0</v>
      </c>
      <c r="H63" t="n">
        <v>0</v>
      </c>
      <c r="I63" t="n">
        <v>57.5</v>
      </c>
      <c r="J63" t="n">
        <v>0</v>
      </c>
      <c r="K63" t="n">
        <v>0</v>
      </c>
      <c r="L63" t="n">
        <v>0</v>
      </c>
      <c r="M63" t="n">
        <v>0</v>
      </c>
      <c r="N63" t="inlineStr">
        <is>
          <t>Reflector</t>
        </is>
      </c>
      <c r="O63" t="n">
        <v>100</v>
      </c>
      <c r="P63" t="n">
        <v>100</v>
      </c>
      <c r="Q63" t="n">
        <v>100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inlineStr"/>
      <c r="AE63" t="inlineStr"/>
      <c r="AF63" t="inlineStr"/>
      <c r="AG63" t="inlineStr"/>
      <c r="AH63" t="inlineStr"/>
      <c r="AI63" t="inlineStr"/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cannon-turret</t>
        </is>
      </c>
      <c r="B64" t="inlineStr">
        <is>
          <t>carrier</t>
        </is>
      </c>
      <c r="C64" t="inlineStr">
        <is>
          <t>["china"]</t>
        </is>
      </c>
      <c r="D64" t="n">
        <v>0</v>
      </c>
      <c r="E64" t="n">
        <v>0</v>
      </c>
      <c r="F64" t="n">
        <v>1</v>
      </c>
      <c r="G64" t="n">
        <v>100</v>
      </c>
      <c r="H64" t="n">
        <v>500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inlineStr"/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n">
        <v>0</v>
      </c>
      <c r="AA64" t="n">
        <v>50</v>
      </c>
      <c r="AB64" t="n">
        <v>0</v>
      </c>
      <c r="AC64" t="n">
        <v>0</v>
      </c>
      <c r="AD64" t="inlineStr"/>
      <c r="AE64" t="inlineStr"/>
      <c r="AF64" t="inlineStr"/>
      <c r="AG64" t="inlineStr"/>
      <c r="AH64" t="inlineStr">
        <is>
          <t>["cannon"]</t>
        </is>
      </c>
      <c r="AI64" t="inlineStr"/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autoloader-turret</t>
        </is>
      </c>
      <c r="B65" t="inlineStr">
        <is>
          <t>carrier</t>
        </is>
      </c>
      <c r="C65" t="inlineStr">
        <is>
          <t>["china"]</t>
        </is>
      </c>
      <c r="D65" t="n">
        <v>1</v>
      </c>
      <c r="E65" t="n">
        <v>1</v>
      </c>
      <c r="F65" t="n">
        <v>1</v>
      </c>
      <c r="G65" t="n">
        <v>400</v>
      </c>
      <c r="H65" t="n">
        <v>500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inlineStr"/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3</v>
      </c>
      <c r="Z65" t="n">
        <v>5</v>
      </c>
      <c r="AA65" t="n">
        <v>50</v>
      </c>
      <c r="AB65" t="n">
        <v>0</v>
      </c>
      <c r="AC65" t="n">
        <v>0</v>
      </c>
      <c r="AD65" t="inlineStr">
        <is>
          <t>Same visible single barrel. Autoloading mechanism changes firing cycle, not barrel count. Baseline mount mass retained; hardware price includes autoloader. Global CP credit value applies.</t>
        </is>
      </c>
      <c r="AE65" t="inlineStr">
        <is>
          <t>CHBattlemasterCannon.Autoloader</t>
        </is>
      </c>
      <c r="AF65" t="inlineStr"/>
      <c r="AG65" t="inlineStr"/>
      <c r="AH65" t="inlineStr">
        <is>
          <t>["cannon"]</t>
        </is>
      </c>
      <c r="AI65" t="inlineStr"/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fixed-triple</t>
        </is>
      </c>
      <c r="B66" t="inlineStr">
        <is>
          <t>carrier</t>
        </is>
      </c>
      <c r="C66" t="inlineStr">
        <is>
          <t>["gdi"]</t>
        </is>
      </c>
      <c r="D66" t="n">
        <v>0</v>
      </c>
      <c r="E66" t="n">
        <v>0</v>
      </c>
      <c r="F66" t="n">
        <v>3</v>
      </c>
      <c r="G66" t="n">
        <v>300</v>
      </c>
      <c r="H66" t="n">
        <v>1500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inlineStr"/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3</v>
      </c>
      <c r="Z66" t="n">
        <v>1</v>
      </c>
      <c r="AA66" t="n">
        <v>100</v>
      </c>
      <c r="AB66" t="n">
        <v>0</v>
      </c>
      <c r="AC66" t="n">
        <v>0</v>
      </c>
      <c r="AD66" t="inlineStr"/>
      <c r="AE66" t="inlineStr"/>
      <c r="AF66" t="inlineStr"/>
      <c r="AG66" t="inlineStr"/>
      <c r="AH66" t="inlineStr">
        <is>
          <t>["artillery"]</t>
        </is>
      </c>
      <c r="AI66" t="inlineStr"/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33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twin-coil</t>
        </is>
      </c>
      <c r="B67" t="inlineStr">
        <is>
          <t>carrier</t>
        </is>
      </c>
      <c r="C67" t="inlineStr">
        <is>
          <t>["soviet"]</t>
        </is>
      </c>
      <c r="D67" t="n">
        <v>0</v>
      </c>
      <c r="E67" t="n">
        <v>0</v>
      </c>
      <c r="F67" t="n">
        <v>2</v>
      </c>
      <c r="G67" t="n">
        <v>200</v>
      </c>
      <c r="H67" t="n">
        <v>500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inlineStr"/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2</v>
      </c>
      <c r="Z67" t="n">
        <v>1</v>
      </c>
      <c r="AA67" t="n">
        <v>100</v>
      </c>
      <c r="AB67" t="n">
        <v>0</v>
      </c>
      <c r="AC67" t="n">
        <v>0</v>
      </c>
      <c r="AD67" t="inlineStr"/>
      <c r="AE67" t="inlineStr"/>
      <c r="AF67" t="inlineStr"/>
      <c r="AG67" t="inlineStr"/>
      <c r="AH67" t="inlineStr">
        <is>
          <t>["tesla"]</t>
        </is>
      </c>
      <c r="AI67" t="inlineStr"/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13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cannon</t>
        </is>
      </c>
      <c r="B68" t="inlineStr">
        <is>
          <t>weapon</t>
        </is>
      </c>
      <c r="C68" t="inlineStr">
        <is>
          <t>["china"]</t>
        </is>
      </c>
      <c r="D68" t="n">
        <v>0</v>
      </c>
      <c r="E68" t="n">
        <v>0</v>
      </c>
      <c r="F68" t="n">
        <v>1</v>
      </c>
      <c r="G68" t="n">
        <v>200</v>
      </c>
      <c r="H68" t="n">
        <v>500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inlineStr"/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4</v>
      </c>
      <c r="AC68" t="n">
        <v>0</v>
      </c>
      <c r="AD68" t="inlineStr"/>
      <c r="AE68" t="inlineStr">
        <is>
          <t>CHBattlemasterCannon</t>
        </is>
      </c>
      <c r="AF68" t="inlineStr"/>
      <c r="AG68" t="inlineStr"/>
      <c r="AH68" t="inlineStr"/>
      <c r="AI68" t="inlineStr">
        <is>
          <t>["shell", "nuclear-shell"]</t>
        </is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artillery</t>
        </is>
      </c>
      <c r="B69" t="inlineStr">
        <is>
          <t>weapon</t>
        </is>
      </c>
      <c r="C69" t="inlineStr">
        <is>
          <t>["gdi"]</t>
        </is>
      </c>
      <c r="D69" t="n">
        <v>0</v>
      </c>
      <c r="E69" t="n">
        <v>0</v>
      </c>
      <c r="F69" t="n">
        <v>3</v>
      </c>
      <c r="G69" t="n">
        <v>300</v>
      </c>
      <c r="H69" t="n">
        <v>900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inlineStr"/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inlineStr"/>
      <c r="AE69" t="inlineStr">
        <is>
          <t>JuggernautGun</t>
        </is>
      </c>
      <c r="AF69" t="inlineStr"/>
      <c r="AG69" t="inlineStr"/>
      <c r="AH69" t="inlineStr"/>
      <c r="AI69" t="inlineStr">
        <is>
          <t>["artillery-shell", "emp-shell"]</t>
        </is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tesla</t>
        </is>
      </c>
      <c r="B70" t="inlineStr">
        <is>
          <t>weapon</t>
        </is>
      </c>
      <c r="C70" t="inlineStr">
        <is>
          <t>["soviet"]</t>
        </is>
      </c>
      <c r="D70" t="n">
        <v>1</v>
      </c>
      <c r="E70" t="n">
        <v>0</v>
      </c>
      <c r="F70" t="n">
        <v>2</v>
      </c>
      <c r="G70" t="n">
        <v>350</v>
      </c>
      <c r="H70" t="n">
        <v>700</v>
      </c>
      <c r="I70" t="n">
        <v>50</v>
      </c>
      <c r="J70" t="n">
        <v>0</v>
      </c>
      <c r="K70" t="n">
        <v>0</v>
      </c>
      <c r="L70" t="n">
        <v>0</v>
      </c>
      <c r="M70" t="n">
        <v>0</v>
      </c>
      <c r="N70" t="inlineStr"/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inlineStr"/>
      <c r="AE70" t="inlineStr">
        <is>
          <t>TTankZapMK2</t>
        </is>
      </c>
      <c r="AF70" t="inlineStr"/>
      <c r="AG70" t="inlineStr"/>
      <c r="AH70" t="inlineStr"/>
      <c r="AI70" t="inlineStr">
        <is>
          <t>["discharge"]</t>
        </is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shell</t>
        </is>
      </c>
      <c r="B71" t="inlineStr">
        <is>
          <t>ammunition</t>
        </is>
      </c>
      <c r="C71" t="inlineStr">
        <is>
          <t>["china"]</t>
        </is>
      </c>
      <c r="D71" t="n">
        <v>0</v>
      </c>
      <c r="E71" t="n">
        <v>0</v>
      </c>
      <c r="F71" t="n">
        <v>1</v>
      </c>
      <c r="G71" t="n">
        <v>50</v>
      </c>
      <c r="H71" t="n">
        <v>400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inlineStr"/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5000</v>
      </c>
      <c r="AD71" t="inlineStr"/>
      <c r="AE71" t="inlineStr"/>
      <c r="AF71" t="inlineStr"/>
      <c r="AG71" t="inlineStr"/>
      <c r="AH71" t="inlineStr"/>
      <c r="AI71" t="inlineStr"/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nuclear-shell</t>
        </is>
      </c>
      <c r="B72" t="inlineStr">
        <is>
          <t>ammunition</t>
        </is>
      </c>
      <c r="C72" t="inlineStr">
        <is>
          <t>["china"]</t>
        </is>
      </c>
      <c r="D72" t="n">
        <v>1</v>
      </c>
      <c r="E72" t="n">
        <v>1</v>
      </c>
      <c r="F72" t="n">
        <v>1</v>
      </c>
      <c r="G72" t="n">
        <v>350</v>
      </c>
      <c r="H72" t="n">
        <v>400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inlineStr"/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10000</v>
      </c>
      <c r="AD72" t="inlineStr">
        <is>
          <t>First fit: same mass, no additional electric load; +300 hardware offsets 1 CP. Radiation, falloff and recoil need engine composition, not just damage copying.</t>
        </is>
      </c>
      <c r="AE72" t="inlineStr">
        <is>
          <t>CHBattlemasterCannon.Nuclear_Shells</t>
        </is>
      </c>
      <c r="AF72" t="inlineStr"/>
      <c r="AG72" t="inlineStr"/>
      <c r="AH72" t="inlineStr"/>
      <c r="AI72" t="inlineStr"/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artillery-shell</t>
        </is>
      </c>
      <c r="B73" t="inlineStr">
        <is>
          <t>ammunition</t>
        </is>
      </c>
      <c r="C73" t="inlineStr">
        <is>
          <t>["gdi"]</t>
        </is>
      </c>
      <c r="D73" t="n">
        <v>0</v>
      </c>
      <c r="E73" t="n">
        <v>0</v>
      </c>
      <c r="F73" t="n">
        <v>3</v>
      </c>
      <c r="G73" t="n">
        <v>200</v>
      </c>
      <c r="H73" t="n">
        <v>1000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inlineStr"/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inlineStr"/>
      <c r="AE73" t="inlineStr"/>
      <c r="AF73" t="inlineStr"/>
      <c r="AG73" t="inlineStr"/>
      <c r="AH73" t="inlineStr"/>
      <c r="AI73" t="inlineStr"/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emp-shell</t>
        </is>
      </c>
      <c r="B74" t="inlineStr">
        <is>
          <t>ammunition</t>
        </is>
      </c>
      <c r="C74" t="inlineStr">
        <is>
          <t>["gdi"]</t>
        </is>
      </c>
      <c r="D74" t="n">
        <v>1</v>
      </c>
      <c r="E74" t="n">
        <v>1</v>
      </c>
      <c r="F74" t="n">
        <v>3</v>
      </c>
      <c r="G74" t="n">
        <v>300</v>
      </c>
      <c r="H74" t="n">
        <v>1000</v>
      </c>
      <c r="I74" t="n">
        <v>20</v>
      </c>
      <c r="J74" t="n">
        <v>0</v>
      </c>
      <c r="K74" t="n">
        <v>0</v>
      </c>
      <c r="L74" t="n">
        <v>0</v>
      </c>
      <c r="M74" t="n">
        <v>0</v>
      </c>
      <c r="N74" t="inlineStr"/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inlineStr"/>
      <c r="AE74" t="inlineStr">
        <is>
          <t>JuggernautGun.Emp</t>
        </is>
      </c>
      <c r="AF74" t="inlineStr"/>
      <c r="AG74" t="inlineStr"/>
      <c r="AH74" t="inlineStr"/>
      <c r="AI74" t="inlineStr"/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discharge</t>
        </is>
      </c>
      <c r="B75" t="inlineStr">
        <is>
          <t>ammunition</t>
        </is>
      </c>
      <c r="C75" t="inlineStr">
        <is>
          <t>["soviet"]</t>
        </is>
      </c>
      <c r="D75" t="n">
        <v>0</v>
      </c>
      <c r="E75" t="n">
        <v>0</v>
      </c>
      <c r="F75" t="n">
        <v>2</v>
      </c>
      <c r="G75" t="n">
        <v>100</v>
      </c>
      <c r="H75" t="n">
        <v>200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inlineStr"/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inlineStr">
        <is>
          <t>Fixed payload-package mass, not physical shells; no duplicate Tesla electrical charge.</t>
        </is>
      </c>
      <c r="AE75" t="inlineStr"/>
      <c r="AF75" t="inlineStr"/>
      <c r="AG75" t="inlineStr"/>
      <c r="AH75" t="inlineStr"/>
      <c r="AI75" t="inlineStr"/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pdl</t>
        </is>
      </c>
      <c r="B76" t="inlineStr">
        <is>
          <t>equipment</t>
        </is>
      </c>
      <c r="C76" t="inlineStr">
        <is>
          <t>["china"]</t>
        </is>
      </c>
      <c r="D76" t="n">
        <v>1</v>
      </c>
      <c r="E76" t="n">
        <v>1</v>
      </c>
      <c r="F76" t="n">
        <v>3</v>
      </c>
      <c r="G76" t="n">
        <v>650</v>
      </c>
      <c r="H76" t="n">
        <v>300</v>
      </c>
      <c r="I76" t="n">
        <v>47</v>
      </c>
      <c r="J76" t="n">
        <v>0</v>
      </c>
      <c r="K76" t="n">
        <v>0</v>
      </c>
      <c r="L76" t="n">
        <v>0</v>
      </c>
      <c r="M76" t="n">
        <v>0</v>
      </c>
      <c r="N76" t="inlineStr"/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inlineStr"/>
      <c r="AE76" t="inlineStr">
        <is>
          <t>^PointLaserDefenseSystem</t>
        </is>
      </c>
      <c r="AF76" t="inlineStr"/>
      <c r="AG76" t="inlineStr"/>
      <c r="AH76" t="inlineStr"/>
      <c r="AI76" t="inlineStr"/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8" customWidth="1" min="6" max="6"/>
    <col width="16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Fraktionen</t>
        </is>
      </c>
      <c r="D1" s="1" t="inlineStr">
        <is>
          <t>Preis</t>
        </is>
      </c>
      <c r="E1" s="1" t="inlineStr">
        <is>
          <t>Masse kg</t>
        </is>
      </c>
      <c r="F1" s="1" t="inlineStr">
        <is>
          <t>Transportgewicht</t>
        </is>
      </c>
      <c r="G1" s="1" t="inlineStr">
        <is>
          <t>Tech</t>
        </is>
      </c>
    </row>
    <row r="2">
      <c r="A2" t="inlineStr">
        <is>
          <t>che3</t>
        </is>
      </c>
      <c r="B2" t="inlineStr">
        <is>
          <t>Tank Hunter</t>
        </is>
      </c>
      <c r="C2" t="inlineStr">
        <is>
          <t>china</t>
        </is>
      </c>
      <c r="D2" t="n">
        <v>300</v>
      </c>
      <c r="E2" t="n">
        <v>100</v>
      </c>
      <c r="F2" t="n">
        <v>1</v>
      </c>
      <c r="G2" t="n">
        <v>1</v>
      </c>
    </row>
    <row r="3">
      <c r="A3" t="inlineStr">
        <is>
          <t>che1</t>
        </is>
      </c>
      <c r="B3" t="inlineStr">
        <is>
          <t>Red Guard</t>
        </is>
      </c>
      <c r="C3" t="inlineStr">
        <is>
          <t>china</t>
        </is>
      </c>
      <c r="D3" t="n">
        <v>80</v>
      </c>
      <c r="E3" t="n">
        <v>100</v>
      </c>
      <c r="F3" t="n">
        <v>1</v>
      </c>
      <c r="G3" t="n">
        <v>1</v>
      </c>
    </row>
    <row r="4">
      <c r="A4" t="inlineStr">
        <is>
          <t>minigunner</t>
        </is>
      </c>
      <c r="B4" t="inlineStr">
        <is>
          <t>Minigunner</t>
        </is>
      </c>
      <c r="C4" t="inlineStr">
        <is>
          <t>china</t>
        </is>
      </c>
      <c r="D4" t="n">
        <v>200</v>
      </c>
      <c r="E4" t="n">
        <v>100</v>
      </c>
      <c r="F4" t="n">
        <v>1</v>
      </c>
      <c r="G4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8" customWidth="1" min="6" max="6"/>
    <col width="16" customWidth="1" min="7" max="7"/>
  </cols>
  <sheetData>
    <row r="1">
      <c r="A1" s="1" t="inlineStr">
        <is>
          <t>Design</t>
        </is>
      </c>
      <c r="B1" s="1" t="inlineStr">
        <is>
          <t>Infanterie</t>
        </is>
      </c>
      <c r="C1" s="1" t="inlineStr">
        <is>
          <t>Anzahl</t>
        </is>
      </c>
      <c r="D1" s="1" t="inlineStr">
        <is>
          <t>Preis</t>
        </is>
      </c>
      <c r="E1" s="1" t="inlineStr">
        <is>
          <t>Masse kg</t>
        </is>
      </c>
      <c r="F1" s="1" t="inlineStr">
        <is>
          <t>Transportgewicht</t>
        </is>
      </c>
      <c r="G1" s="1" t="inlineStr">
        <is>
          <t>Tech</t>
        </is>
      </c>
    </row>
    <row r="2">
      <c r="A2" t="inlineStr">
        <is>
          <t>Overlord Bunker / mixed crew</t>
        </is>
      </c>
      <c r="B2" t="inlineStr">
        <is>
          <t>che3</t>
        </is>
      </c>
      <c r="C2" t="n">
        <v>2</v>
      </c>
      <c r="D2">
        <f>C2*VLOOKUP(B2,Infanterie!$A$2:$G$4,4,FALSE)</f>
        <v/>
      </c>
      <c r="E2">
        <f>C2*VLOOKUP(B2,Infanterie!$A$2:$G$4,5,FALSE)</f>
        <v/>
      </c>
      <c r="F2">
        <f>C2*VLOOKUP(B2,Infanterie!$A$2:$G$4,6,FALSE)</f>
        <v/>
      </c>
      <c r="G2">
        <f>IF(C2&gt;0,VLOOKUP(B2,Infanterie!$A$2:$G$4,7,FALSE),0)</f>
        <v/>
      </c>
    </row>
    <row r="3">
      <c r="A3" t="inlineStr">
        <is>
          <t>Overlord Bunker / mixed crew</t>
        </is>
      </c>
      <c r="B3" t="inlineStr">
        <is>
          <t>che1</t>
        </is>
      </c>
      <c r="C3" t="n">
        <v>2</v>
      </c>
      <c r="D3">
        <f>C3*VLOOKUP(B3,Infanterie!$A$2:$G$4,4,FALSE)</f>
        <v/>
      </c>
      <c r="E3">
        <f>C3*VLOOKUP(B3,Infanterie!$A$2:$G$4,5,FALSE)</f>
        <v/>
      </c>
      <c r="F3">
        <f>C3*VLOOKUP(B3,Infanterie!$A$2:$G$4,6,FALSE)</f>
        <v/>
      </c>
      <c r="G3">
        <f>IF(C3&gt;0,VLOOKUP(B3,Infanterie!$A$2:$G$4,7,FALSE),0)</f>
        <v/>
      </c>
    </row>
    <row r="4">
      <c r="A4" t="inlineStr">
        <is>
          <t>Overlord Bunker / partial crew</t>
        </is>
      </c>
      <c r="B4" t="inlineStr">
        <is>
          <t>minigunner</t>
        </is>
      </c>
      <c r="C4" t="n">
        <v>2</v>
      </c>
      <c r="D4">
        <f>C4*VLOOKUP(B4,Infanterie!$A$2:$G$4,4,FALSE)</f>
        <v/>
      </c>
      <c r="E4">
        <f>C4*VLOOKUP(B4,Infanterie!$A$2:$G$4,5,FALSE)</f>
        <v/>
      </c>
      <c r="F4">
        <f>C4*VLOOKUP(B4,Infanterie!$A$2:$G$4,6,FALSE)</f>
        <v/>
      </c>
      <c r="G4">
        <f>IF(C4&gt;0,VLOOKUP(B4,Infanterie!$A$2:$G$4,7,FALSE),0)</f>
        <v/>
      </c>
    </row>
    <row r="5">
      <c r="A5" t="inlineStr">
        <is>
          <t>Overlord Bunker</t>
        </is>
      </c>
      <c r="B5" t="inlineStr">
        <is>
          <t>che3</t>
        </is>
      </c>
      <c r="C5" t="n">
        <v>4</v>
      </c>
      <c r="D5">
        <f>C5*VLOOKUP(B5,Infanterie!$A$2:$G$4,4,FALSE)</f>
        <v/>
      </c>
      <c r="E5">
        <f>C5*VLOOKUP(B5,Infanterie!$A$2:$G$4,5,FALSE)</f>
        <v/>
      </c>
      <c r="F5">
        <f>C5*VLOOKUP(B5,Infanterie!$A$2:$G$4,6,FALSE)</f>
        <v/>
      </c>
      <c r="G5">
        <f>IF(C5&gt;0,VLOOKUP(B5,Infanterie!$A$2:$G$4,7,FALSE),0)</f>
        <v/>
      </c>
    </row>
    <row r="6">
      <c r="A6" t="inlineStr">
        <is>
          <t>Overlord Bunker PDL</t>
        </is>
      </c>
      <c r="B6" t="inlineStr">
        <is>
          <t>che3</t>
        </is>
      </c>
      <c r="C6" t="n">
        <v>4</v>
      </c>
      <c r="D6">
        <f>C6*VLOOKUP(B6,Infanterie!$A$2:$G$4,4,FALSE)</f>
        <v/>
      </c>
      <c r="E6">
        <f>C6*VLOOKUP(B6,Infanterie!$A$2:$G$4,5,FALSE)</f>
        <v/>
      </c>
      <c r="F6">
        <f>C6*VLOOKUP(B6,Infanterie!$A$2:$G$4,6,FALSE)</f>
        <v/>
      </c>
      <c r="G6">
        <f>IF(C6&gt;0,VLOOKUP(B6,Infanterie!$A$2:$G$4,7,FALSE),0)</f>
        <v/>
      </c>
    </row>
    <row r="7">
      <c r="A7" t="inlineStr">
        <is>
          <t>Overlord Bunker Reflector</t>
        </is>
      </c>
      <c r="B7" t="inlineStr">
        <is>
          <t>che3</t>
        </is>
      </c>
      <c r="C7" t="n">
        <v>4</v>
      </c>
      <c r="D7">
        <f>C7*VLOOKUP(B7,Infanterie!$A$2:$G$4,4,FALSE)</f>
        <v/>
      </c>
      <c r="E7">
        <f>C7*VLOOKUP(B7,Infanterie!$A$2:$G$4,5,FALSE)</f>
        <v/>
      </c>
      <c r="F7">
        <f>C7*VLOOKUP(B7,Infanterie!$A$2:$G$4,6,FALSE)</f>
        <v/>
      </c>
      <c r="G7">
        <f>IF(C7&gt;0,VLOOKUP(B7,Infanterie!$A$2:$G$4,7,FALSE),0)</f>
        <v/>
      </c>
    </row>
  </sheetData>
  <dataValidations count="2">
    <dataValidation sqref="B2:B7" showDropDown="0" showInputMessage="0" showErrorMessage="1" allowBlank="0" type="list">
      <formula1>InfantryIDs</formula1>
    </dataValidation>
    <dataValidation sqref="C2:C7" showDropDown="0" showInputMessage="0" showErrorMessage="1" allowBlank="0" type="whole" operator="between">
      <formula1>0</formula1>
      <formula2>4</formula2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7" customWidth="1" min="28" max="28"/>
    <col width="17" customWidth="1" min="29" max="29"/>
    <col width="18" customWidth="1" min="30" max="30"/>
    <col width="25" customWidth="1" min="31" max="31"/>
    <col width="16" customWidth="1" min="32" max="32"/>
    <col width="16" customWidth="1" min="33" max="33"/>
    <col width="17" customWidth="1" min="34" max="34"/>
    <col width="17" customWidth="1" min="35" max="35"/>
    <col width="17" customWidth="1" min="36" max="36"/>
    <col width="16" customWidth="1" min="37" max="37"/>
    <col width="20" customWidth="1" min="38" max="38"/>
    <col width="27" customWidth="1" min="39" max="39"/>
    <col width="22" customWidth="1" min="40" max="40"/>
    <col width="16" customWidth="1" min="41" max="41"/>
    <col width="20" customWidth="1" min="42" max="42"/>
    <col width="16" customWidth="1" min="43" max="43"/>
    <col width="16" customWidth="1" min="44" max="44"/>
    <col width="16" customWidth="1" min="45" max="45"/>
  </cols>
  <sheetData>
    <row r="1">
      <c r="A1" s="1" t="inlineStr">
        <is>
          <t>Design</t>
        </is>
      </c>
      <c r="B1" s="1" t="inlineStr">
        <is>
          <t>Fraktion</t>
        </is>
      </c>
      <c r="C1" s="1" t="inlineStr">
        <is>
          <t>Chassis</t>
        </is>
      </c>
      <c r="D1" s="1" t="inlineStr">
        <is>
          <t>Motor</t>
        </is>
      </c>
      <c r="E1" s="1" t="inlineStr">
        <is>
          <t>Generator</t>
        </is>
      </c>
      <c r="F1" s="1" t="inlineStr">
        <is>
          <t>Panzerung</t>
        </is>
      </c>
      <c r="G1" s="1" t="inlineStr">
        <is>
          <t>Traeger</t>
        </is>
      </c>
      <c r="H1" s="1" t="inlineStr">
        <is>
          <t>Waffe</t>
        </is>
      </c>
      <c r="I1" s="1" t="inlineStr">
        <is>
          <t>Munition</t>
        </is>
      </c>
      <c r="J1" s="1" t="inlineStr">
        <is>
          <t>Zusatz 1</t>
        </is>
      </c>
      <c r="K1" s="1" t="inlineStr">
        <is>
          <t>Zusatz 2</t>
        </is>
      </c>
      <c r="L1" s="1" t="inlineStr">
        <is>
          <t>Zusatz 3</t>
        </is>
      </c>
      <c r="M1" s="1" t="inlineStr">
        <is>
          <t>Katalog</t>
        </is>
      </c>
      <c r="N1" s="1" t="inlineStr">
        <is>
          <t>CP</t>
        </is>
      </c>
      <c r="O1" s="1" t="inlineStr">
        <is>
          <t>Tech</t>
        </is>
      </c>
      <c r="P1" s="1" t="inlineStr">
        <is>
          <t>Hardware</t>
        </is>
      </c>
      <c r="Q1" s="1" t="inlineStr">
        <is>
          <t>CP-Abzug</t>
        </is>
      </c>
      <c r="R1" s="1" t="inlineStr">
        <is>
          <t>Preis</t>
        </is>
      </c>
      <c r="S1" s="1" t="inlineStr">
        <is>
          <t>HP</t>
        </is>
      </c>
      <c r="T1" s="1" t="inlineStr">
        <is>
          <t>Masse kg</t>
        </is>
      </c>
      <c r="U1" s="1" t="inlineStr">
        <is>
          <t>Last kWe</t>
        </is>
      </c>
      <c r="V1" s="1" t="inlineStr">
        <is>
          <t>Rest kWm</t>
        </is>
      </c>
      <c r="W1" s="1" t="inlineStr">
        <is>
          <t>Tempo</t>
        </is>
      </c>
      <c r="X1" s="1" t="inlineStr">
        <is>
          <t>Armor</t>
        </is>
      </c>
      <c r="Y1" s="1" t="inlineStr">
        <is>
          <t>Grenzen</t>
        </is>
      </c>
      <c r="Z1" s="1" t="inlineStr">
        <is>
          <t>Python Preis</t>
        </is>
      </c>
      <c r="AA1" s="1" t="inlineStr">
        <is>
          <t>Python Tempo</t>
        </is>
      </c>
      <c r="AB1" s="1" t="inlineStr">
        <is>
          <t>Referenzhinweis</t>
        </is>
      </c>
      <c r="AC1" s="1" t="inlineStr">
        <is>
          <t>Fertigungsmodul</t>
        </is>
      </c>
      <c r="AD1" s="1" t="inlineStr">
        <is>
          <t>Fertigungsfaktor</t>
        </is>
      </c>
      <c r="AE1" s="1" t="inlineStr">
        <is>
          <t>Hardware nach Fertigung</t>
        </is>
      </c>
      <c r="AF1" s="1" t="inlineStr">
        <is>
          <t>Aufsatztraeger</t>
        </is>
      </c>
      <c r="AG1" s="1" t="inlineStr">
        <is>
          <t>Aufsatzwaffe</t>
        </is>
      </c>
      <c r="AH1" s="1" t="inlineStr">
        <is>
          <t>Aufsatzmunition</t>
        </is>
      </c>
      <c r="AI1" s="1" t="inlineStr">
        <is>
          <t>Besatzungspreis</t>
        </is>
      </c>
      <c r="AJ1" s="1" t="inlineStr">
        <is>
          <t>Besatzungsmasse</t>
        </is>
      </c>
      <c r="AK1" s="1" t="inlineStr">
        <is>
          <t>Besatzungstech</t>
        </is>
      </c>
      <c r="AL1" s="1" t="inlineStr">
        <is>
          <t>Aufsatz Reichweite</t>
        </is>
      </c>
      <c r="AM1" s="1" t="inlineStr">
        <is>
          <t>Aufsatz Mindestreichweite</t>
        </is>
      </c>
      <c r="AN1" s="1" t="inlineStr">
        <is>
          <t>Aufsatz Reload Ticks</t>
        </is>
      </c>
      <c r="AO1" s="1" t="inlineStr">
        <is>
          <t>Aufsatz Salve</t>
        </is>
      </c>
      <c r="AP1" s="1" t="inlineStr">
        <is>
          <t>Aufsatz Rohschaden</t>
        </is>
      </c>
      <c r="AQ1" s="1" t="inlineStr">
        <is>
          <t>Fahrwerk</t>
        </is>
      </c>
      <c r="AR1" s="1" t="inlineStr">
        <is>
          <t>Locomotor</t>
        </is>
      </c>
      <c r="AS1" s="1" t="inlineStr">
        <is>
          <t>Wenderate</t>
        </is>
      </c>
    </row>
    <row r="2">
      <c r="A2" t="inlineStr">
        <is>
          <t>Hum-Vee baseline</t>
        </is>
      </c>
      <c r="B2" t="inlineStr">
        <is>
          <t>gdi</t>
        </is>
      </c>
      <c r="C2" t="inlineStr">
        <is>
          <t>humvee-hull</t>
        </is>
      </c>
      <c r="D2" t="inlineStr">
        <is>
          <t>diesel-light</t>
        </is>
      </c>
      <c r="E2" t="inlineStr">
        <is>
          <t>baseline-generator</t>
        </is>
      </c>
      <c r="F2" t="inlineStr">
        <is>
          <t>light</t>
        </is>
      </c>
      <c r="G2" t="inlineStr">
        <is>
          <t>scout-mg-mount</t>
        </is>
      </c>
      <c r="H2" t="inlineStr">
        <is>
          <t>scout-mg</t>
        </is>
      </c>
      <c r="I2" t="inlineStr">
        <is>
          <t>scout-mg-rounds</t>
        </is>
      </c>
      <c r="J2" t="inlineStr">
        <is>
          <t>scout-sensors</t>
        </is>
      </c>
      <c r="K2" t="inlineStr"/>
      <c r="L2" t="inlineStr"/>
      <c r="M2">
        <f>IF(C2="",0,VLOOKUP(C2,Bausteine!$A$2:$AY$76,4,FALSE))+IF(D2="",0,VLOOKUP(D2,Bausteine!$A$2:$AY$76,4,FALSE))+IF(E2="",0,VLOOKUP(E2,Bausteine!$A$2:$AY$76,4,FALSE))+IF(F2="",0,VLOOKUP(F2,Bausteine!$A$2:$AY$76,4,FALSE))+IF(G2="",0,VLOOKUP(G2,Bausteine!$A$2:$AY$76,4,FALSE))+IF(H2="",0,VLOOKUP(H2,Bausteine!$A$2:$AY$76,4,FALSE))+IF(I2="",0,VLOOKUP(I2,Bausteine!$A$2:$AY$76,4,FALSE))+IF(J2="",0,VLOOKUP(J2,Bausteine!$A$2:$AY$76,4,FALSE))+IF(K2="",0,VLOOKUP(K2,Bausteine!$A$2:$AY$76,4,FALSE))+IF(L2="",0,VLOOKUP(L2,Bausteine!$A$2:$AY$76,4,FALSE))+IF(AC2="",0,VLOOKUP(AC2,Bausteine!$A$2:$AY$76,4,FALSE))+IF(AF2="",0,VLOOKUP(AF2,Bausteine!$A$2:$AY$76,4,FALSE))+IF(AG2="",0,VLOOKUP(AG2,Bausteine!$A$2:$AY$76,4,FALSE))+IF(AH2="",0,VLOOKUP(AH2,Bausteine!$A$2:$AY$76,4,FALSE))+IF(AQ2="",0,VLOOKUP(AQ2,Bausteine!$A$2:$AY$76,4,FALSE))</f>
        <v/>
      </c>
      <c r="N2">
        <f>IF(C2="",0,VLOOKUP(C2,Bausteine!$A$2:$AY$76,5,FALSE))+IF(D2="",0,VLOOKUP(D2,Bausteine!$A$2:$AY$76,5,FALSE))+IF(E2="",0,VLOOKUP(E2,Bausteine!$A$2:$AY$76,5,FALSE))+IF(F2="",0,VLOOKUP(F2,Bausteine!$A$2:$AY$76,5,FALSE))+IF(G2="",0,VLOOKUP(G2,Bausteine!$A$2:$AY$76,5,FALSE))+IF(H2="",0,VLOOKUP(H2,Bausteine!$A$2:$AY$76,5,FALSE))+IF(I2="",0,VLOOKUP(I2,Bausteine!$A$2:$AY$76,5,FALSE))+IF(J2="",0,VLOOKUP(J2,Bausteine!$A$2:$AY$76,5,FALSE))+IF(K2="",0,VLOOKUP(K2,Bausteine!$A$2:$AY$76,5,FALSE))+IF(L2="",0,VLOOKUP(L2,Bausteine!$A$2:$AY$76,5,FALSE))+IF(AC2="",0,VLOOKUP(AC2,Bausteine!$A$2:$AY$76,5,FALSE))+IF(AF2="",0,VLOOKUP(AF2,Bausteine!$A$2:$AY$76,5,FALSE))+IF(AG2="",0,VLOOKUP(AG2,Bausteine!$A$2:$AY$76,5,FALSE))+IF(AH2="",0,VLOOKUP(AH2,Bausteine!$A$2:$AY$76,5,FALSE))+IF(AQ2="",0,VLOOKUP(AQ2,Bausteine!$A$2:$AY$76,5,FALSE))</f>
        <v/>
      </c>
      <c r="O2">
        <f>MAX(IF(C2="",0,VLOOKUP(C2,Bausteine!$A$2:$AY$76,6,FALSE)),IF(D2="",0,VLOOKUP(D2,Bausteine!$A$2:$AY$76,6,FALSE)),IF(E2="",0,VLOOKUP(E2,Bausteine!$A$2:$AY$76,6,FALSE)),IF(F2="",0,VLOOKUP(F2,Bausteine!$A$2:$AY$76,6,FALSE)),IF(G2="",0,VLOOKUP(G2,Bausteine!$A$2:$AY$76,6,FALSE)),IF(H2="",0,VLOOKUP(H2,Bausteine!$A$2:$AY$76,6,FALSE)),IF(I2="",0,VLOOKUP(I2,Bausteine!$A$2:$AY$76,6,FALSE)),IF(J2="",0,VLOOKUP(J2,Bausteine!$A$2:$AY$76,6,FALSE)),IF(K2="",0,VLOOKUP(K2,Bausteine!$A$2:$AY$76,6,FALSE)),IF(L2="",0,VLOOKUP(L2,Bausteine!$A$2:$AY$76,6,FALSE)),IF(AC2="",0,VLOOKUP(AC2,Bausteine!$A$2:$AY$76,6,FALSE)),IF(AF2="",0,VLOOKUP(AF2,Bausteine!$A$2:$AY$76,6,FALSE)),IF(AG2="",0,VLOOKUP(AG2,Bausteine!$A$2:$AY$76,6,FALSE)),IF(AH2="",0,VLOOKUP(AH2,Bausteine!$A$2:$AY$76,6,FALSE)),IF(AQ2="",0,VLOOKUP(AQ2,Bausteine!$A$2:$AY$76,6,FALSE)),AK2)</f>
        <v/>
      </c>
      <c r="P2">
        <f>IF(C2="",0,VLOOKUP(C2,Bausteine!$A$2:$AY$76,7,FALSE))*IF(F2="",0,VLOOKUP(F2,Bausteine!$A$2:$AY$76,17,FALSE))/100+IF(D2="",0,VLOOKUP(D2,Bausteine!$A$2:$AY$76,7,FALSE))+IF(E2="",0,VLOOKUP(E2,Bausteine!$A$2:$AY$76,7,FALSE))+IF(G2="",0,VLOOKUP(G2,Bausteine!$A$2:$AY$76,7,FALSE))+IF(H2="",0,VLOOKUP(H2,Bausteine!$A$2:$AY$76,7,FALSE))+IF(I2="",0,VLOOKUP(I2,Bausteine!$A$2:$AY$76,7,FALSE))+IF(J2="",0,VLOOKUP(J2,Bausteine!$A$2:$AY$76,7,FALSE))+IF(K2="",0,VLOOKUP(K2,Bausteine!$A$2:$AY$76,7,FALSE))+IF(L2="",0,VLOOKUP(L2,Bausteine!$A$2:$AY$76,7,FALSE))+IF(AC2="",0,VLOOKUP(AC2,Bausteine!$A$2:$AY$76,7,FALSE))+IF(AF2="",0,VLOOKUP(AF2,Bausteine!$A$2:$AY$76,7,FALSE))+IF(AG2="",0,VLOOKUP(AG2,Bausteine!$A$2:$AY$76,7,FALSE))+IF(AH2="",0,VLOOKUP(AH2,Bausteine!$A$2:$AY$76,7,FALSE))+IF(AQ2="",0,VLOOKUP(AQ2,Bausteine!$A$2:$AY$76,7,FALSE))+AI2</f>
        <v/>
      </c>
      <c r="Q2">
        <f>N2*Parameter!$B$2</f>
        <v/>
      </c>
      <c r="R2">
        <f>AE2-Q2</f>
        <v/>
      </c>
      <c r="S2">
        <f>IF(C2="",0,VLOOKUP(C2,Bausteine!$A$2:$AY$76,13,FALSE))*IF(F2="",0,VLOOKUP(F2,Bausteine!$A$2:$AY$76,16,FALSE))/100</f>
        <v/>
      </c>
      <c r="T2">
        <f>IF(C2="",0,VLOOKUP(C2,Bausteine!$A$2:$AY$76,8,FALSE))*IF(F2="",0,VLOOKUP(F2,Bausteine!$A$2:$AY$76,15,FALSE))/100+IF(D2="",0,VLOOKUP(D2,Bausteine!$A$2:$AY$76,8,FALSE))+IF(E2="",0,VLOOKUP(E2,Bausteine!$A$2:$AY$76,8,FALSE))+IF(G2="",0,VLOOKUP(G2,Bausteine!$A$2:$AY$76,8,FALSE))+IF(H2="",0,VLOOKUP(H2,Bausteine!$A$2:$AY$76,8,FALSE))+IF(I2="",0,VLOOKUP(I2,Bausteine!$A$2:$AY$76,8,FALSE))+IF(J2="",0,VLOOKUP(J2,Bausteine!$A$2:$AY$76,8,FALSE))+IF(K2="",0,VLOOKUP(K2,Bausteine!$A$2:$AY$76,8,FALSE))+IF(L2="",0,VLOOKUP(L2,Bausteine!$A$2:$AY$76,8,FALSE))+IF(AC2="",0,VLOOKUP(AC2,Bausteine!$A$2:$AY$76,8,FALSE))+IF(AF2="",0,VLOOKUP(AF2,Bausteine!$A$2:$AY$76,8,FALSE))+IF(AG2="",0,VLOOKUP(AG2,Bausteine!$A$2:$AY$76,8,FALSE))+IF(AH2="",0,VLOOKUP(AH2,Bausteine!$A$2:$AY$76,8,FALSE))+IF(AQ2="",0,VLOOKUP(AQ2,Bausteine!$A$2:$AY$76,8,FALSE))+AJ2</f>
        <v/>
      </c>
      <c r="U2">
        <f>IF(C2="",0,VLOOKUP(C2,Bausteine!$A$2:$AY$76,9,FALSE))+IF(D2="",0,VLOOKUP(D2,Bausteine!$A$2:$AY$76,9,FALSE))+IF(E2="",0,VLOOKUP(E2,Bausteine!$A$2:$AY$76,9,FALSE))+IF(F2="",0,VLOOKUP(F2,Bausteine!$A$2:$AY$76,9,FALSE))+IF(G2="",0,VLOOKUP(G2,Bausteine!$A$2:$AY$76,9,FALSE))+IF(H2="",0,VLOOKUP(H2,Bausteine!$A$2:$AY$76,9,FALSE))+IF(I2="",0,VLOOKUP(I2,Bausteine!$A$2:$AY$76,9,FALSE))+IF(J2="",0,VLOOKUP(J2,Bausteine!$A$2:$AY$76,9,FALSE))+IF(K2="",0,VLOOKUP(K2,Bausteine!$A$2:$AY$76,9,FALSE))+IF(L2="",0,VLOOKUP(L2,Bausteine!$A$2:$AY$76,9,FALSE))+IF(AC2="",0,VLOOKUP(AC2,Bausteine!$A$2:$AY$76,9,FALSE))+IF(AF2="",0,VLOOKUP(AF2,Bausteine!$A$2:$AY$76,9,FALSE))+IF(AG2="",0,VLOOKUP(AG2,Bausteine!$A$2:$AY$76,9,FALSE))+IF(AH2="",0,VLOOKUP(AH2,Bausteine!$A$2:$AY$76,9,FALSE))+IF(AQ2="",0,VLOOKUP(AQ2,Bausteine!$A$2:$AY$76,9,FALSE))</f>
        <v/>
      </c>
      <c r="V2">
        <f>IF(D2="",0,VLOOKUP(D2,Bausteine!$A$2:$AY$76,10,FALSE))-U2/IF(E2="",0,VLOOKUP(E2,Bausteine!$A$2:$AY$76,11,FALSE))</f>
        <v/>
      </c>
      <c r="W2">
        <f>IF(Y2&lt;&gt;"OK","",ROUND(MIN(IF(C2="",0,VLOOKUP(C2,Bausteine!$A$2:$AY$76,21,FALSE)),IF(AQ2="",0,VLOOKUP(AQ2,Bausteine!$A$2:$AY$76,21,FALSE)),IF(C2="",0,VLOOKUP(C2,Bausteine!$A$2:$AY$76,20,FALSE))*(V2/T2/(IF(C2="",0,VLOOKUP(C2,Bausteine!$A$2:$AY$76,19,FALSE))/IF(C2="",0,VLOOKUP(C2,Bausteine!$A$2:$AY$76,18,FALSE))))^Parameter!$B$3),0))</f>
        <v/>
      </c>
      <c r="X2">
        <f>IF(F2="",0,VLOOKUP(F2,Bausteine!$A$2:$AY$76,14,FALSE))</f>
        <v/>
      </c>
      <c r="Y2">
        <f>IFERROR(IF(OR(AD2&lt;=0,AD2&gt;1,R2&lt;=0,T2&lt;=0,V2&lt;=0,U2&gt;IF(E2="",0,VLOOKUP(E2,Bausteine!$A$2:$AY$76,12,FALSE)),T2&gt;MIN(IF(C2="",0,VLOOKUP(C2,Bausteine!$A$2:$AY$76,22,FALSE)),IF(AQ2="",0,VLOOKUP(AQ2,Bausteine!$A$2:$AY$76,22,FALSE))),IF(E2="",0,VLOOKUP(E2,Bausteine!$A$2:$AY$76,11,FALSE))&lt;=0,IF(E2="",0,VLOOKUP(E2,Bausteine!$A$2:$AY$76,11,FALSE))&gt;1),"UNGUELTIG","OK"),"FEHLER")</f>
        <v/>
      </c>
      <c r="Z2" t="n">
        <v>400</v>
      </c>
      <c r="AA2" t="n">
        <v>157</v>
      </c>
      <c r="AB2" t="inlineStr">
        <is>
          <t>Shared MG/sensors/wheels. Scalar baseline only; sensor and biological-driver traits not compiled. Hull price is an explicit initial baseline fit.</t>
        </is>
      </c>
      <c r="AC2" t="inlineStr"/>
      <c r="AD2">
        <f>IF(AC2="",1,IF(AC2="",0,VLOOKUP(AC2,Bausteine!$A$2:$AY$76,37,FALSE))/100)</f>
        <v/>
      </c>
      <c r="AE2">
        <f>P2*AD2</f>
        <v/>
      </c>
      <c r="AF2" t="inlineStr"/>
      <c r="AG2" t="inlineStr"/>
      <c r="AH2" t="inlineStr"/>
      <c r="AI2">
        <f>SUMIF(Startbesatzung!$A$2:$A$7,A2,Startbesatzung!$D$2:$D$7)</f>
        <v/>
      </c>
      <c r="AJ2">
        <f>SUMIF(Startbesatzung!$A$2:$A$7,A2,Startbesatzung!$E$2:$E$7)</f>
        <v/>
      </c>
      <c r="AK2">
        <f>MAX(0,IF(Startbesatzung!A2=A2,Startbesatzung!G2,0),IF(Startbesatzung!A3=A2,Startbesatzung!G3,0),IF(Startbesatzung!A4=A2,Startbesatzung!G4,0),IF(Startbesatzung!A5=A2,Startbesatzung!G5,0),IF(Startbesatzung!A6=A2,Startbesatzung!G6,0),IF(Startbesatzung!A7=A2,Startbesatzung!G7,0))</f>
        <v/>
      </c>
      <c r="AL2">
        <f>IF(AF2="","",IF(IF(AH2="",0,VLOOKUP(AH2,Bausteine!$A$2:$AY$76,38,FALSE))&gt;0,IF(AH2="",0,VLOOKUP(AH2,Bausteine!$A$2:$AY$76,38,FALSE)),IF(AG2="",0,VLOOKUP(AG2,Bausteine!$A$2:$AY$76,28,FALSE))))</f>
        <v/>
      </c>
      <c r="AM2">
        <f>IF(AF2="","",IF(AG2="",0,VLOOKUP(AG2,Bausteine!$A$2:$AY$76,44,FALSE)))</f>
        <v/>
      </c>
      <c r="AN2">
        <f>IF(AF2="","",IF(AF2="",0,VLOOKUP(AF2,Bausteine!$A$2:$AY$76,27,FALSE)))</f>
        <v/>
      </c>
      <c r="AO2">
        <f>IF(AF2="","",IF(AF2="",0,VLOOKUP(AF2,Bausteine!$A$2:$AY$76,25,FALSE)))</f>
        <v/>
      </c>
      <c r="AP2">
        <f>IF(AF2="","",IF(AH2="",0,VLOOKUP(AH2,Bausteine!$A$2:$AY$76,29,FALSE)))</f>
        <v/>
      </c>
      <c r="AQ2" t="inlineStr">
        <is>
          <t>wheels-light</t>
        </is>
      </c>
      <c r="AR2">
        <f>IF(AQ2="",0,VLOOKUP(AQ2,Bausteine!$A$2:$AY$76,48,FALSE))</f>
        <v/>
      </c>
      <c r="AS2">
        <f>MIN(IF(AQ2="",0,VLOOKUP(AQ2,Bausteine!$A$2:$AY$76,50,FALSE)),IF(C2="",0,VLOOKUP(C2,Bausteine!$A$2:$AY$76,51,FALSE)))</f>
        <v/>
      </c>
    </row>
    <row r="3">
      <c r="A3" t="inlineStr">
        <is>
          <t>Buggy baseline</t>
        </is>
      </c>
      <c r="B3" t="inlineStr">
        <is>
          <t>nod</t>
        </is>
      </c>
      <c r="C3" t="inlineStr">
        <is>
          <t>buggy-hull</t>
        </is>
      </c>
      <c r="D3" t="inlineStr">
        <is>
          <t>diesel-light</t>
        </is>
      </c>
      <c r="E3" t="inlineStr">
        <is>
          <t>baseline-generator</t>
        </is>
      </c>
      <c r="F3" t="inlineStr">
        <is>
          <t>light</t>
        </is>
      </c>
      <c r="G3" t="inlineStr">
        <is>
          <t>scout-mg-mount</t>
        </is>
      </c>
      <c r="H3" t="inlineStr">
        <is>
          <t>scout-mg</t>
        </is>
      </c>
      <c r="I3" t="inlineStr">
        <is>
          <t>scout-mg-rounds</t>
        </is>
      </c>
      <c r="J3" t="inlineStr">
        <is>
          <t>scout-sensors</t>
        </is>
      </c>
      <c r="K3" t="inlineStr"/>
      <c r="L3" t="inlineStr"/>
      <c r="M3">
        <f>IF(C3="",0,VLOOKUP(C3,Bausteine!$A$2:$AY$76,4,FALSE))+IF(D3="",0,VLOOKUP(D3,Bausteine!$A$2:$AY$76,4,FALSE))+IF(E3="",0,VLOOKUP(E3,Bausteine!$A$2:$AY$76,4,FALSE))+IF(F3="",0,VLOOKUP(F3,Bausteine!$A$2:$AY$76,4,FALSE))+IF(G3="",0,VLOOKUP(G3,Bausteine!$A$2:$AY$76,4,FALSE))+IF(H3="",0,VLOOKUP(H3,Bausteine!$A$2:$AY$76,4,FALSE))+IF(I3="",0,VLOOKUP(I3,Bausteine!$A$2:$AY$76,4,FALSE))+IF(J3="",0,VLOOKUP(J3,Bausteine!$A$2:$AY$76,4,FALSE))+IF(K3="",0,VLOOKUP(K3,Bausteine!$A$2:$AY$76,4,FALSE))+IF(L3="",0,VLOOKUP(L3,Bausteine!$A$2:$AY$76,4,FALSE))+IF(AC3="",0,VLOOKUP(AC3,Bausteine!$A$2:$AY$76,4,FALSE))+IF(AF3="",0,VLOOKUP(AF3,Bausteine!$A$2:$AY$76,4,FALSE))+IF(AG3="",0,VLOOKUP(AG3,Bausteine!$A$2:$AY$76,4,FALSE))+IF(AH3="",0,VLOOKUP(AH3,Bausteine!$A$2:$AY$76,4,FALSE))+IF(AQ3="",0,VLOOKUP(AQ3,Bausteine!$A$2:$AY$76,4,FALSE))</f>
        <v/>
      </c>
      <c r="N3">
        <f>IF(C3="",0,VLOOKUP(C3,Bausteine!$A$2:$AY$76,5,FALSE))+IF(D3="",0,VLOOKUP(D3,Bausteine!$A$2:$AY$76,5,FALSE))+IF(E3="",0,VLOOKUP(E3,Bausteine!$A$2:$AY$76,5,FALSE))+IF(F3="",0,VLOOKUP(F3,Bausteine!$A$2:$AY$76,5,FALSE))+IF(G3="",0,VLOOKUP(G3,Bausteine!$A$2:$AY$76,5,FALSE))+IF(H3="",0,VLOOKUP(H3,Bausteine!$A$2:$AY$76,5,FALSE))+IF(I3="",0,VLOOKUP(I3,Bausteine!$A$2:$AY$76,5,FALSE))+IF(J3="",0,VLOOKUP(J3,Bausteine!$A$2:$AY$76,5,FALSE))+IF(K3="",0,VLOOKUP(K3,Bausteine!$A$2:$AY$76,5,FALSE))+IF(L3="",0,VLOOKUP(L3,Bausteine!$A$2:$AY$76,5,FALSE))+IF(AC3="",0,VLOOKUP(AC3,Bausteine!$A$2:$AY$76,5,FALSE))+IF(AF3="",0,VLOOKUP(AF3,Bausteine!$A$2:$AY$76,5,FALSE))+IF(AG3="",0,VLOOKUP(AG3,Bausteine!$A$2:$AY$76,5,FALSE))+IF(AH3="",0,VLOOKUP(AH3,Bausteine!$A$2:$AY$76,5,FALSE))+IF(AQ3="",0,VLOOKUP(AQ3,Bausteine!$A$2:$AY$76,5,FALSE))</f>
        <v/>
      </c>
      <c r="O3">
        <f>MAX(IF(C3="",0,VLOOKUP(C3,Bausteine!$A$2:$AY$76,6,FALSE)),IF(D3="",0,VLOOKUP(D3,Bausteine!$A$2:$AY$76,6,FALSE)),IF(E3="",0,VLOOKUP(E3,Bausteine!$A$2:$AY$76,6,FALSE)),IF(F3="",0,VLOOKUP(F3,Bausteine!$A$2:$AY$76,6,FALSE)),IF(G3="",0,VLOOKUP(G3,Bausteine!$A$2:$AY$76,6,FALSE)),IF(H3="",0,VLOOKUP(H3,Bausteine!$A$2:$AY$76,6,FALSE)),IF(I3="",0,VLOOKUP(I3,Bausteine!$A$2:$AY$76,6,FALSE)),IF(J3="",0,VLOOKUP(J3,Bausteine!$A$2:$AY$76,6,FALSE)),IF(K3="",0,VLOOKUP(K3,Bausteine!$A$2:$AY$76,6,FALSE)),IF(L3="",0,VLOOKUP(L3,Bausteine!$A$2:$AY$76,6,FALSE)),IF(AC3="",0,VLOOKUP(AC3,Bausteine!$A$2:$AY$76,6,FALSE)),IF(AF3="",0,VLOOKUP(AF3,Bausteine!$A$2:$AY$76,6,FALSE)),IF(AG3="",0,VLOOKUP(AG3,Bausteine!$A$2:$AY$76,6,FALSE)),IF(AH3="",0,VLOOKUP(AH3,Bausteine!$A$2:$AY$76,6,FALSE)),IF(AQ3="",0,VLOOKUP(AQ3,Bausteine!$A$2:$AY$76,6,FALSE)),AK3)</f>
        <v/>
      </c>
      <c r="P3">
        <f>IF(C3="",0,VLOOKUP(C3,Bausteine!$A$2:$AY$76,7,FALSE))*IF(F3="",0,VLOOKUP(F3,Bausteine!$A$2:$AY$76,17,FALSE))/100+IF(D3="",0,VLOOKUP(D3,Bausteine!$A$2:$AY$76,7,FALSE))+IF(E3="",0,VLOOKUP(E3,Bausteine!$A$2:$AY$76,7,FALSE))+IF(G3="",0,VLOOKUP(G3,Bausteine!$A$2:$AY$76,7,FALSE))+IF(H3="",0,VLOOKUP(H3,Bausteine!$A$2:$AY$76,7,FALSE))+IF(I3="",0,VLOOKUP(I3,Bausteine!$A$2:$AY$76,7,FALSE))+IF(J3="",0,VLOOKUP(J3,Bausteine!$A$2:$AY$76,7,FALSE))+IF(K3="",0,VLOOKUP(K3,Bausteine!$A$2:$AY$76,7,FALSE))+IF(L3="",0,VLOOKUP(L3,Bausteine!$A$2:$AY$76,7,FALSE))+IF(AC3="",0,VLOOKUP(AC3,Bausteine!$A$2:$AY$76,7,FALSE))+IF(AF3="",0,VLOOKUP(AF3,Bausteine!$A$2:$AY$76,7,FALSE))+IF(AG3="",0,VLOOKUP(AG3,Bausteine!$A$2:$AY$76,7,FALSE))+IF(AH3="",0,VLOOKUP(AH3,Bausteine!$A$2:$AY$76,7,FALSE))+IF(AQ3="",0,VLOOKUP(AQ3,Bausteine!$A$2:$AY$76,7,FALSE))+AI3</f>
        <v/>
      </c>
      <c r="Q3">
        <f>N3*Parameter!$B$2</f>
        <v/>
      </c>
      <c r="R3">
        <f>AE3-Q3</f>
        <v/>
      </c>
      <c r="S3">
        <f>IF(C3="",0,VLOOKUP(C3,Bausteine!$A$2:$AY$76,13,FALSE))*IF(F3="",0,VLOOKUP(F3,Bausteine!$A$2:$AY$76,16,FALSE))/100</f>
        <v/>
      </c>
      <c r="T3">
        <f>IF(C3="",0,VLOOKUP(C3,Bausteine!$A$2:$AY$76,8,FALSE))*IF(F3="",0,VLOOKUP(F3,Bausteine!$A$2:$AY$76,15,FALSE))/100+IF(D3="",0,VLOOKUP(D3,Bausteine!$A$2:$AY$76,8,FALSE))+IF(E3="",0,VLOOKUP(E3,Bausteine!$A$2:$AY$76,8,FALSE))+IF(G3="",0,VLOOKUP(G3,Bausteine!$A$2:$AY$76,8,FALSE))+IF(H3="",0,VLOOKUP(H3,Bausteine!$A$2:$AY$76,8,FALSE))+IF(I3="",0,VLOOKUP(I3,Bausteine!$A$2:$AY$76,8,FALSE))+IF(J3="",0,VLOOKUP(J3,Bausteine!$A$2:$AY$76,8,FALSE))+IF(K3="",0,VLOOKUP(K3,Bausteine!$A$2:$AY$76,8,FALSE))+IF(L3="",0,VLOOKUP(L3,Bausteine!$A$2:$AY$76,8,FALSE))+IF(AC3="",0,VLOOKUP(AC3,Bausteine!$A$2:$AY$76,8,FALSE))+IF(AF3="",0,VLOOKUP(AF3,Bausteine!$A$2:$AY$76,8,FALSE))+IF(AG3="",0,VLOOKUP(AG3,Bausteine!$A$2:$AY$76,8,FALSE))+IF(AH3="",0,VLOOKUP(AH3,Bausteine!$A$2:$AY$76,8,FALSE))+IF(AQ3="",0,VLOOKUP(AQ3,Bausteine!$A$2:$AY$76,8,FALSE))+AJ3</f>
        <v/>
      </c>
      <c r="U3">
        <f>IF(C3="",0,VLOOKUP(C3,Bausteine!$A$2:$AY$76,9,FALSE))+IF(D3="",0,VLOOKUP(D3,Bausteine!$A$2:$AY$76,9,FALSE))+IF(E3="",0,VLOOKUP(E3,Bausteine!$A$2:$AY$76,9,FALSE))+IF(F3="",0,VLOOKUP(F3,Bausteine!$A$2:$AY$76,9,FALSE))+IF(G3="",0,VLOOKUP(G3,Bausteine!$A$2:$AY$76,9,FALSE))+IF(H3="",0,VLOOKUP(H3,Bausteine!$A$2:$AY$76,9,FALSE))+IF(I3="",0,VLOOKUP(I3,Bausteine!$A$2:$AY$76,9,FALSE))+IF(J3="",0,VLOOKUP(J3,Bausteine!$A$2:$AY$76,9,FALSE))+IF(K3="",0,VLOOKUP(K3,Bausteine!$A$2:$AY$76,9,FALSE))+IF(L3="",0,VLOOKUP(L3,Bausteine!$A$2:$AY$76,9,FALSE))+IF(AC3="",0,VLOOKUP(AC3,Bausteine!$A$2:$AY$76,9,FALSE))+IF(AF3="",0,VLOOKUP(AF3,Bausteine!$A$2:$AY$76,9,FALSE))+IF(AG3="",0,VLOOKUP(AG3,Bausteine!$A$2:$AY$76,9,FALSE))+IF(AH3="",0,VLOOKUP(AH3,Bausteine!$A$2:$AY$76,9,FALSE))+IF(AQ3="",0,VLOOKUP(AQ3,Bausteine!$A$2:$AY$76,9,FALSE))</f>
        <v/>
      </c>
      <c r="V3">
        <f>IF(D3="",0,VLOOKUP(D3,Bausteine!$A$2:$AY$76,10,FALSE))-U3/IF(E3="",0,VLOOKUP(E3,Bausteine!$A$2:$AY$76,11,FALSE))</f>
        <v/>
      </c>
      <c r="W3">
        <f>IF(Y3&lt;&gt;"OK","",ROUND(MIN(IF(C3="",0,VLOOKUP(C3,Bausteine!$A$2:$AY$76,21,FALSE)),IF(AQ3="",0,VLOOKUP(AQ3,Bausteine!$A$2:$AY$76,21,FALSE)),IF(C3="",0,VLOOKUP(C3,Bausteine!$A$2:$AY$76,20,FALSE))*(V3/T3/(IF(C3="",0,VLOOKUP(C3,Bausteine!$A$2:$AY$76,19,FALSE))/IF(C3="",0,VLOOKUP(C3,Bausteine!$A$2:$AY$76,18,FALSE))))^Parameter!$B$3),0))</f>
        <v/>
      </c>
      <c r="X3">
        <f>IF(F3="",0,VLOOKUP(F3,Bausteine!$A$2:$AY$76,14,FALSE))</f>
        <v/>
      </c>
      <c r="Y3">
        <f>IFERROR(IF(OR(AD3&lt;=0,AD3&gt;1,R3&lt;=0,T3&lt;=0,V3&lt;=0,U3&gt;IF(E3="",0,VLOOKUP(E3,Bausteine!$A$2:$AY$76,12,FALSE)),T3&gt;MIN(IF(C3="",0,VLOOKUP(C3,Bausteine!$A$2:$AY$76,22,FALSE)),IF(AQ3="",0,VLOOKUP(AQ3,Bausteine!$A$2:$AY$76,22,FALSE))),IF(E3="",0,VLOOKUP(E3,Bausteine!$A$2:$AY$76,11,FALSE))&lt;=0,IF(E3="",0,VLOOKUP(E3,Bausteine!$A$2:$AY$76,11,FALSE))&gt;1),"UNGUELTIG","OK"),"FEHLER")</f>
        <v/>
      </c>
      <c r="Z3" t="n">
        <v>350</v>
      </c>
      <c r="AA3" t="n">
        <v>157</v>
      </c>
      <c r="AB3" t="inlineStr">
        <is>
          <t>Same MG, wheels, motor and sensors as Hum-Vee. Different hull HP/mass/price; no per-design rebate.</t>
        </is>
      </c>
      <c r="AC3" t="inlineStr"/>
      <c r="AD3">
        <f>IF(AC3="",1,IF(AC3="",0,VLOOKUP(AC3,Bausteine!$A$2:$AY$76,37,FALSE))/100)</f>
        <v/>
      </c>
      <c r="AE3">
        <f>P3*AD3</f>
        <v/>
      </c>
      <c r="AF3" t="inlineStr"/>
      <c r="AG3" t="inlineStr"/>
      <c r="AH3" t="inlineStr"/>
      <c r="AI3">
        <f>SUMIF(Startbesatzung!$A$2:$A$7,A3,Startbesatzung!$D$2:$D$7)</f>
        <v/>
      </c>
      <c r="AJ3">
        <f>SUMIF(Startbesatzung!$A$2:$A$7,A3,Startbesatzung!$E$2:$E$7)</f>
        <v/>
      </c>
      <c r="AK3">
        <f>MAX(0,IF(Startbesatzung!A2=A3,Startbesatzung!G2,0),IF(Startbesatzung!A3=A3,Startbesatzung!G3,0),IF(Startbesatzung!A4=A3,Startbesatzung!G4,0),IF(Startbesatzung!A5=A3,Startbesatzung!G5,0),IF(Startbesatzung!A6=A3,Startbesatzung!G6,0),IF(Startbesatzung!A7=A3,Startbesatzung!G7,0))</f>
        <v/>
      </c>
      <c r="AL3">
        <f>IF(AF3="","",IF(IF(AH3="",0,VLOOKUP(AH3,Bausteine!$A$2:$AY$76,38,FALSE))&gt;0,IF(AH3="",0,VLOOKUP(AH3,Bausteine!$A$2:$AY$76,38,FALSE)),IF(AG3="",0,VLOOKUP(AG3,Bausteine!$A$2:$AY$76,28,FALSE))))</f>
        <v/>
      </c>
      <c r="AM3">
        <f>IF(AF3="","",IF(AG3="",0,VLOOKUP(AG3,Bausteine!$A$2:$AY$76,44,FALSE)))</f>
        <v/>
      </c>
      <c r="AN3">
        <f>IF(AF3="","",IF(AF3="",0,VLOOKUP(AF3,Bausteine!$A$2:$AY$76,27,FALSE)))</f>
        <v/>
      </c>
      <c r="AO3">
        <f>IF(AF3="","",IF(AF3="",0,VLOOKUP(AF3,Bausteine!$A$2:$AY$76,25,FALSE)))</f>
        <v/>
      </c>
      <c r="AP3">
        <f>IF(AF3="","",IF(AH3="",0,VLOOKUP(AH3,Bausteine!$A$2:$AY$76,29,FALSE)))</f>
        <v/>
      </c>
      <c r="AQ3" t="inlineStr">
        <is>
          <t>wheels-light</t>
        </is>
      </c>
      <c r="AR3">
        <f>IF(AQ3="",0,VLOOKUP(AQ3,Bausteine!$A$2:$AY$76,48,FALSE))</f>
        <v/>
      </c>
      <c r="AS3">
        <f>MIN(IF(AQ3="",0,VLOOKUP(AQ3,Bausteine!$A$2:$AY$76,50,FALSE)),IF(C3="",0,VLOOKUP(C3,Bausteine!$A$2:$AY$76,51,FALSE)))</f>
        <v/>
      </c>
    </row>
    <row r="4">
      <c r="A4" t="inlineStr">
        <is>
          <t>Nod Light Tank baseline</t>
        </is>
      </c>
      <c r="B4" t="inlineStr">
        <is>
          <t>nod</t>
        </is>
      </c>
      <c r="C4" t="inlineStr">
        <is>
          <t>nod-light-hull</t>
        </is>
      </c>
      <c r="D4" t="inlineStr">
        <is>
          <t>diesel</t>
        </is>
      </c>
      <c r="E4" t="inlineStr">
        <is>
          <t>baseline-generator</t>
        </is>
      </c>
      <c r="F4" t="inlineStr">
        <is>
          <t>heavy</t>
        </is>
      </c>
      <c r="G4" t="inlineStr">
        <is>
          <t>light-cannon-mount</t>
        </is>
      </c>
      <c r="H4" t="inlineStr">
        <is>
          <t>light-cannon</t>
        </is>
      </c>
      <c r="I4" t="inlineStr">
        <is>
          <t>light-tank-shell</t>
        </is>
      </c>
      <c r="J4" t="inlineStr"/>
      <c r="K4" t="inlineStr"/>
      <c r="L4" t="inlineStr"/>
      <c r="M4">
        <f>IF(C4="",0,VLOOKUP(C4,Bausteine!$A$2:$AY$76,4,FALSE))+IF(D4="",0,VLOOKUP(D4,Bausteine!$A$2:$AY$76,4,FALSE))+IF(E4="",0,VLOOKUP(E4,Bausteine!$A$2:$AY$76,4,FALSE))+IF(F4="",0,VLOOKUP(F4,Bausteine!$A$2:$AY$76,4,FALSE))+IF(G4="",0,VLOOKUP(G4,Bausteine!$A$2:$AY$76,4,FALSE))+IF(H4="",0,VLOOKUP(H4,Bausteine!$A$2:$AY$76,4,FALSE))+IF(I4="",0,VLOOKUP(I4,Bausteine!$A$2:$AY$76,4,FALSE))+IF(J4="",0,VLOOKUP(J4,Bausteine!$A$2:$AY$76,4,FALSE))+IF(K4="",0,VLOOKUP(K4,Bausteine!$A$2:$AY$76,4,FALSE))+IF(L4="",0,VLOOKUP(L4,Bausteine!$A$2:$AY$76,4,FALSE))+IF(AC4="",0,VLOOKUP(AC4,Bausteine!$A$2:$AY$76,4,FALSE))+IF(AF4="",0,VLOOKUP(AF4,Bausteine!$A$2:$AY$76,4,FALSE))+IF(AG4="",0,VLOOKUP(AG4,Bausteine!$A$2:$AY$76,4,FALSE))+IF(AH4="",0,VLOOKUP(AH4,Bausteine!$A$2:$AY$76,4,FALSE))+IF(AQ4="",0,VLOOKUP(AQ4,Bausteine!$A$2:$AY$76,4,FALSE))</f>
        <v/>
      </c>
      <c r="N4">
        <f>IF(C4="",0,VLOOKUP(C4,Bausteine!$A$2:$AY$76,5,FALSE))+IF(D4="",0,VLOOKUP(D4,Bausteine!$A$2:$AY$76,5,FALSE))+IF(E4="",0,VLOOKUP(E4,Bausteine!$A$2:$AY$76,5,FALSE))+IF(F4="",0,VLOOKUP(F4,Bausteine!$A$2:$AY$76,5,FALSE))+IF(G4="",0,VLOOKUP(G4,Bausteine!$A$2:$AY$76,5,FALSE))+IF(H4="",0,VLOOKUP(H4,Bausteine!$A$2:$AY$76,5,FALSE))+IF(I4="",0,VLOOKUP(I4,Bausteine!$A$2:$AY$76,5,FALSE))+IF(J4="",0,VLOOKUP(J4,Bausteine!$A$2:$AY$76,5,FALSE))+IF(K4="",0,VLOOKUP(K4,Bausteine!$A$2:$AY$76,5,FALSE))+IF(L4="",0,VLOOKUP(L4,Bausteine!$A$2:$AY$76,5,FALSE))+IF(AC4="",0,VLOOKUP(AC4,Bausteine!$A$2:$AY$76,5,FALSE))+IF(AF4="",0,VLOOKUP(AF4,Bausteine!$A$2:$AY$76,5,FALSE))+IF(AG4="",0,VLOOKUP(AG4,Bausteine!$A$2:$AY$76,5,FALSE))+IF(AH4="",0,VLOOKUP(AH4,Bausteine!$A$2:$AY$76,5,FALSE))+IF(AQ4="",0,VLOOKUP(AQ4,Bausteine!$A$2:$AY$76,5,FALSE))</f>
        <v/>
      </c>
      <c r="O4">
        <f>MAX(IF(C4="",0,VLOOKUP(C4,Bausteine!$A$2:$AY$76,6,FALSE)),IF(D4="",0,VLOOKUP(D4,Bausteine!$A$2:$AY$76,6,FALSE)),IF(E4="",0,VLOOKUP(E4,Bausteine!$A$2:$AY$76,6,FALSE)),IF(F4="",0,VLOOKUP(F4,Bausteine!$A$2:$AY$76,6,FALSE)),IF(G4="",0,VLOOKUP(G4,Bausteine!$A$2:$AY$76,6,FALSE)),IF(H4="",0,VLOOKUP(H4,Bausteine!$A$2:$AY$76,6,FALSE)),IF(I4="",0,VLOOKUP(I4,Bausteine!$A$2:$AY$76,6,FALSE)),IF(J4="",0,VLOOKUP(J4,Bausteine!$A$2:$AY$76,6,FALSE)),IF(K4="",0,VLOOKUP(K4,Bausteine!$A$2:$AY$76,6,FALSE)),IF(L4="",0,VLOOKUP(L4,Bausteine!$A$2:$AY$76,6,FALSE)),IF(AC4="",0,VLOOKUP(AC4,Bausteine!$A$2:$AY$76,6,FALSE)),IF(AF4="",0,VLOOKUP(AF4,Bausteine!$A$2:$AY$76,6,FALSE)),IF(AG4="",0,VLOOKUP(AG4,Bausteine!$A$2:$AY$76,6,FALSE)),IF(AH4="",0,VLOOKUP(AH4,Bausteine!$A$2:$AY$76,6,FALSE)),IF(AQ4="",0,VLOOKUP(AQ4,Bausteine!$A$2:$AY$76,6,FALSE)),AK4)</f>
        <v/>
      </c>
      <c r="P4">
        <f>IF(C4="",0,VLOOKUP(C4,Bausteine!$A$2:$AY$76,7,FALSE))*IF(F4="",0,VLOOKUP(F4,Bausteine!$A$2:$AY$76,17,FALSE))/100+IF(D4="",0,VLOOKUP(D4,Bausteine!$A$2:$AY$76,7,FALSE))+IF(E4="",0,VLOOKUP(E4,Bausteine!$A$2:$AY$76,7,FALSE))+IF(G4="",0,VLOOKUP(G4,Bausteine!$A$2:$AY$76,7,FALSE))+IF(H4="",0,VLOOKUP(H4,Bausteine!$A$2:$AY$76,7,FALSE))+IF(I4="",0,VLOOKUP(I4,Bausteine!$A$2:$AY$76,7,FALSE))+IF(J4="",0,VLOOKUP(J4,Bausteine!$A$2:$AY$76,7,FALSE))+IF(K4="",0,VLOOKUP(K4,Bausteine!$A$2:$AY$76,7,FALSE))+IF(L4="",0,VLOOKUP(L4,Bausteine!$A$2:$AY$76,7,FALSE))+IF(AC4="",0,VLOOKUP(AC4,Bausteine!$A$2:$AY$76,7,FALSE))+IF(AF4="",0,VLOOKUP(AF4,Bausteine!$A$2:$AY$76,7,FALSE))+IF(AG4="",0,VLOOKUP(AG4,Bausteine!$A$2:$AY$76,7,FALSE))+IF(AH4="",0,VLOOKUP(AH4,Bausteine!$A$2:$AY$76,7,FALSE))+IF(AQ4="",0,VLOOKUP(AQ4,Bausteine!$A$2:$AY$76,7,FALSE))+AI4</f>
        <v/>
      </c>
      <c r="Q4">
        <f>N4*Parameter!$B$2</f>
        <v/>
      </c>
      <c r="R4">
        <f>AE4-Q4</f>
        <v/>
      </c>
      <c r="S4">
        <f>IF(C4="",0,VLOOKUP(C4,Bausteine!$A$2:$AY$76,13,FALSE))*IF(F4="",0,VLOOKUP(F4,Bausteine!$A$2:$AY$76,16,FALSE))/100</f>
        <v/>
      </c>
      <c r="T4">
        <f>IF(C4="",0,VLOOKUP(C4,Bausteine!$A$2:$AY$76,8,FALSE))*IF(F4="",0,VLOOKUP(F4,Bausteine!$A$2:$AY$76,15,FALSE))/100+IF(D4="",0,VLOOKUP(D4,Bausteine!$A$2:$AY$76,8,FALSE))+IF(E4="",0,VLOOKUP(E4,Bausteine!$A$2:$AY$76,8,FALSE))+IF(G4="",0,VLOOKUP(G4,Bausteine!$A$2:$AY$76,8,FALSE))+IF(H4="",0,VLOOKUP(H4,Bausteine!$A$2:$AY$76,8,FALSE))+IF(I4="",0,VLOOKUP(I4,Bausteine!$A$2:$AY$76,8,FALSE))+IF(J4="",0,VLOOKUP(J4,Bausteine!$A$2:$AY$76,8,FALSE))+IF(K4="",0,VLOOKUP(K4,Bausteine!$A$2:$AY$76,8,FALSE))+IF(L4="",0,VLOOKUP(L4,Bausteine!$A$2:$AY$76,8,FALSE))+IF(AC4="",0,VLOOKUP(AC4,Bausteine!$A$2:$AY$76,8,FALSE))+IF(AF4="",0,VLOOKUP(AF4,Bausteine!$A$2:$AY$76,8,FALSE))+IF(AG4="",0,VLOOKUP(AG4,Bausteine!$A$2:$AY$76,8,FALSE))+IF(AH4="",0,VLOOKUP(AH4,Bausteine!$A$2:$AY$76,8,FALSE))+IF(AQ4="",0,VLOOKUP(AQ4,Bausteine!$A$2:$AY$76,8,FALSE))+AJ4</f>
        <v/>
      </c>
      <c r="U4">
        <f>IF(C4="",0,VLOOKUP(C4,Bausteine!$A$2:$AY$76,9,FALSE))+IF(D4="",0,VLOOKUP(D4,Bausteine!$A$2:$AY$76,9,FALSE))+IF(E4="",0,VLOOKUP(E4,Bausteine!$A$2:$AY$76,9,FALSE))+IF(F4="",0,VLOOKUP(F4,Bausteine!$A$2:$AY$76,9,FALSE))+IF(G4="",0,VLOOKUP(G4,Bausteine!$A$2:$AY$76,9,FALSE))+IF(H4="",0,VLOOKUP(H4,Bausteine!$A$2:$AY$76,9,FALSE))+IF(I4="",0,VLOOKUP(I4,Bausteine!$A$2:$AY$76,9,FALSE))+IF(J4="",0,VLOOKUP(J4,Bausteine!$A$2:$AY$76,9,FALSE))+IF(K4="",0,VLOOKUP(K4,Bausteine!$A$2:$AY$76,9,FALSE))+IF(L4="",0,VLOOKUP(L4,Bausteine!$A$2:$AY$76,9,FALSE))+IF(AC4="",0,VLOOKUP(AC4,Bausteine!$A$2:$AY$76,9,FALSE))+IF(AF4="",0,VLOOKUP(AF4,Bausteine!$A$2:$AY$76,9,FALSE))+IF(AG4="",0,VLOOKUP(AG4,Bausteine!$A$2:$AY$76,9,FALSE))+IF(AH4="",0,VLOOKUP(AH4,Bausteine!$A$2:$AY$76,9,FALSE))+IF(AQ4="",0,VLOOKUP(AQ4,Bausteine!$A$2:$AY$76,9,FALSE))</f>
        <v/>
      </c>
      <c r="V4">
        <f>IF(D4="",0,VLOOKUP(D4,Bausteine!$A$2:$AY$76,10,FALSE))-U4/IF(E4="",0,VLOOKUP(E4,Bausteine!$A$2:$AY$76,11,FALSE))</f>
        <v/>
      </c>
      <c r="W4">
        <f>IF(Y4&lt;&gt;"OK","",ROUND(MIN(IF(C4="",0,VLOOKUP(C4,Bausteine!$A$2:$AY$76,21,FALSE)),IF(AQ4="",0,VLOOKUP(AQ4,Bausteine!$A$2:$AY$76,21,FALSE)),IF(C4="",0,VLOOKUP(C4,Bausteine!$A$2:$AY$76,20,FALSE))*(V4/T4/(IF(C4="",0,VLOOKUP(C4,Bausteine!$A$2:$AY$76,19,FALSE))/IF(C4="",0,VLOOKUP(C4,Bausteine!$A$2:$AY$76,18,FALSE))))^Parameter!$B$3),0))</f>
        <v/>
      </c>
      <c r="X4">
        <f>IF(F4="",0,VLOOKUP(F4,Bausteine!$A$2:$AY$76,14,FALSE))</f>
        <v/>
      </c>
      <c r="Y4">
        <f>IFERROR(IF(OR(AD4&lt;=0,AD4&gt;1,R4&lt;=0,T4&lt;=0,V4&lt;=0,U4&gt;IF(E4="",0,VLOOKUP(E4,Bausteine!$A$2:$AY$76,12,FALSE)),T4&gt;MIN(IF(C4="",0,VLOOKUP(C4,Bausteine!$A$2:$AY$76,22,FALSE)),IF(AQ4="",0,VLOOKUP(AQ4,Bausteine!$A$2:$AY$76,22,FALSE))),IF(E4="",0,VLOOKUP(E4,Bausteine!$A$2:$AY$76,11,FALSE))&lt;=0,IF(E4="",0,VLOOKUP(E4,Bausteine!$A$2:$AY$76,11,FALSE))&gt;1),"UNGUELTIG","OK"),"FEHLER")</f>
        <v/>
      </c>
      <c r="Z4" t="n">
        <v>625</v>
      </c>
      <c r="AA4" t="n">
        <v>100</v>
      </c>
      <c r="AB4" t="inlineStr">
        <is>
          <t>Shared 30mm assembly with Devil/T-34. No laser upgrades or drone/driver behavior compiled.</t>
        </is>
      </c>
      <c r="AC4" t="inlineStr"/>
      <c r="AD4">
        <f>IF(AC4="",1,IF(AC4="",0,VLOOKUP(AC4,Bausteine!$A$2:$AY$76,37,FALSE))/100)</f>
        <v/>
      </c>
      <c r="AE4">
        <f>P4*AD4</f>
        <v/>
      </c>
      <c r="AF4" t="inlineStr"/>
      <c r="AG4" t="inlineStr"/>
      <c r="AH4" t="inlineStr"/>
      <c r="AI4">
        <f>SUMIF(Startbesatzung!$A$2:$A$7,A4,Startbesatzung!$D$2:$D$7)</f>
        <v/>
      </c>
      <c r="AJ4">
        <f>SUMIF(Startbesatzung!$A$2:$A$7,A4,Startbesatzung!$E$2:$E$7)</f>
        <v/>
      </c>
      <c r="AK4">
        <f>MAX(0,IF(Startbesatzung!A2=A4,Startbesatzung!G2,0),IF(Startbesatzung!A3=A4,Startbesatzung!G3,0),IF(Startbesatzung!A4=A4,Startbesatzung!G4,0),IF(Startbesatzung!A5=A4,Startbesatzung!G5,0),IF(Startbesatzung!A6=A4,Startbesatzung!G6,0),IF(Startbesatzung!A7=A4,Startbesatzung!G7,0))</f>
        <v/>
      </c>
      <c r="AL4">
        <f>IF(AF4="","",IF(IF(AH4="",0,VLOOKUP(AH4,Bausteine!$A$2:$AY$76,38,FALSE))&gt;0,IF(AH4="",0,VLOOKUP(AH4,Bausteine!$A$2:$AY$76,38,FALSE)),IF(AG4="",0,VLOOKUP(AG4,Bausteine!$A$2:$AY$76,28,FALSE))))</f>
        <v/>
      </c>
      <c r="AM4">
        <f>IF(AF4="","",IF(AG4="",0,VLOOKUP(AG4,Bausteine!$A$2:$AY$76,44,FALSE)))</f>
        <v/>
      </c>
      <c r="AN4">
        <f>IF(AF4="","",IF(AF4="",0,VLOOKUP(AF4,Bausteine!$A$2:$AY$76,27,FALSE)))</f>
        <v/>
      </c>
      <c r="AO4">
        <f>IF(AF4="","",IF(AF4="",0,VLOOKUP(AF4,Bausteine!$A$2:$AY$76,25,FALSE)))</f>
        <v/>
      </c>
      <c r="AP4">
        <f>IF(AF4="","",IF(AH4="",0,VLOOKUP(AH4,Bausteine!$A$2:$AY$76,29,FALSE)))</f>
        <v/>
      </c>
      <c r="AQ4" t="inlineStr">
        <is>
          <t>tracks-standard</t>
        </is>
      </c>
      <c r="AR4">
        <f>IF(AQ4="",0,VLOOKUP(AQ4,Bausteine!$A$2:$AY$76,48,FALSE))</f>
        <v/>
      </c>
      <c r="AS4">
        <f>MIN(IF(AQ4="",0,VLOOKUP(AQ4,Bausteine!$A$2:$AY$76,50,FALSE)),IF(C4="",0,VLOOKUP(C4,Bausteine!$A$2:$AY$76,51,FALSE)))</f>
        <v/>
      </c>
    </row>
    <row r="5">
      <c r="A5" t="inlineStr">
        <is>
          <t>T-34 baseline</t>
        </is>
      </c>
      <c r="B5" t="inlineStr">
        <is>
          <t>soviet</t>
        </is>
      </c>
      <c r="C5" t="inlineStr">
        <is>
          <t>t34-hull</t>
        </is>
      </c>
      <c r="D5" t="inlineStr">
        <is>
          <t>diesel</t>
        </is>
      </c>
      <c r="E5" t="inlineStr">
        <is>
          <t>baseline-generator</t>
        </is>
      </c>
      <c r="F5" t="inlineStr">
        <is>
          <t>heavy</t>
        </is>
      </c>
      <c r="G5" t="inlineStr">
        <is>
          <t>light-cannon-mount</t>
        </is>
      </c>
      <c r="H5" t="inlineStr">
        <is>
          <t>light-cannon</t>
        </is>
      </c>
      <c r="I5" t="inlineStr">
        <is>
          <t>light-tank-shell</t>
        </is>
      </c>
      <c r="J5" t="inlineStr"/>
      <c r="K5" t="inlineStr"/>
      <c r="L5" t="inlineStr"/>
      <c r="M5">
        <f>IF(C5="",0,VLOOKUP(C5,Bausteine!$A$2:$AY$76,4,FALSE))+IF(D5="",0,VLOOKUP(D5,Bausteine!$A$2:$AY$76,4,FALSE))+IF(E5="",0,VLOOKUP(E5,Bausteine!$A$2:$AY$76,4,FALSE))+IF(F5="",0,VLOOKUP(F5,Bausteine!$A$2:$AY$76,4,FALSE))+IF(G5="",0,VLOOKUP(G5,Bausteine!$A$2:$AY$76,4,FALSE))+IF(H5="",0,VLOOKUP(H5,Bausteine!$A$2:$AY$76,4,FALSE))+IF(I5="",0,VLOOKUP(I5,Bausteine!$A$2:$AY$76,4,FALSE))+IF(J5="",0,VLOOKUP(J5,Bausteine!$A$2:$AY$76,4,FALSE))+IF(K5="",0,VLOOKUP(K5,Bausteine!$A$2:$AY$76,4,FALSE))+IF(L5="",0,VLOOKUP(L5,Bausteine!$A$2:$AY$76,4,FALSE))+IF(AC5="",0,VLOOKUP(AC5,Bausteine!$A$2:$AY$76,4,FALSE))+IF(AF5="",0,VLOOKUP(AF5,Bausteine!$A$2:$AY$76,4,FALSE))+IF(AG5="",0,VLOOKUP(AG5,Bausteine!$A$2:$AY$76,4,FALSE))+IF(AH5="",0,VLOOKUP(AH5,Bausteine!$A$2:$AY$76,4,FALSE))+IF(AQ5="",0,VLOOKUP(AQ5,Bausteine!$A$2:$AY$76,4,FALSE))</f>
        <v/>
      </c>
      <c r="N5">
        <f>IF(C5="",0,VLOOKUP(C5,Bausteine!$A$2:$AY$76,5,FALSE))+IF(D5="",0,VLOOKUP(D5,Bausteine!$A$2:$AY$76,5,FALSE))+IF(E5="",0,VLOOKUP(E5,Bausteine!$A$2:$AY$76,5,FALSE))+IF(F5="",0,VLOOKUP(F5,Bausteine!$A$2:$AY$76,5,FALSE))+IF(G5="",0,VLOOKUP(G5,Bausteine!$A$2:$AY$76,5,FALSE))+IF(H5="",0,VLOOKUP(H5,Bausteine!$A$2:$AY$76,5,FALSE))+IF(I5="",0,VLOOKUP(I5,Bausteine!$A$2:$AY$76,5,FALSE))+IF(J5="",0,VLOOKUP(J5,Bausteine!$A$2:$AY$76,5,FALSE))+IF(K5="",0,VLOOKUP(K5,Bausteine!$A$2:$AY$76,5,FALSE))+IF(L5="",0,VLOOKUP(L5,Bausteine!$A$2:$AY$76,5,FALSE))+IF(AC5="",0,VLOOKUP(AC5,Bausteine!$A$2:$AY$76,5,FALSE))+IF(AF5="",0,VLOOKUP(AF5,Bausteine!$A$2:$AY$76,5,FALSE))+IF(AG5="",0,VLOOKUP(AG5,Bausteine!$A$2:$AY$76,5,FALSE))+IF(AH5="",0,VLOOKUP(AH5,Bausteine!$A$2:$AY$76,5,FALSE))+IF(AQ5="",0,VLOOKUP(AQ5,Bausteine!$A$2:$AY$76,5,FALSE))</f>
        <v/>
      </c>
      <c r="O5">
        <f>MAX(IF(C5="",0,VLOOKUP(C5,Bausteine!$A$2:$AY$76,6,FALSE)),IF(D5="",0,VLOOKUP(D5,Bausteine!$A$2:$AY$76,6,FALSE)),IF(E5="",0,VLOOKUP(E5,Bausteine!$A$2:$AY$76,6,FALSE)),IF(F5="",0,VLOOKUP(F5,Bausteine!$A$2:$AY$76,6,FALSE)),IF(G5="",0,VLOOKUP(G5,Bausteine!$A$2:$AY$76,6,FALSE)),IF(H5="",0,VLOOKUP(H5,Bausteine!$A$2:$AY$76,6,FALSE)),IF(I5="",0,VLOOKUP(I5,Bausteine!$A$2:$AY$76,6,FALSE)),IF(J5="",0,VLOOKUP(J5,Bausteine!$A$2:$AY$76,6,FALSE)),IF(K5="",0,VLOOKUP(K5,Bausteine!$A$2:$AY$76,6,FALSE)),IF(L5="",0,VLOOKUP(L5,Bausteine!$A$2:$AY$76,6,FALSE)),IF(AC5="",0,VLOOKUP(AC5,Bausteine!$A$2:$AY$76,6,FALSE)),IF(AF5="",0,VLOOKUP(AF5,Bausteine!$A$2:$AY$76,6,FALSE)),IF(AG5="",0,VLOOKUP(AG5,Bausteine!$A$2:$AY$76,6,FALSE)),IF(AH5="",0,VLOOKUP(AH5,Bausteine!$A$2:$AY$76,6,FALSE)),IF(AQ5="",0,VLOOKUP(AQ5,Bausteine!$A$2:$AY$76,6,FALSE)),AK5)</f>
        <v/>
      </c>
      <c r="P5">
        <f>IF(C5="",0,VLOOKUP(C5,Bausteine!$A$2:$AY$76,7,FALSE))*IF(F5="",0,VLOOKUP(F5,Bausteine!$A$2:$AY$76,17,FALSE))/100+IF(D5="",0,VLOOKUP(D5,Bausteine!$A$2:$AY$76,7,FALSE))+IF(E5="",0,VLOOKUP(E5,Bausteine!$A$2:$AY$76,7,FALSE))+IF(G5="",0,VLOOKUP(G5,Bausteine!$A$2:$AY$76,7,FALSE))+IF(H5="",0,VLOOKUP(H5,Bausteine!$A$2:$AY$76,7,FALSE))+IF(I5="",0,VLOOKUP(I5,Bausteine!$A$2:$AY$76,7,FALSE))+IF(J5="",0,VLOOKUP(J5,Bausteine!$A$2:$AY$76,7,FALSE))+IF(K5="",0,VLOOKUP(K5,Bausteine!$A$2:$AY$76,7,FALSE))+IF(L5="",0,VLOOKUP(L5,Bausteine!$A$2:$AY$76,7,FALSE))+IF(AC5="",0,VLOOKUP(AC5,Bausteine!$A$2:$AY$76,7,FALSE))+IF(AF5="",0,VLOOKUP(AF5,Bausteine!$A$2:$AY$76,7,FALSE))+IF(AG5="",0,VLOOKUP(AG5,Bausteine!$A$2:$AY$76,7,FALSE))+IF(AH5="",0,VLOOKUP(AH5,Bausteine!$A$2:$AY$76,7,FALSE))+IF(AQ5="",0,VLOOKUP(AQ5,Bausteine!$A$2:$AY$76,7,FALSE))+AI5</f>
        <v/>
      </c>
      <c r="Q5">
        <f>N5*Parameter!$B$2</f>
        <v/>
      </c>
      <c r="R5">
        <f>AE5-Q5</f>
        <v/>
      </c>
      <c r="S5">
        <f>IF(C5="",0,VLOOKUP(C5,Bausteine!$A$2:$AY$76,13,FALSE))*IF(F5="",0,VLOOKUP(F5,Bausteine!$A$2:$AY$76,16,FALSE))/100</f>
        <v/>
      </c>
      <c r="T5">
        <f>IF(C5="",0,VLOOKUP(C5,Bausteine!$A$2:$AY$76,8,FALSE))*IF(F5="",0,VLOOKUP(F5,Bausteine!$A$2:$AY$76,15,FALSE))/100+IF(D5="",0,VLOOKUP(D5,Bausteine!$A$2:$AY$76,8,FALSE))+IF(E5="",0,VLOOKUP(E5,Bausteine!$A$2:$AY$76,8,FALSE))+IF(G5="",0,VLOOKUP(G5,Bausteine!$A$2:$AY$76,8,FALSE))+IF(H5="",0,VLOOKUP(H5,Bausteine!$A$2:$AY$76,8,FALSE))+IF(I5="",0,VLOOKUP(I5,Bausteine!$A$2:$AY$76,8,FALSE))+IF(J5="",0,VLOOKUP(J5,Bausteine!$A$2:$AY$76,8,FALSE))+IF(K5="",0,VLOOKUP(K5,Bausteine!$A$2:$AY$76,8,FALSE))+IF(L5="",0,VLOOKUP(L5,Bausteine!$A$2:$AY$76,8,FALSE))+IF(AC5="",0,VLOOKUP(AC5,Bausteine!$A$2:$AY$76,8,FALSE))+IF(AF5="",0,VLOOKUP(AF5,Bausteine!$A$2:$AY$76,8,FALSE))+IF(AG5="",0,VLOOKUP(AG5,Bausteine!$A$2:$AY$76,8,FALSE))+IF(AH5="",0,VLOOKUP(AH5,Bausteine!$A$2:$AY$76,8,FALSE))+IF(AQ5="",0,VLOOKUP(AQ5,Bausteine!$A$2:$AY$76,8,FALSE))+AJ5</f>
        <v/>
      </c>
      <c r="U5">
        <f>IF(C5="",0,VLOOKUP(C5,Bausteine!$A$2:$AY$76,9,FALSE))+IF(D5="",0,VLOOKUP(D5,Bausteine!$A$2:$AY$76,9,FALSE))+IF(E5="",0,VLOOKUP(E5,Bausteine!$A$2:$AY$76,9,FALSE))+IF(F5="",0,VLOOKUP(F5,Bausteine!$A$2:$AY$76,9,FALSE))+IF(G5="",0,VLOOKUP(G5,Bausteine!$A$2:$AY$76,9,FALSE))+IF(H5="",0,VLOOKUP(H5,Bausteine!$A$2:$AY$76,9,FALSE))+IF(I5="",0,VLOOKUP(I5,Bausteine!$A$2:$AY$76,9,FALSE))+IF(J5="",0,VLOOKUP(J5,Bausteine!$A$2:$AY$76,9,FALSE))+IF(K5="",0,VLOOKUP(K5,Bausteine!$A$2:$AY$76,9,FALSE))+IF(L5="",0,VLOOKUP(L5,Bausteine!$A$2:$AY$76,9,FALSE))+IF(AC5="",0,VLOOKUP(AC5,Bausteine!$A$2:$AY$76,9,FALSE))+IF(AF5="",0,VLOOKUP(AF5,Bausteine!$A$2:$AY$76,9,FALSE))+IF(AG5="",0,VLOOKUP(AG5,Bausteine!$A$2:$AY$76,9,FALSE))+IF(AH5="",0,VLOOKUP(AH5,Bausteine!$A$2:$AY$76,9,FALSE))+IF(AQ5="",0,VLOOKUP(AQ5,Bausteine!$A$2:$AY$76,9,FALSE))</f>
        <v/>
      </c>
      <c r="V5">
        <f>IF(D5="",0,VLOOKUP(D5,Bausteine!$A$2:$AY$76,10,FALSE))-U5/IF(E5="",0,VLOOKUP(E5,Bausteine!$A$2:$AY$76,11,FALSE))</f>
        <v/>
      </c>
      <c r="W5">
        <f>IF(Y5&lt;&gt;"OK","",ROUND(MIN(IF(C5="",0,VLOOKUP(C5,Bausteine!$A$2:$AY$76,21,FALSE)),IF(AQ5="",0,VLOOKUP(AQ5,Bausteine!$A$2:$AY$76,21,FALSE)),IF(C5="",0,VLOOKUP(C5,Bausteine!$A$2:$AY$76,20,FALSE))*(V5/T5/(IF(C5="",0,VLOOKUP(C5,Bausteine!$A$2:$AY$76,19,FALSE))/IF(C5="",0,VLOOKUP(C5,Bausteine!$A$2:$AY$76,18,FALSE))))^Parameter!$B$3),0))</f>
        <v/>
      </c>
      <c r="X5">
        <f>IF(F5="",0,VLOOKUP(F5,Bausteine!$A$2:$AY$76,14,FALSE))</f>
        <v/>
      </c>
      <c r="Y5">
        <f>IFERROR(IF(OR(AD5&lt;=0,AD5&gt;1,R5&lt;=0,T5&lt;=0,V5&lt;=0,U5&gt;IF(E5="",0,VLOOKUP(E5,Bausteine!$A$2:$AY$76,12,FALSE)),T5&gt;MIN(IF(C5="",0,VLOOKUP(C5,Bausteine!$A$2:$AY$76,22,FALSE)),IF(AQ5="",0,VLOOKUP(AQ5,Bausteine!$A$2:$AY$76,22,FALSE))),IF(E5="",0,VLOOKUP(E5,Bausteine!$A$2:$AY$76,11,FALSE))&lt;=0,IF(E5="",0,VLOOKUP(E5,Bausteine!$A$2:$AY$76,11,FALSE))&gt;1),"UNGUELTIG","OK"),"FEHLER")</f>
        <v/>
      </c>
      <c r="Z5" t="n">
        <v>600</v>
      </c>
      <c r="AA5" t="n">
        <v>100</v>
      </c>
      <c r="AB5" t="inlineStr">
        <is>
          <t>Cluster upgrade excluded; Soviet base-faction availability is proposed, legacy unit is North Korea. Initial hull price fit, not independent balance validation.</t>
        </is>
      </c>
      <c r="AC5" t="inlineStr"/>
      <c r="AD5">
        <f>IF(AC5="",1,IF(AC5="",0,VLOOKUP(AC5,Bausteine!$A$2:$AY$76,37,FALSE))/100)</f>
        <v/>
      </c>
      <c r="AE5">
        <f>P5*AD5</f>
        <v/>
      </c>
      <c r="AF5" t="inlineStr"/>
      <c r="AG5" t="inlineStr"/>
      <c r="AH5" t="inlineStr"/>
      <c r="AI5">
        <f>SUMIF(Startbesatzung!$A$2:$A$7,A5,Startbesatzung!$D$2:$D$7)</f>
        <v/>
      </c>
      <c r="AJ5">
        <f>SUMIF(Startbesatzung!$A$2:$A$7,A5,Startbesatzung!$E$2:$E$7)</f>
        <v/>
      </c>
      <c r="AK5">
        <f>MAX(0,IF(Startbesatzung!A2=A5,Startbesatzung!G2,0),IF(Startbesatzung!A3=A5,Startbesatzung!G3,0),IF(Startbesatzung!A4=A5,Startbesatzung!G4,0),IF(Startbesatzung!A5=A5,Startbesatzung!G5,0),IF(Startbesatzung!A6=A5,Startbesatzung!G6,0),IF(Startbesatzung!A7=A5,Startbesatzung!G7,0))</f>
        <v/>
      </c>
      <c r="AL5">
        <f>IF(AF5="","",IF(IF(AH5="",0,VLOOKUP(AH5,Bausteine!$A$2:$AY$76,38,FALSE))&gt;0,IF(AH5="",0,VLOOKUP(AH5,Bausteine!$A$2:$AY$76,38,FALSE)),IF(AG5="",0,VLOOKUP(AG5,Bausteine!$A$2:$AY$76,28,FALSE))))</f>
        <v/>
      </c>
      <c r="AM5">
        <f>IF(AF5="","",IF(AG5="",0,VLOOKUP(AG5,Bausteine!$A$2:$AY$76,44,FALSE)))</f>
        <v/>
      </c>
      <c r="AN5">
        <f>IF(AF5="","",IF(AF5="",0,VLOOKUP(AF5,Bausteine!$A$2:$AY$76,27,FALSE)))</f>
        <v/>
      </c>
      <c r="AO5">
        <f>IF(AF5="","",IF(AF5="",0,VLOOKUP(AF5,Bausteine!$A$2:$AY$76,25,FALSE)))</f>
        <v/>
      </c>
      <c r="AP5">
        <f>IF(AF5="","",IF(AH5="",0,VLOOKUP(AH5,Bausteine!$A$2:$AY$76,29,FALSE)))</f>
        <v/>
      </c>
      <c r="AQ5" t="inlineStr">
        <is>
          <t>tracks-standard</t>
        </is>
      </c>
      <c r="AR5">
        <f>IF(AQ5="",0,VLOOKUP(AQ5,Bausteine!$A$2:$AY$76,48,FALSE))</f>
        <v/>
      </c>
      <c r="AS5">
        <f>MIN(IF(AQ5="",0,VLOOKUP(AQ5,Bausteine!$A$2:$AY$76,50,FALSE)),IF(C5="",0,VLOOKUP(C5,Bausteine!$A$2:$AY$76,51,FALSE)))</f>
        <v/>
      </c>
    </row>
    <row r="6">
      <c r="A6" t="inlineStr">
        <is>
          <t>Devil Tank baseline</t>
        </is>
      </c>
      <c r="B6" t="inlineStr">
        <is>
          <t>soviet</t>
        </is>
      </c>
      <c r="C6" t="inlineStr">
        <is>
          <t>devil-hull</t>
        </is>
      </c>
      <c r="D6" t="inlineStr">
        <is>
          <t>diesel</t>
        </is>
      </c>
      <c r="E6" t="inlineStr">
        <is>
          <t>baseline-generator</t>
        </is>
      </c>
      <c r="F6" t="inlineStr">
        <is>
          <t>heavy</t>
        </is>
      </c>
      <c r="G6" t="inlineStr">
        <is>
          <t>light-cannon-mount</t>
        </is>
      </c>
      <c r="H6" t="inlineStr">
        <is>
          <t>light-cannon</t>
        </is>
      </c>
      <c r="I6" t="inlineStr">
        <is>
          <t>light-tank-shell</t>
        </is>
      </c>
      <c r="J6" t="inlineStr"/>
      <c r="K6" t="inlineStr"/>
      <c r="L6" t="inlineStr"/>
      <c r="M6">
        <f>IF(C6="",0,VLOOKUP(C6,Bausteine!$A$2:$AY$76,4,FALSE))+IF(D6="",0,VLOOKUP(D6,Bausteine!$A$2:$AY$76,4,FALSE))+IF(E6="",0,VLOOKUP(E6,Bausteine!$A$2:$AY$76,4,FALSE))+IF(F6="",0,VLOOKUP(F6,Bausteine!$A$2:$AY$76,4,FALSE))+IF(G6="",0,VLOOKUP(G6,Bausteine!$A$2:$AY$76,4,FALSE))+IF(H6="",0,VLOOKUP(H6,Bausteine!$A$2:$AY$76,4,FALSE))+IF(I6="",0,VLOOKUP(I6,Bausteine!$A$2:$AY$76,4,FALSE))+IF(J6="",0,VLOOKUP(J6,Bausteine!$A$2:$AY$76,4,FALSE))+IF(K6="",0,VLOOKUP(K6,Bausteine!$A$2:$AY$76,4,FALSE))+IF(L6="",0,VLOOKUP(L6,Bausteine!$A$2:$AY$76,4,FALSE))+IF(AC6="",0,VLOOKUP(AC6,Bausteine!$A$2:$AY$76,4,FALSE))+IF(AF6="",0,VLOOKUP(AF6,Bausteine!$A$2:$AY$76,4,FALSE))+IF(AG6="",0,VLOOKUP(AG6,Bausteine!$A$2:$AY$76,4,FALSE))+IF(AH6="",0,VLOOKUP(AH6,Bausteine!$A$2:$AY$76,4,FALSE))+IF(AQ6="",0,VLOOKUP(AQ6,Bausteine!$A$2:$AY$76,4,FALSE))</f>
        <v/>
      </c>
      <c r="N6">
        <f>IF(C6="",0,VLOOKUP(C6,Bausteine!$A$2:$AY$76,5,FALSE))+IF(D6="",0,VLOOKUP(D6,Bausteine!$A$2:$AY$76,5,FALSE))+IF(E6="",0,VLOOKUP(E6,Bausteine!$A$2:$AY$76,5,FALSE))+IF(F6="",0,VLOOKUP(F6,Bausteine!$A$2:$AY$76,5,FALSE))+IF(G6="",0,VLOOKUP(G6,Bausteine!$A$2:$AY$76,5,FALSE))+IF(H6="",0,VLOOKUP(H6,Bausteine!$A$2:$AY$76,5,FALSE))+IF(I6="",0,VLOOKUP(I6,Bausteine!$A$2:$AY$76,5,FALSE))+IF(J6="",0,VLOOKUP(J6,Bausteine!$A$2:$AY$76,5,FALSE))+IF(K6="",0,VLOOKUP(K6,Bausteine!$A$2:$AY$76,5,FALSE))+IF(L6="",0,VLOOKUP(L6,Bausteine!$A$2:$AY$76,5,FALSE))+IF(AC6="",0,VLOOKUP(AC6,Bausteine!$A$2:$AY$76,5,FALSE))+IF(AF6="",0,VLOOKUP(AF6,Bausteine!$A$2:$AY$76,5,FALSE))+IF(AG6="",0,VLOOKUP(AG6,Bausteine!$A$2:$AY$76,5,FALSE))+IF(AH6="",0,VLOOKUP(AH6,Bausteine!$A$2:$AY$76,5,FALSE))+IF(AQ6="",0,VLOOKUP(AQ6,Bausteine!$A$2:$AY$76,5,FALSE))</f>
        <v/>
      </c>
      <c r="O6">
        <f>MAX(IF(C6="",0,VLOOKUP(C6,Bausteine!$A$2:$AY$76,6,FALSE)),IF(D6="",0,VLOOKUP(D6,Bausteine!$A$2:$AY$76,6,FALSE)),IF(E6="",0,VLOOKUP(E6,Bausteine!$A$2:$AY$76,6,FALSE)),IF(F6="",0,VLOOKUP(F6,Bausteine!$A$2:$AY$76,6,FALSE)),IF(G6="",0,VLOOKUP(G6,Bausteine!$A$2:$AY$76,6,FALSE)),IF(H6="",0,VLOOKUP(H6,Bausteine!$A$2:$AY$76,6,FALSE)),IF(I6="",0,VLOOKUP(I6,Bausteine!$A$2:$AY$76,6,FALSE)),IF(J6="",0,VLOOKUP(J6,Bausteine!$A$2:$AY$76,6,FALSE)),IF(K6="",0,VLOOKUP(K6,Bausteine!$A$2:$AY$76,6,FALSE)),IF(L6="",0,VLOOKUP(L6,Bausteine!$A$2:$AY$76,6,FALSE)),IF(AC6="",0,VLOOKUP(AC6,Bausteine!$A$2:$AY$76,6,FALSE)),IF(AF6="",0,VLOOKUP(AF6,Bausteine!$A$2:$AY$76,6,FALSE)),IF(AG6="",0,VLOOKUP(AG6,Bausteine!$A$2:$AY$76,6,FALSE)),IF(AH6="",0,VLOOKUP(AH6,Bausteine!$A$2:$AY$76,6,FALSE)),IF(AQ6="",0,VLOOKUP(AQ6,Bausteine!$A$2:$AY$76,6,FALSE)),AK6)</f>
        <v/>
      </c>
      <c r="P6">
        <f>IF(C6="",0,VLOOKUP(C6,Bausteine!$A$2:$AY$76,7,FALSE))*IF(F6="",0,VLOOKUP(F6,Bausteine!$A$2:$AY$76,17,FALSE))/100+IF(D6="",0,VLOOKUP(D6,Bausteine!$A$2:$AY$76,7,FALSE))+IF(E6="",0,VLOOKUP(E6,Bausteine!$A$2:$AY$76,7,FALSE))+IF(G6="",0,VLOOKUP(G6,Bausteine!$A$2:$AY$76,7,FALSE))+IF(H6="",0,VLOOKUP(H6,Bausteine!$A$2:$AY$76,7,FALSE))+IF(I6="",0,VLOOKUP(I6,Bausteine!$A$2:$AY$76,7,FALSE))+IF(J6="",0,VLOOKUP(J6,Bausteine!$A$2:$AY$76,7,FALSE))+IF(K6="",0,VLOOKUP(K6,Bausteine!$A$2:$AY$76,7,FALSE))+IF(L6="",0,VLOOKUP(L6,Bausteine!$A$2:$AY$76,7,FALSE))+IF(AC6="",0,VLOOKUP(AC6,Bausteine!$A$2:$AY$76,7,FALSE))+IF(AF6="",0,VLOOKUP(AF6,Bausteine!$A$2:$AY$76,7,FALSE))+IF(AG6="",0,VLOOKUP(AG6,Bausteine!$A$2:$AY$76,7,FALSE))+IF(AH6="",0,VLOOKUP(AH6,Bausteine!$A$2:$AY$76,7,FALSE))+IF(AQ6="",0,VLOOKUP(AQ6,Bausteine!$A$2:$AY$76,7,FALSE))+AI6</f>
        <v/>
      </c>
      <c r="Q6">
        <f>N6*Parameter!$B$2</f>
        <v/>
      </c>
      <c r="R6">
        <f>AE6-Q6</f>
        <v/>
      </c>
      <c r="S6">
        <f>IF(C6="",0,VLOOKUP(C6,Bausteine!$A$2:$AY$76,13,FALSE))*IF(F6="",0,VLOOKUP(F6,Bausteine!$A$2:$AY$76,16,FALSE))/100</f>
        <v/>
      </c>
      <c r="T6">
        <f>IF(C6="",0,VLOOKUP(C6,Bausteine!$A$2:$AY$76,8,FALSE))*IF(F6="",0,VLOOKUP(F6,Bausteine!$A$2:$AY$76,15,FALSE))/100+IF(D6="",0,VLOOKUP(D6,Bausteine!$A$2:$AY$76,8,FALSE))+IF(E6="",0,VLOOKUP(E6,Bausteine!$A$2:$AY$76,8,FALSE))+IF(G6="",0,VLOOKUP(G6,Bausteine!$A$2:$AY$76,8,FALSE))+IF(H6="",0,VLOOKUP(H6,Bausteine!$A$2:$AY$76,8,FALSE))+IF(I6="",0,VLOOKUP(I6,Bausteine!$A$2:$AY$76,8,FALSE))+IF(J6="",0,VLOOKUP(J6,Bausteine!$A$2:$AY$76,8,FALSE))+IF(K6="",0,VLOOKUP(K6,Bausteine!$A$2:$AY$76,8,FALSE))+IF(L6="",0,VLOOKUP(L6,Bausteine!$A$2:$AY$76,8,FALSE))+IF(AC6="",0,VLOOKUP(AC6,Bausteine!$A$2:$AY$76,8,FALSE))+IF(AF6="",0,VLOOKUP(AF6,Bausteine!$A$2:$AY$76,8,FALSE))+IF(AG6="",0,VLOOKUP(AG6,Bausteine!$A$2:$AY$76,8,FALSE))+IF(AH6="",0,VLOOKUP(AH6,Bausteine!$A$2:$AY$76,8,FALSE))+IF(AQ6="",0,VLOOKUP(AQ6,Bausteine!$A$2:$AY$76,8,FALSE))+AJ6</f>
        <v/>
      </c>
      <c r="U6">
        <f>IF(C6="",0,VLOOKUP(C6,Bausteine!$A$2:$AY$76,9,FALSE))+IF(D6="",0,VLOOKUP(D6,Bausteine!$A$2:$AY$76,9,FALSE))+IF(E6="",0,VLOOKUP(E6,Bausteine!$A$2:$AY$76,9,FALSE))+IF(F6="",0,VLOOKUP(F6,Bausteine!$A$2:$AY$76,9,FALSE))+IF(G6="",0,VLOOKUP(G6,Bausteine!$A$2:$AY$76,9,FALSE))+IF(H6="",0,VLOOKUP(H6,Bausteine!$A$2:$AY$76,9,FALSE))+IF(I6="",0,VLOOKUP(I6,Bausteine!$A$2:$AY$76,9,FALSE))+IF(J6="",0,VLOOKUP(J6,Bausteine!$A$2:$AY$76,9,FALSE))+IF(K6="",0,VLOOKUP(K6,Bausteine!$A$2:$AY$76,9,FALSE))+IF(L6="",0,VLOOKUP(L6,Bausteine!$A$2:$AY$76,9,FALSE))+IF(AC6="",0,VLOOKUP(AC6,Bausteine!$A$2:$AY$76,9,FALSE))+IF(AF6="",0,VLOOKUP(AF6,Bausteine!$A$2:$AY$76,9,FALSE))+IF(AG6="",0,VLOOKUP(AG6,Bausteine!$A$2:$AY$76,9,FALSE))+IF(AH6="",0,VLOOKUP(AH6,Bausteine!$A$2:$AY$76,9,FALSE))+IF(AQ6="",0,VLOOKUP(AQ6,Bausteine!$A$2:$AY$76,9,FALSE))</f>
        <v/>
      </c>
      <c r="V6">
        <f>IF(D6="",0,VLOOKUP(D6,Bausteine!$A$2:$AY$76,10,FALSE))-U6/IF(E6="",0,VLOOKUP(E6,Bausteine!$A$2:$AY$76,11,FALSE))</f>
        <v/>
      </c>
      <c r="W6">
        <f>IF(Y6&lt;&gt;"OK","",ROUND(MIN(IF(C6="",0,VLOOKUP(C6,Bausteine!$A$2:$AY$76,21,FALSE)),IF(AQ6="",0,VLOOKUP(AQ6,Bausteine!$A$2:$AY$76,21,FALSE)),IF(C6="",0,VLOOKUP(C6,Bausteine!$A$2:$AY$76,20,FALSE))*(V6/T6/(IF(C6="",0,VLOOKUP(C6,Bausteine!$A$2:$AY$76,19,FALSE))/IF(C6="",0,VLOOKUP(C6,Bausteine!$A$2:$AY$76,18,FALSE))))^Parameter!$B$3),0))</f>
        <v/>
      </c>
      <c r="X6">
        <f>IF(F6="",0,VLOOKUP(F6,Bausteine!$A$2:$AY$76,14,FALSE))</f>
        <v/>
      </c>
      <c r="Y6">
        <f>IFERROR(IF(OR(AD6&lt;=0,AD6&gt;1,R6&lt;=0,T6&lt;=0,V6&lt;=0,U6&gt;IF(E6="",0,VLOOKUP(E6,Bausteine!$A$2:$AY$76,12,FALSE)),T6&gt;MIN(IF(C6="",0,VLOOKUP(C6,Bausteine!$A$2:$AY$76,22,FALSE)),IF(AQ6="",0,VLOOKUP(AQ6,Bausteine!$A$2:$AY$76,22,FALSE))),IF(E6="",0,VLOOKUP(E6,Bausteine!$A$2:$AY$76,11,FALSE))&lt;=0,IF(E6="",0,VLOOKUP(E6,Bausteine!$A$2:$AY$76,11,FALSE))&gt;1),"UNGUELTIG","OK"),"FEHLER")</f>
        <v/>
      </c>
      <c r="Z6" t="n">
        <v>700</v>
      </c>
      <c r="AA6" t="n">
        <v>90</v>
      </c>
      <c r="AB6" t="inlineStr">
        <is>
          <t>Iraq reference, mapped to Soviet base catalog. Existing live PDL/Reflector balancing not changed; not modeled on this new hull yet.</t>
        </is>
      </c>
      <c r="AC6" t="inlineStr"/>
      <c r="AD6">
        <f>IF(AC6="",1,IF(AC6="",0,VLOOKUP(AC6,Bausteine!$A$2:$AY$76,37,FALSE))/100)</f>
        <v/>
      </c>
      <c r="AE6">
        <f>P6*AD6</f>
        <v/>
      </c>
      <c r="AF6" t="inlineStr"/>
      <c r="AG6" t="inlineStr"/>
      <c r="AH6" t="inlineStr"/>
      <c r="AI6">
        <f>SUMIF(Startbesatzung!$A$2:$A$7,A6,Startbesatzung!$D$2:$D$7)</f>
        <v/>
      </c>
      <c r="AJ6">
        <f>SUMIF(Startbesatzung!$A$2:$A$7,A6,Startbesatzung!$E$2:$E$7)</f>
        <v/>
      </c>
      <c r="AK6">
        <f>MAX(0,IF(Startbesatzung!A2=A6,Startbesatzung!G2,0),IF(Startbesatzung!A3=A6,Startbesatzung!G3,0),IF(Startbesatzung!A4=A6,Startbesatzung!G4,0),IF(Startbesatzung!A5=A6,Startbesatzung!G5,0),IF(Startbesatzung!A6=A6,Startbesatzung!G6,0),IF(Startbesatzung!A7=A6,Startbesatzung!G7,0))</f>
        <v/>
      </c>
      <c r="AL6">
        <f>IF(AF6="","",IF(IF(AH6="",0,VLOOKUP(AH6,Bausteine!$A$2:$AY$76,38,FALSE))&gt;0,IF(AH6="",0,VLOOKUP(AH6,Bausteine!$A$2:$AY$76,38,FALSE)),IF(AG6="",0,VLOOKUP(AG6,Bausteine!$A$2:$AY$76,28,FALSE))))</f>
        <v/>
      </c>
      <c r="AM6">
        <f>IF(AF6="","",IF(AG6="",0,VLOOKUP(AG6,Bausteine!$A$2:$AY$76,44,FALSE)))</f>
        <v/>
      </c>
      <c r="AN6">
        <f>IF(AF6="","",IF(AF6="",0,VLOOKUP(AF6,Bausteine!$A$2:$AY$76,27,FALSE)))</f>
        <v/>
      </c>
      <c r="AO6">
        <f>IF(AF6="","",IF(AF6="",0,VLOOKUP(AF6,Bausteine!$A$2:$AY$76,25,FALSE)))</f>
        <v/>
      </c>
      <c r="AP6">
        <f>IF(AF6="","",IF(AH6="",0,VLOOKUP(AH6,Bausteine!$A$2:$AY$76,29,FALSE)))</f>
        <v/>
      </c>
      <c r="AQ6" t="inlineStr">
        <is>
          <t>tracks-standard</t>
        </is>
      </c>
      <c r="AR6">
        <f>IF(AQ6="",0,VLOOKUP(AQ6,Bausteine!$A$2:$AY$76,48,FALSE))</f>
        <v/>
      </c>
      <c r="AS6">
        <f>MIN(IF(AQ6="",0,VLOOKUP(AQ6,Bausteine!$A$2:$AY$76,50,FALSE)),IF(C6="",0,VLOOKUP(C6,Bausteine!$A$2:$AY$76,51,FALSE)))</f>
        <v/>
      </c>
    </row>
    <row r="7">
      <c r="A7" t="inlineStr">
        <is>
          <t>GDI Battle Tank baseline</t>
        </is>
      </c>
      <c r="B7" t="inlineStr">
        <is>
          <t>gdi</t>
        </is>
      </c>
      <c r="C7" t="inlineStr">
        <is>
          <t>gdi-battle-hull</t>
        </is>
      </c>
      <c r="D7" t="inlineStr">
        <is>
          <t>diesel</t>
        </is>
      </c>
      <c r="E7" t="inlineStr">
        <is>
          <t>baseline-generator</t>
        </is>
      </c>
      <c r="F7" t="inlineStr">
        <is>
          <t>heavy</t>
        </is>
      </c>
      <c r="G7" t="inlineStr">
        <is>
          <t>medium-cannon-mount</t>
        </is>
      </c>
      <c r="H7" t="inlineStr">
        <is>
          <t>medium-cannon</t>
        </is>
      </c>
      <c r="I7" t="inlineStr">
        <is>
          <t>medium-tank-shell</t>
        </is>
      </c>
      <c r="J7" t="inlineStr"/>
      <c r="K7" t="inlineStr"/>
      <c r="L7" t="inlineStr"/>
      <c r="M7">
        <f>IF(C7="",0,VLOOKUP(C7,Bausteine!$A$2:$AY$76,4,FALSE))+IF(D7="",0,VLOOKUP(D7,Bausteine!$A$2:$AY$76,4,FALSE))+IF(E7="",0,VLOOKUP(E7,Bausteine!$A$2:$AY$76,4,FALSE))+IF(F7="",0,VLOOKUP(F7,Bausteine!$A$2:$AY$76,4,FALSE))+IF(G7="",0,VLOOKUP(G7,Bausteine!$A$2:$AY$76,4,FALSE))+IF(H7="",0,VLOOKUP(H7,Bausteine!$A$2:$AY$76,4,FALSE))+IF(I7="",0,VLOOKUP(I7,Bausteine!$A$2:$AY$76,4,FALSE))+IF(J7="",0,VLOOKUP(J7,Bausteine!$A$2:$AY$76,4,FALSE))+IF(K7="",0,VLOOKUP(K7,Bausteine!$A$2:$AY$76,4,FALSE))+IF(L7="",0,VLOOKUP(L7,Bausteine!$A$2:$AY$76,4,FALSE))+IF(AC7="",0,VLOOKUP(AC7,Bausteine!$A$2:$AY$76,4,FALSE))+IF(AF7="",0,VLOOKUP(AF7,Bausteine!$A$2:$AY$76,4,FALSE))+IF(AG7="",0,VLOOKUP(AG7,Bausteine!$A$2:$AY$76,4,FALSE))+IF(AH7="",0,VLOOKUP(AH7,Bausteine!$A$2:$AY$76,4,FALSE))+IF(AQ7="",0,VLOOKUP(AQ7,Bausteine!$A$2:$AY$76,4,FALSE))</f>
        <v/>
      </c>
      <c r="N7">
        <f>IF(C7="",0,VLOOKUP(C7,Bausteine!$A$2:$AY$76,5,FALSE))+IF(D7="",0,VLOOKUP(D7,Bausteine!$A$2:$AY$76,5,FALSE))+IF(E7="",0,VLOOKUP(E7,Bausteine!$A$2:$AY$76,5,FALSE))+IF(F7="",0,VLOOKUP(F7,Bausteine!$A$2:$AY$76,5,FALSE))+IF(G7="",0,VLOOKUP(G7,Bausteine!$A$2:$AY$76,5,FALSE))+IF(H7="",0,VLOOKUP(H7,Bausteine!$A$2:$AY$76,5,FALSE))+IF(I7="",0,VLOOKUP(I7,Bausteine!$A$2:$AY$76,5,FALSE))+IF(J7="",0,VLOOKUP(J7,Bausteine!$A$2:$AY$76,5,FALSE))+IF(K7="",0,VLOOKUP(K7,Bausteine!$A$2:$AY$76,5,FALSE))+IF(L7="",0,VLOOKUP(L7,Bausteine!$A$2:$AY$76,5,FALSE))+IF(AC7="",0,VLOOKUP(AC7,Bausteine!$A$2:$AY$76,5,FALSE))+IF(AF7="",0,VLOOKUP(AF7,Bausteine!$A$2:$AY$76,5,FALSE))+IF(AG7="",0,VLOOKUP(AG7,Bausteine!$A$2:$AY$76,5,FALSE))+IF(AH7="",0,VLOOKUP(AH7,Bausteine!$A$2:$AY$76,5,FALSE))+IF(AQ7="",0,VLOOKUP(AQ7,Bausteine!$A$2:$AY$76,5,FALSE))</f>
        <v/>
      </c>
      <c r="O7">
        <f>MAX(IF(C7="",0,VLOOKUP(C7,Bausteine!$A$2:$AY$76,6,FALSE)),IF(D7="",0,VLOOKUP(D7,Bausteine!$A$2:$AY$76,6,FALSE)),IF(E7="",0,VLOOKUP(E7,Bausteine!$A$2:$AY$76,6,FALSE)),IF(F7="",0,VLOOKUP(F7,Bausteine!$A$2:$AY$76,6,FALSE)),IF(G7="",0,VLOOKUP(G7,Bausteine!$A$2:$AY$76,6,FALSE)),IF(H7="",0,VLOOKUP(H7,Bausteine!$A$2:$AY$76,6,FALSE)),IF(I7="",0,VLOOKUP(I7,Bausteine!$A$2:$AY$76,6,FALSE)),IF(J7="",0,VLOOKUP(J7,Bausteine!$A$2:$AY$76,6,FALSE)),IF(K7="",0,VLOOKUP(K7,Bausteine!$A$2:$AY$76,6,FALSE)),IF(L7="",0,VLOOKUP(L7,Bausteine!$A$2:$AY$76,6,FALSE)),IF(AC7="",0,VLOOKUP(AC7,Bausteine!$A$2:$AY$76,6,FALSE)),IF(AF7="",0,VLOOKUP(AF7,Bausteine!$A$2:$AY$76,6,FALSE)),IF(AG7="",0,VLOOKUP(AG7,Bausteine!$A$2:$AY$76,6,FALSE)),IF(AH7="",0,VLOOKUP(AH7,Bausteine!$A$2:$AY$76,6,FALSE)),IF(AQ7="",0,VLOOKUP(AQ7,Bausteine!$A$2:$AY$76,6,FALSE)),AK7)</f>
        <v/>
      </c>
      <c r="P7">
        <f>IF(C7="",0,VLOOKUP(C7,Bausteine!$A$2:$AY$76,7,FALSE))*IF(F7="",0,VLOOKUP(F7,Bausteine!$A$2:$AY$76,17,FALSE))/100+IF(D7="",0,VLOOKUP(D7,Bausteine!$A$2:$AY$76,7,FALSE))+IF(E7="",0,VLOOKUP(E7,Bausteine!$A$2:$AY$76,7,FALSE))+IF(G7="",0,VLOOKUP(G7,Bausteine!$A$2:$AY$76,7,FALSE))+IF(H7="",0,VLOOKUP(H7,Bausteine!$A$2:$AY$76,7,FALSE))+IF(I7="",0,VLOOKUP(I7,Bausteine!$A$2:$AY$76,7,FALSE))+IF(J7="",0,VLOOKUP(J7,Bausteine!$A$2:$AY$76,7,FALSE))+IF(K7="",0,VLOOKUP(K7,Bausteine!$A$2:$AY$76,7,FALSE))+IF(L7="",0,VLOOKUP(L7,Bausteine!$A$2:$AY$76,7,FALSE))+IF(AC7="",0,VLOOKUP(AC7,Bausteine!$A$2:$AY$76,7,FALSE))+IF(AF7="",0,VLOOKUP(AF7,Bausteine!$A$2:$AY$76,7,FALSE))+IF(AG7="",0,VLOOKUP(AG7,Bausteine!$A$2:$AY$76,7,FALSE))+IF(AH7="",0,VLOOKUP(AH7,Bausteine!$A$2:$AY$76,7,FALSE))+IF(AQ7="",0,VLOOKUP(AQ7,Bausteine!$A$2:$AY$76,7,FALSE))+AI7</f>
        <v/>
      </c>
      <c r="Q7">
        <f>N7*Parameter!$B$2</f>
        <v/>
      </c>
      <c r="R7">
        <f>AE7-Q7</f>
        <v/>
      </c>
      <c r="S7">
        <f>IF(C7="",0,VLOOKUP(C7,Bausteine!$A$2:$AY$76,13,FALSE))*IF(F7="",0,VLOOKUP(F7,Bausteine!$A$2:$AY$76,16,FALSE))/100</f>
        <v/>
      </c>
      <c r="T7">
        <f>IF(C7="",0,VLOOKUP(C7,Bausteine!$A$2:$AY$76,8,FALSE))*IF(F7="",0,VLOOKUP(F7,Bausteine!$A$2:$AY$76,15,FALSE))/100+IF(D7="",0,VLOOKUP(D7,Bausteine!$A$2:$AY$76,8,FALSE))+IF(E7="",0,VLOOKUP(E7,Bausteine!$A$2:$AY$76,8,FALSE))+IF(G7="",0,VLOOKUP(G7,Bausteine!$A$2:$AY$76,8,FALSE))+IF(H7="",0,VLOOKUP(H7,Bausteine!$A$2:$AY$76,8,FALSE))+IF(I7="",0,VLOOKUP(I7,Bausteine!$A$2:$AY$76,8,FALSE))+IF(J7="",0,VLOOKUP(J7,Bausteine!$A$2:$AY$76,8,FALSE))+IF(K7="",0,VLOOKUP(K7,Bausteine!$A$2:$AY$76,8,FALSE))+IF(L7="",0,VLOOKUP(L7,Bausteine!$A$2:$AY$76,8,FALSE))+IF(AC7="",0,VLOOKUP(AC7,Bausteine!$A$2:$AY$76,8,FALSE))+IF(AF7="",0,VLOOKUP(AF7,Bausteine!$A$2:$AY$76,8,FALSE))+IF(AG7="",0,VLOOKUP(AG7,Bausteine!$A$2:$AY$76,8,FALSE))+IF(AH7="",0,VLOOKUP(AH7,Bausteine!$A$2:$AY$76,8,FALSE))+IF(AQ7="",0,VLOOKUP(AQ7,Bausteine!$A$2:$AY$76,8,FALSE))+AJ7</f>
        <v/>
      </c>
      <c r="U7">
        <f>IF(C7="",0,VLOOKUP(C7,Bausteine!$A$2:$AY$76,9,FALSE))+IF(D7="",0,VLOOKUP(D7,Bausteine!$A$2:$AY$76,9,FALSE))+IF(E7="",0,VLOOKUP(E7,Bausteine!$A$2:$AY$76,9,FALSE))+IF(F7="",0,VLOOKUP(F7,Bausteine!$A$2:$AY$76,9,FALSE))+IF(G7="",0,VLOOKUP(G7,Bausteine!$A$2:$AY$76,9,FALSE))+IF(H7="",0,VLOOKUP(H7,Bausteine!$A$2:$AY$76,9,FALSE))+IF(I7="",0,VLOOKUP(I7,Bausteine!$A$2:$AY$76,9,FALSE))+IF(J7="",0,VLOOKUP(J7,Bausteine!$A$2:$AY$76,9,FALSE))+IF(K7="",0,VLOOKUP(K7,Bausteine!$A$2:$AY$76,9,FALSE))+IF(L7="",0,VLOOKUP(L7,Bausteine!$A$2:$AY$76,9,FALSE))+IF(AC7="",0,VLOOKUP(AC7,Bausteine!$A$2:$AY$76,9,FALSE))+IF(AF7="",0,VLOOKUP(AF7,Bausteine!$A$2:$AY$76,9,FALSE))+IF(AG7="",0,VLOOKUP(AG7,Bausteine!$A$2:$AY$76,9,FALSE))+IF(AH7="",0,VLOOKUP(AH7,Bausteine!$A$2:$AY$76,9,FALSE))+IF(AQ7="",0,VLOOKUP(AQ7,Bausteine!$A$2:$AY$76,9,FALSE))</f>
        <v/>
      </c>
      <c r="V7">
        <f>IF(D7="",0,VLOOKUP(D7,Bausteine!$A$2:$AY$76,10,FALSE))-U7/IF(E7="",0,VLOOKUP(E7,Bausteine!$A$2:$AY$76,11,FALSE))</f>
        <v/>
      </c>
      <c r="W7">
        <f>IF(Y7&lt;&gt;"OK","",ROUND(MIN(IF(C7="",0,VLOOKUP(C7,Bausteine!$A$2:$AY$76,21,FALSE)),IF(AQ7="",0,VLOOKUP(AQ7,Bausteine!$A$2:$AY$76,21,FALSE)),IF(C7="",0,VLOOKUP(C7,Bausteine!$A$2:$AY$76,20,FALSE))*(V7/T7/(IF(C7="",0,VLOOKUP(C7,Bausteine!$A$2:$AY$76,19,FALSE))/IF(C7="",0,VLOOKUP(C7,Bausteine!$A$2:$AY$76,18,FALSE))))^Parameter!$B$3),0))</f>
        <v/>
      </c>
      <c r="X7">
        <f>IF(F7="",0,VLOOKUP(F7,Bausteine!$A$2:$AY$76,14,FALSE))</f>
        <v/>
      </c>
      <c r="Y7">
        <f>IFERROR(IF(OR(AD7&lt;=0,AD7&gt;1,R7&lt;=0,T7&lt;=0,V7&lt;=0,U7&gt;IF(E7="",0,VLOOKUP(E7,Bausteine!$A$2:$AY$76,12,FALSE)),T7&gt;MIN(IF(C7="",0,VLOOKUP(C7,Bausteine!$A$2:$AY$76,22,FALSE)),IF(AQ7="",0,VLOOKUP(AQ7,Bausteine!$A$2:$AY$76,22,FALSE))),IF(E7="",0,VLOOKUP(E7,Bausteine!$A$2:$AY$76,11,FALSE))&lt;=0,IF(E7="",0,VLOOKUP(E7,Bausteine!$A$2:$AY$76,11,FALSE))&gt;1),"UNGUELTIG","OK"),"FEHLER")</f>
        <v/>
      </c>
      <c r="Z7" t="n">
        <v>900</v>
      </c>
      <c r="AA7" t="n">
        <v>82</v>
      </c>
      <c r="AB7" t="inlineStr">
        <is>
          <t>120mm legacy binding; shared scalar family with 90mm, but distinct report/muzzle kept for future compiler. Vehicle armor bonus/drone pairing excluded.</t>
        </is>
      </c>
      <c r="AC7" t="inlineStr"/>
      <c r="AD7">
        <f>IF(AC7="",1,IF(AC7="",0,VLOOKUP(AC7,Bausteine!$A$2:$AY$76,37,FALSE))/100)</f>
        <v/>
      </c>
      <c r="AE7">
        <f>P7*AD7</f>
        <v/>
      </c>
      <c r="AF7" t="inlineStr"/>
      <c r="AG7" t="inlineStr"/>
      <c r="AH7" t="inlineStr"/>
      <c r="AI7">
        <f>SUMIF(Startbesatzung!$A$2:$A$7,A7,Startbesatzung!$D$2:$D$7)</f>
        <v/>
      </c>
      <c r="AJ7">
        <f>SUMIF(Startbesatzung!$A$2:$A$7,A7,Startbesatzung!$E$2:$E$7)</f>
        <v/>
      </c>
      <c r="AK7">
        <f>MAX(0,IF(Startbesatzung!A2=A7,Startbesatzung!G2,0),IF(Startbesatzung!A3=A7,Startbesatzung!G3,0),IF(Startbesatzung!A4=A7,Startbesatzung!G4,0),IF(Startbesatzung!A5=A7,Startbesatzung!G5,0),IF(Startbesatzung!A6=A7,Startbesatzung!G6,0),IF(Startbesatzung!A7=A7,Startbesatzung!G7,0))</f>
        <v/>
      </c>
      <c r="AL7">
        <f>IF(AF7="","",IF(IF(AH7="",0,VLOOKUP(AH7,Bausteine!$A$2:$AY$76,38,FALSE))&gt;0,IF(AH7="",0,VLOOKUP(AH7,Bausteine!$A$2:$AY$76,38,FALSE)),IF(AG7="",0,VLOOKUP(AG7,Bausteine!$A$2:$AY$76,28,FALSE))))</f>
        <v/>
      </c>
      <c r="AM7">
        <f>IF(AF7="","",IF(AG7="",0,VLOOKUP(AG7,Bausteine!$A$2:$AY$76,44,FALSE)))</f>
        <v/>
      </c>
      <c r="AN7">
        <f>IF(AF7="","",IF(AF7="",0,VLOOKUP(AF7,Bausteine!$A$2:$AY$76,27,FALSE)))</f>
        <v/>
      </c>
      <c r="AO7">
        <f>IF(AF7="","",IF(AF7="",0,VLOOKUP(AF7,Bausteine!$A$2:$AY$76,25,FALSE)))</f>
        <v/>
      </c>
      <c r="AP7">
        <f>IF(AF7="","",IF(AH7="",0,VLOOKUP(AH7,Bausteine!$A$2:$AY$76,29,FALSE)))</f>
        <v/>
      </c>
      <c r="AQ7" t="inlineStr">
        <is>
          <t>tracks-standard</t>
        </is>
      </c>
      <c r="AR7">
        <f>IF(AQ7="",0,VLOOKUP(AQ7,Bausteine!$A$2:$AY$76,48,FALSE))</f>
        <v/>
      </c>
      <c r="AS7">
        <f>MIN(IF(AQ7="",0,VLOOKUP(AQ7,Bausteine!$A$2:$AY$76,50,FALSE)),IF(C7="",0,VLOOKUP(C7,Bausteine!$A$2:$AY$76,51,FALSE)))</f>
        <v/>
      </c>
    </row>
    <row r="8">
      <c r="A8" t="inlineStr">
        <is>
          <t>Allied Medium Tank prototype</t>
        </is>
      </c>
      <c r="B8" t="inlineStr">
        <is>
          <t>allies</t>
        </is>
      </c>
      <c r="C8" t="inlineStr">
        <is>
          <t>allied-medium-hull</t>
        </is>
      </c>
      <c r="D8" t="inlineStr">
        <is>
          <t>diesel</t>
        </is>
      </c>
      <c r="E8" t="inlineStr">
        <is>
          <t>baseline-generator</t>
        </is>
      </c>
      <c r="F8" t="inlineStr">
        <is>
          <t>heavy</t>
        </is>
      </c>
      <c r="G8" t="inlineStr">
        <is>
          <t>medium-cannon-mount</t>
        </is>
      </c>
      <c r="H8" t="inlineStr">
        <is>
          <t>medium-cannon</t>
        </is>
      </c>
      <c r="I8" t="inlineStr">
        <is>
          <t>medium-tank-shell</t>
        </is>
      </c>
      <c r="J8" t="inlineStr"/>
      <c r="K8" t="inlineStr"/>
      <c r="L8" t="inlineStr"/>
      <c r="M8">
        <f>IF(C8="",0,VLOOKUP(C8,Bausteine!$A$2:$AY$76,4,FALSE))+IF(D8="",0,VLOOKUP(D8,Bausteine!$A$2:$AY$76,4,FALSE))+IF(E8="",0,VLOOKUP(E8,Bausteine!$A$2:$AY$76,4,FALSE))+IF(F8="",0,VLOOKUP(F8,Bausteine!$A$2:$AY$76,4,FALSE))+IF(G8="",0,VLOOKUP(G8,Bausteine!$A$2:$AY$76,4,FALSE))+IF(H8="",0,VLOOKUP(H8,Bausteine!$A$2:$AY$76,4,FALSE))+IF(I8="",0,VLOOKUP(I8,Bausteine!$A$2:$AY$76,4,FALSE))+IF(J8="",0,VLOOKUP(J8,Bausteine!$A$2:$AY$76,4,FALSE))+IF(K8="",0,VLOOKUP(K8,Bausteine!$A$2:$AY$76,4,FALSE))+IF(L8="",0,VLOOKUP(L8,Bausteine!$A$2:$AY$76,4,FALSE))+IF(AC8="",0,VLOOKUP(AC8,Bausteine!$A$2:$AY$76,4,FALSE))+IF(AF8="",0,VLOOKUP(AF8,Bausteine!$A$2:$AY$76,4,FALSE))+IF(AG8="",0,VLOOKUP(AG8,Bausteine!$A$2:$AY$76,4,FALSE))+IF(AH8="",0,VLOOKUP(AH8,Bausteine!$A$2:$AY$76,4,FALSE))+IF(AQ8="",0,VLOOKUP(AQ8,Bausteine!$A$2:$AY$76,4,FALSE))</f>
        <v/>
      </c>
      <c r="N8">
        <f>IF(C8="",0,VLOOKUP(C8,Bausteine!$A$2:$AY$76,5,FALSE))+IF(D8="",0,VLOOKUP(D8,Bausteine!$A$2:$AY$76,5,FALSE))+IF(E8="",0,VLOOKUP(E8,Bausteine!$A$2:$AY$76,5,FALSE))+IF(F8="",0,VLOOKUP(F8,Bausteine!$A$2:$AY$76,5,FALSE))+IF(G8="",0,VLOOKUP(G8,Bausteine!$A$2:$AY$76,5,FALSE))+IF(H8="",0,VLOOKUP(H8,Bausteine!$A$2:$AY$76,5,FALSE))+IF(I8="",0,VLOOKUP(I8,Bausteine!$A$2:$AY$76,5,FALSE))+IF(J8="",0,VLOOKUP(J8,Bausteine!$A$2:$AY$76,5,FALSE))+IF(K8="",0,VLOOKUP(K8,Bausteine!$A$2:$AY$76,5,FALSE))+IF(L8="",0,VLOOKUP(L8,Bausteine!$A$2:$AY$76,5,FALSE))+IF(AC8="",0,VLOOKUP(AC8,Bausteine!$A$2:$AY$76,5,FALSE))+IF(AF8="",0,VLOOKUP(AF8,Bausteine!$A$2:$AY$76,5,FALSE))+IF(AG8="",0,VLOOKUP(AG8,Bausteine!$A$2:$AY$76,5,FALSE))+IF(AH8="",0,VLOOKUP(AH8,Bausteine!$A$2:$AY$76,5,FALSE))+IF(AQ8="",0,VLOOKUP(AQ8,Bausteine!$A$2:$AY$76,5,FALSE))</f>
        <v/>
      </c>
      <c r="O8">
        <f>MAX(IF(C8="",0,VLOOKUP(C8,Bausteine!$A$2:$AY$76,6,FALSE)),IF(D8="",0,VLOOKUP(D8,Bausteine!$A$2:$AY$76,6,FALSE)),IF(E8="",0,VLOOKUP(E8,Bausteine!$A$2:$AY$76,6,FALSE)),IF(F8="",0,VLOOKUP(F8,Bausteine!$A$2:$AY$76,6,FALSE)),IF(G8="",0,VLOOKUP(G8,Bausteine!$A$2:$AY$76,6,FALSE)),IF(H8="",0,VLOOKUP(H8,Bausteine!$A$2:$AY$76,6,FALSE)),IF(I8="",0,VLOOKUP(I8,Bausteine!$A$2:$AY$76,6,FALSE)),IF(J8="",0,VLOOKUP(J8,Bausteine!$A$2:$AY$76,6,FALSE)),IF(K8="",0,VLOOKUP(K8,Bausteine!$A$2:$AY$76,6,FALSE)),IF(L8="",0,VLOOKUP(L8,Bausteine!$A$2:$AY$76,6,FALSE)),IF(AC8="",0,VLOOKUP(AC8,Bausteine!$A$2:$AY$76,6,FALSE)),IF(AF8="",0,VLOOKUP(AF8,Bausteine!$A$2:$AY$76,6,FALSE)),IF(AG8="",0,VLOOKUP(AG8,Bausteine!$A$2:$AY$76,6,FALSE)),IF(AH8="",0,VLOOKUP(AH8,Bausteine!$A$2:$AY$76,6,FALSE)),IF(AQ8="",0,VLOOKUP(AQ8,Bausteine!$A$2:$AY$76,6,FALSE)),AK8)</f>
        <v/>
      </c>
      <c r="P8">
        <f>IF(C8="",0,VLOOKUP(C8,Bausteine!$A$2:$AY$76,7,FALSE))*IF(F8="",0,VLOOKUP(F8,Bausteine!$A$2:$AY$76,17,FALSE))/100+IF(D8="",0,VLOOKUP(D8,Bausteine!$A$2:$AY$76,7,FALSE))+IF(E8="",0,VLOOKUP(E8,Bausteine!$A$2:$AY$76,7,FALSE))+IF(G8="",0,VLOOKUP(G8,Bausteine!$A$2:$AY$76,7,FALSE))+IF(H8="",0,VLOOKUP(H8,Bausteine!$A$2:$AY$76,7,FALSE))+IF(I8="",0,VLOOKUP(I8,Bausteine!$A$2:$AY$76,7,FALSE))+IF(J8="",0,VLOOKUP(J8,Bausteine!$A$2:$AY$76,7,FALSE))+IF(K8="",0,VLOOKUP(K8,Bausteine!$A$2:$AY$76,7,FALSE))+IF(L8="",0,VLOOKUP(L8,Bausteine!$A$2:$AY$76,7,FALSE))+IF(AC8="",0,VLOOKUP(AC8,Bausteine!$A$2:$AY$76,7,FALSE))+IF(AF8="",0,VLOOKUP(AF8,Bausteine!$A$2:$AY$76,7,FALSE))+IF(AG8="",0,VLOOKUP(AG8,Bausteine!$A$2:$AY$76,7,FALSE))+IF(AH8="",0,VLOOKUP(AH8,Bausteine!$A$2:$AY$76,7,FALSE))+IF(AQ8="",0,VLOOKUP(AQ8,Bausteine!$A$2:$AY$76,7,FALSE))+AI8</f>
        <v/>
      </c>
      <c r="Q8">
        <f>N8*Parameter!$B$2</f>
        <v/>
      </c>
      <c r="R8">
        <f>AE8-Q8</f>
        <v/>
      </c>
      <c r="S8">
        <f>IF(C8="",0,VLOOKUP(C8,Bausteine!$A$2:$AY$76,13,FALSE))*IF(F8="",0,VLOOKUP(F8,Bausteine!$A$2:$AY$76,16,FALSE))/100</f>
        <v/>
      </c>
      <c r="T8">
        <f>IF(C8="",0,VLOOKUP(C8,Bausteine!$A$2:$AY$76,8,FALSE))*IF(F8="",0,VLOOKUP(F8,Bausteine!$A$2:$AY$76,15,FALSE))/100+IF(D8="",0,VLOOKUP(D8,Bausteine!$A$2:$AY$76,8,FALSE))+IF(E8="",0,VLOOKUP(E8,Bausteine!$A$2:$AY$76,8,FALSE))+IF(G8="",0,VLOOKUP(G8,Bausteine!$A$2:$AY$76,8,FALSE))+IF(H8="",0,VLOOKUP(H8,Bausteine!$A$2:$AY$76,8,FALSE))+IF(I8="",0,VLOOKUP(I8,Bausteine!$A$2:$AY$76,8,FALSE))+IF(J8="",0,VLOOKUP(J8,Bausteine!$A$2:$AY$76,8,FALSE))+IF(K8="",0,VLOOKUP(K8,Bausteine!$A$2:$AY$76,8,FALSE))+IF(L8="",0,VLOOKUP(L8,Bausteine!$A$2:$AY$76,8,FALSE))+IF(AC8="",0,VLOOKUP(AC8,Bausteine!$A$2:$AY$76,8,FALSE))+IF(AF8="",0,VLOOKUP(AF8,Bausteine!$A$2:$AY$76,8,FALSE))+IF(AG8="",0,VLOOKUP(AG8,Bausteine!$A$2:$AY$76,8,FALSE))+IF(AH8="",0,VLOOKUP(AH8,Bausteine!$A$2:$AY$76,8,FALSE))+IF(AQ8="",0,VLOOKUP(AQ8,Bausteine!$A$2:$AY$76,8,FALSE))+AJ8</f>
        <v/>
      </c>
      <c r="U8">
        <f>IF(C8="",0,VLOOKUP(C8,Bausteine!$A$2:$AY$76,9,FALSE))+IF(D8="",0,VLOOKUP(D8,Bausteine!$A$2:$AY$76,9,FALSE))+IF(E8="",0,VLOOKUP(E8,Bausteine!$A$2:$AY$76,9,FALSE))+IF(F8="",0,VLOOKUP(F8,Bausteine!$A$2:$AY$76,9,FALSE))+IF(G8="",0,VLOOKUP(G8,Bausteine!$A$2:$AY$76,9,FALSE))+IF(H8="",0,VLOOKUP(H8,Bausteine!$A$2:$AY$76,9,FALSE))+IF(I8="",0,VLOOKUP(I8,Bausteine!$A$2:$AY$76,9,FALSE))+IF(J8="",0,VLOOKUP(J8,Bausteine!$A$2:$AY$76,9,FALSE))+IF(K8="",0,VLOOKUP(K8,Bausteine!$A$2:$AY$76,9,FALSE))+IF(L8="",0,VLOOKUP(L8,Bausteine!$A$2:$AY$76,9,FALSE))+IF(AC8="",0,VLOOKUP(AC8,Bausteine!$A$2:$AY$76,9,FALSE))+IF(AF8="",0,VLOOKUP(AF8,Bausteine!$A$2:$AY$76,9,FALSE))+IF(AG8="",0,VLOOKUP(AG8,Bausteine!$A$2:$AY$76,9,FALSE))+IF(AH8="",0,VLOOKUP(AH8,Bausteine!$A$2:$AY$76,9,FALSE))+IF(AQ8="",0,VLOOKUP(AQ8,Bausteine!$A$2:$AY$76,9,FALSE))</f>
        <v/>
      </c>
      <c r="V8">
        <f>IF(D8="",0,VLOOKUP(D8,Bausteine!$A$2:$AY$76,10,FALSE))-U8/IF(E8="",0,VLOOKUP(E8,Bausteine!$A$2:$AY$76,11,FALSE))</f>
        <v/>
      </c>
      <c r="W8">
        <f>IF(Y8&lt;&gt;"OK","",ROUND(MIN(IF(C8="",0,VLOOKUP(C8,Bausteine!$A$2:$AY$76,21,FALSE)),IF(AQ8="",0,VLOOKUP(AQ8,Bausteine!$A$2:$AY$76,21,FALSE)),IF(C8="",0,VLOOKUP(C8,Bausteine!$A$2:$AY$76,20,FALSE))*(V8/T8/(IF(C8="",0,VLOOKUP(C8,Bausteine!$A$2:$AY$76,19,FALSE))/IF(C8="",0,VLOOKUP(C8,Bausteine!$A$2:$AY$76,18,FALSE))))^Parameter!$B$3),0))</f>
        <v/>
      </c>
      <c r="X8">
        <f>IF(F8="",0,VLOOKUP(F8,Bausteine!$A$2:$AY$76,14,FALSE))</f>
        <v/>
      </c>
      <c r="Y8">
        <f>IFERROR(IF(OR(AD8&lt;=0,AD8&gt;1,R8&lt;=0,T8&lt;=0,V8&lt;=0,U8&gt;IF(E8="",0,VLOOKUP(E8,Bausteine!$A$2:$AY$76,12,FALSE)),T8&gt;MIN(IF(C8="",0,VLOOKUP(C8,Bausteine!$A$2:$AY$76,22,FALSE)),IF(AQ8="",0,VLOOKUP(AQ8,Bausteine!$A$2:$AY$76,22,FALSE))),IF(E8="",0,VLOOKUP(E8,Bausteine!$A$2:$AY$76,11,FALSE))&lt;=0,IF(E8="",0,VLOOKUP(E8,Bausteine!$A$2:$AY$76,11,FALSE))&gt;1),"UNGUELTIG","OK"),"FEHLER")</f>
        <v/>
      </c>
      <c r="Z8" t="n">
        <v>800</v>
      </c>
      <c r="AA8" t="n">
        <v>82</v>
      </c>
      <c r="AB8" t="inlineStr">
        <is>
          <t>2TNK is a disabled parent, NOT a currently buildable actor. Basis for three national art variants. Armored Doctrine price multiplier excluded.</t>
        </is>
      </c>
      <c r="AC8" t="inlineStr"/>
      <c r="AD8">
        <f>IF(AC8="",1,IF(AC8="",0,VLOOKUP(AC8,Bausteine!$A$2:$AY$76,37,FALSE))/100)</f>
        <v/>
      </c>
      <c r="AE8">
        <f>P8*AD8</f>
        <v/>
      </c>
      <c r="AF8" t="inlineStr"/>
      <c r="AG8" t="inlineStr"/>
      <c r="AH8" t="inlineStr"/>
      <c r="AI8">
        <f>SUMIF(Startbesatzung!$A$2:$A$7,A8,Startbesatzung!$D$2:$D$7)</f>
        <v/>
      </c>
      <c r="AJ8">
        <f>SUMIF(Startbesatzung!$A$2:$A$7,A8,Startbesatzung!$E$2:$E$7)</f>
        <v/>
      </c>
      <c r="AK8">
        <f>MAX(0,IF(Startbesatzung!A2=A8,Startbesatzung!G2,0),IF(Startbesatzung!A3=A8,Startbesatzung!G3,0),IF(Startbesatzung!A4=A8,Startbesatzung!G4,0),IF(Startbesatzung!A5=A8,Startbesatzung!G5,0),IF(Startbesatzung!A6=A8,Startbesatzung!G6,0),IF(Startbesatzung!A7=A8,Startbesatzung!G7,0))</f>
        <v/>
      </c>
      <c r="AL8">
        <f>IF(AF8="","",IF(IF(AH8="",0,VLOOKUP(AH8,Bausteine!$A$2:$AY$76,38,FALSE))&gt;0,IF(AH8="",0,VLOOKUP(AH8,Bausteine!$A$2:$AY$76,38,FALSE)),IF(AG8="",0,VLOOKUP(AG8,Bausteine!$A$2:$AY$76,28,FALSE))))</f>
        <v/>
      </c>
      <c r="AM8">
        <f>IF(AF8="","",IF(AG8="",0,VLOOKUP(AG8,Bausteine!$A$2:$AY$76,44,FALSE)))</f>
        <v/>
      </c>
      <c r="AN8">
        <f>IF(AF8="","",IF(AF8="",0,VLOOKUP(AF8,Bausteine!$A$2:$AY$76,27,FALSE)))</f>
        <v/>
      </c>
      <c r="AO8">
        <f>IF(AF8="","",IF(AF8="",0,VLOOKUP(AF8,Bausteine!$A$2:$AY$76,25,FALSE)))</f>
        <v/>
      </c>
      <c r="AP8">
        <f>IF(AF8="","",IF(AH8="",0,VLOOKUP(AH8,Bausteine!$A$2:$AY$76,29,FALSE)))</f>
        <v/>
      </c>
      <c r="AQ8" t="inlineStr">
        <is>
          <t>tracks-standard</t>
        </is>
      </c>
      <c r="AR8">
        <f>IF(AQ8="",0,VLOOKUP(AQ8,Bausteine!$A$2:$AY$76,48,FALSE))</f>
        <v/>
      </c>
      <c r="AS8">
        <f>MIN(IF(AQ8="",0,VLOOKUP(AQ8,Bausteine!$A$2:$AY$76,50,FALSE)),IF(C8="",0,VLOOKUP(C8,Bausteine!$A$2:$AY$76,51,FALSE)))</f>
        <v/>
      </c>
    </row>
    <row r="9">
      <c r="A9" t="inlineStr">
        <is>
          <t>Challenger baseline</t>
        </is>
      </c>
      <c r="B9" t="inlineStr">
        <is>
          <t>allies</t>
        </is>
      </c>
      <c r="C9" t="inlineStr">
        <is>
          <t>allied-medium-hull</t>
        </is>
      </c>
      <c r="D9" t="inlineStr">
        <is>
          <t>diesel</t>
        </is>
      </c>
      <c r="E9" t="inlineStr">
        <is>
          <t>baseline-generator</t>
        </is>
      </c>
      <c r="F9" t="inlineStr">
        <is>
          <t>heavy</t>
        </is>
      </c>
      <c r="G9" t="inlineStr">
        <is>
          <t>medium-cannon-mount</t>
        </is>
      </c>
      <c r="H9" t="inlineStr">
        <is>
          <t>medium-cannon</t>
        </is>
      </c>
      <c r="I9" t="inlineStr">
        <is>
          <t>medium-tank-shell</t>
        </is>
      </c>
      <c r="J9" t="inlineStr"/>
      <c r="K9" t="inlineStr"/>
      <c r="L9" t="inlineStr"/>
      <c r="M9">
        <f>IF(C9="",0,VLOOKUP(C9,Bausteine!$A$2:$AY$76,4,FALSE))+IF(D9="",0,VLOOKUP(D9,Bausteine!$A$2:$AY$76,4,FALSE))+IF(E9="",0,VLOOKUP(E9,Bausteine!$A$2:$AY$76,4,FALSE))+IF(F9="",0,VLOOKUP(F9,Bausteine!$A$2:$AY$76,4,FALSE))+IF(G9="",0,VLOOKUP(G9,Bausteine!$A$2:$AY$76,4,FALSE))+IF(H9="",0,VLOOKUP(H9,Bausteine!$A$2:$AY$76,4,FALSE))+IF(I9="",0,VLOOKUP(I9,Bausteine!$A$2:$AY$76,4,FALSE))+IF(J9="",0,VLOOKUP(J9,Bausteine!$A$2:$AY$76,4,FALSE))+IF(K9="",0,VLOOKUP(K9,Bausteine!$A$2:$AY$76,4,FALSE))+IF(L9="",0,VLOOKUP(L9,Bausteine!$A$2:$AY$76,4,FALSE))+IF(AC9="",0,VLOOKUP(AC9,Bausteine!$A$2:$AY$76,4,FALSE))+IF(AF9="",0,VLOOKUP(AF9,Bausteine!$A$2:$AY$76,4,FALSE))+IF(AG9="",0,VLOOKUP(AG9,Bausteine!$A$2:$AY$76,4,FALSE))+IF(AH9="",0,VLOOKUP(AH9,Bausteine!$A$2:$AY$76,4,FALSE))+IF(AQ9="",0,VLOOKUP(AQ9,Bausteine!$A$2:$AY$76,4,FALSE))</f>
        <v/>
      </c>
      <c r="N9">
        <f>IF(C9="",0,VLOOKUP(C9,Bausteine!$A$2:$AY$76,5,FALSE))+IF(D9="",0,VLOOKUP(D9,Bausteine!$A$2:$AY$76,5,FALSE))+IF(E9="",0,VLOOKUP(E9,Bausteine!$A$2:$AY$76,5,FALSE))+IF(F9="",0,VLOOKUP(F9,Bausteine!$A$2:$AY$76,5,FALSE))+IF(G9="",0,VLOOKUP(G9,Bausteine!$A$2:$AY$76,5,FALSE))+IF(H9="",0,VLOOKUP(H9,Bausteine!$A$2:$AY$76,5,FALSE))+IF(I9="",0,VLOOKUP(I9,Bausteine!$A$2:$AY$76,5,FALSE))+IF(J9="",0,VLOOKUP(J9,Bausteine!$A$2:$AY$76,5,FALSE))+IF(K9="",0,VLOOKUP(K9,Bausteine!$A$2:$AY$76,5,FALSE))+IF(L9="",0,VLOOKUP(L9,Bausteine!$A$2:$AY$76,5,FALSE))+IF(AC9="",0,VLOOKUP(AC9,Bausteine!$A$2:$AY$76,5,FALSE))+IF(AF9="",0,VLOOKUP(AF9,Bausteine!$A$2:$AY$76,5,FALSE))+IF(AG9="",0,VLOOKUP(AG9,Bausteine!$A$2:$AY$76,5,FALSE))+IF(AH9="",0,VLOOKUP(AH9,Bausteine!$A$2:$AY$76,5,FALSE))+IF(AQ9="",0,VLOOKUP(AQ9,Bausteine!$A$2:$AY$76,5,FALSE))</f>
        <v/>
      </c>
      <c r="O9">
        <f>MAX(IF(C9="",0,VLOOKUP(C9,Bausteine!$A$2:$AY$76,6,FALSE)),IF(D9="",0,VLOOKUP(D9,Bausteine!$A$2:$AY$76,6,FALSE)),IF(E9="",0,VLOOKUP(E9,Bausteine!$A$2:$AY$76,6,FALSE)),IF(F9="",0,VLOOKUP(F9,Bausteine!$A$2:$AY$76,6,FALSE)),IF(G9="",0,VLOOKUP(G9,Bausteine!$A$2:$AY$76,6,FALSE)),IF(H9="",0,VLOOKUP(H9,Bausteine!$A$2:$AY$76,6,FALSE)),IF(I9="",0,VLOOKUP(I9,Bausteine!$A$2:$AY$76,6,FALSE)),IF(J9="",0,VLOOKUP(J9,Bausteine!$A$2:$AY$76,6,FALSE)),IF(K9="",0,VLOOKUP(K9,Bausteine!$A$2:$AY$76,6,FALSE)),IF(L9="",0,VLOOKUP(L9,Bausteine!$A$2:$AY$76,6,FALSE)),IF(AC9="",0,VLOOKUP(AC9,Bausteine!$A$2:$AY$76,6,FALSE)),IF(AF9="",0,VLOOKUP(AF9,Bausteine!$A$2:$AY$76,6,FALSE)),IF(AG9="",0,VLOOKUP(AG9,Bausteine!$A$2:$AY$76,6,FALSE)),IF(AH9="",0,VLOOKUP(AH9,Bausteine!$A$2:$AY$76,6,FALSE)),IF(AQ9="",0,VLOOKUP(AQ9,Bausteine!$A$2:$AY$76,6,FALSE)),AK9)</f>
        <v/>
      </c>
      <c r="P9">
        <f>IF(C9="",0,VLOOKUP(C9,Bausteine!$A$2:$AY$76,7,FALSE))*IF(F9="",0,VLOOKUP(F9,Bausteine!$A$2:$AY$76,17,FALSE))/100+IF(D9="",0,VLOOKUP(D9,Bausteine!$A$2:$AY$76,7,FALSE))+IF(E9="",0,VLOOKUP(E9,Bausteine!$A$2:$AY$76,7,FALSE))+IF(G9="",0,VLOOKUP(G9,Bausteine!$A$2:$AY$76,7,FALSE))+IF(H9="",0,VLOOKUP(H9,Bausteine!$A$2:$AY$76,7,FALSE))+IF(I9="",0,VLOOKUP(I9,Bausteine!$A$2:$AY$76,7,FALSE))+IF(J9="",0,VLOOKUP(J9,Bausteine!$A$2:$AY$76,7,FALSE))+IF(K9="",0,VLOOKUP(K9,Bausteine!$A$2:$AY$76,7,FALSE))+IF(L9="",0,VLOOKUP(L9,Bausteine!$A$2:$AY$76,7,FALSE))+IF(AC9="",0,VLOOKUP(AC9,Bausteine!$A$2:$AY$76,7,FALSE))+IF(AF9="",0,VLOOKUP(AF9,Bausteine!$A$2:$AY$76,7,FALSE))+IF(AG9="",0,VLOOKUP(AG9,Bausteine!$A$2:$AY$76,7,FALSE))+IF(AH9="",0,VLOOKUP(AH9,Bausteine!$A$2:$AY$76,7,FALSE))+IF(AQ9="",0,VLOOKUP(AQ9,Bausteine!$A$2:$AY$76,7,FALSE))+AI9</f>
        <v/>
      </c>
      <c r="Q9">
        <f>N9*Parameter!$B$2</f>
        <v/>
      </c>
      <c r="R9">
        <f>AE9-Q9</f>
        <v/>
      </c>
      <c r="S9">
        <f>IF(C9="",0,VLOOKUP(C9,Bausteine!$A$2:$AY$76,13,FALSE))*IF(F9="",0,VLOOKUP(F9,Bausteine!$A$2:$AY$76,16,FALSE))/100</f>
        <v/>
      </c>
      <c r="T9">
        <f>IF(C9="",0,VLOOKUP(C9,Bausteine!$A$2:$AY$76,8,FALSE))*IF(F9="",0,VLOOKUP(F9,Bausteine!$A$2:$AY$76,15,FALSE))/100+IF(D9="",0,VLOOKUP(D9,Bausteine!$A$2:$AY$76,8,FALSE))+IF(E9="",0,VLOOKUP(E9,Bausteine!$A$2:$AY$76,8,FALSE))+IF(G9="",0,VLOOKUP(G9,Bausteine!$A$2:$AY$76,8,FALSE))+IF(H9="",0,VLOOKUP(H9,Bausteine!$A$2:$AY$76,8,FALSE))+IF(I9="",0,VLOOKUP(I9,Bausteine!$A$2:$AY$76,8,FALSE))+IF(J9="",0,VLOOKUP(J9,Bausteine!$A$2:$AY$76,8,FALSE))+IF(K9="",0,VLOOKUP(K9,Bausteine!$A$2:$AY$76,8,FALSE))+IF(L9="",0,VLOOKUP(L9,Bausteine!$A$2:$AY$76,8,FALSE))+IF(AC9="",0,VLOOKUP(AC9,Bausteine!$A$2:$AY$76,8,FALSE))+IF(AF9="",0,VLOOKUP(AF9,Bausteine!$A$2:$AY$76,8,FALSE))+IF(AG9="",0,VLOOKUP(AG9,Bausteine!$A$2:$AY$76,8,FALSE))+IF(AH9="",0,VLOOKUP(AH9,Bausteine!$A$2:$AY$76,8,FALSE))+IF(AQ9="",0,VLOOKUP(AQ9,Bausteine!$A$2:$AY$76,8,FALSE))+AJ9</f>
        <v/>
      </c>
      <c r="U9">
        <f>IF(C9="",0,VLOOKUP(C9,Bausteine!$A$2:$AY$76,9,FALSE))+IF(D9="",0,VLOOKUP(D9,Bausteine!$A$2:$AY$76,9,FALSE))+IF(E9="",0,VLOOKUP(E9,Bausteine!$A$2:$AY$76,9,FALSE))+IF(F9="",0,VLOOKUP(F9,Bausteine!$A$2:$AY$76,9,FALSE))+IF(G9="",0,VLOOKUP(G9,Bausteine!$A$2:$AY$76,9,FALSE))+IF(H9="",0,VLOOKUP(H9,Bausteine!$A$2:$AY$76,9,FALSE))+IF(I9="",0,VLOOKUP(I9,Bausteine!$A$2:$AY$76,9,FALSE))+IF(J9="",0,VLOOKUP(J9,Bausteine!$A$2:$AY$76,9,FALSE))+IF(K9="",0,VLOOKUP(K9,Bausteine!$A$2:$AY$76,9,FALSE))+IF(L9="",0,VLOOKUP(L9,Bausteine!$A$2:$AY$76,9,FALSE))+IF(AC9="",0,VLOOKUP(AC9,Bausteine!$A$2:$AY$76,9,FALSE))+IF(AF9="",0,VLOOKUP(AF9,Bausteine!$A$2:$AY$76,9,FALSE))+IF(AG9="",0,VLOOKUP(AG9,Bausteine!$A$2:$AY$76,9,FALSE))+IF(AH9="",0,VLOOKUP(AH9,Bausteine!$A$2:$AY$76,9,FALSE))+IF(AQ9="",0,VLOOKUP(AQ9,Bausteine!$A$2:$AY$76,9,FALSE))</f>
        <v/>
      </c>
      <c r="V9">
        <f>IF(D9="",0,VLOOKUP(D9,Bausteine!$A$2:$AY$76,10,FALSE))-U9/IF(E9="",0,VLOOKUP(E9,Bausteine!$A$2:$AY$76,11,FALSE))</f>
        <v/>
      </c>
      <c r="W9">
        <f>IF(Y9&lt;&gt;"OK","",ROUND(MIN(IF(C9="",0,VLOOKUP(C9,Bausteine!$A$2:$AY$76,21,FALSE)),IF(AQ9="",0,VLOOKUP(AQ9,Bausteine!$A$2:$AY$76,21,FALSE)),IF(C9="",0,VLOOKUP(C9,Bausteine!$A$2:$AY$76,20,FALSE))*(V9/T9/(IF(C9="",0,VLOOKUP(C9,Bausteine!$A$2:$AY$76,19,FALSE))/IF(C9="",0,VLOOKUP(C9,Bausteine!$A$2:$AY$76,18,FALSE))))^Parameter!$B$3),0))</f>
        <v/>
      </c>
      <c r="X9">
        <f>IF(F9="",0,VLOOKUP(F9,Bausteine!$A$2:$AY$76,14,FALSE))</f>
        <v/>
      </c>
      <c r="Y9">
        <f>IFERROR(IF(OR(AD9&lt;=0,AD9&gt;1,R9&lt;=0,T9&lt;=0,V9&lt;=0,U9&gt;IF(E9="",0,VLOOKUP(E9,Bausteine!$A$2:$AY$76,12,FALSE)),T9&gt;MIN(IF(C9="",0,VLOOKUP(C9,Bausteine!$A$2:$AY$76,22,FALSE)),IF(AQ9="",0,VLOOKUP(AQ9,Bausteine!$A$2:$AY$76,22,FALSE))),IF(E9="",0,VLOOKUP(E9,Bausteine!$A$2:$AY$76,11,FALSE))&lt;=0,IF(E9="",0,VLOOKUP(E9,Bausteine!$A$2:$AY$76,11,FALSE))&gt;1),"UNGUELTIG","OK"),"FEHLER")</f>
        <v/>
      </c>
      <c r="Z9" t="n">
        <v>800</v>
      </c>
      <c r="AA9" t="n">
        <v>82</v>
      </c>
      <c r="AB9" t="inlineStr">
        <is>
          <t>Scalar values inherited from 2TNK; full Challenger artwork binding retained. No claim of mixable national hull/turret sprites.</t>
        </is>
      </c>
      <c r="AC9" t="inlineStr"/>
      <c r="AD9">
        <f>IF(AC9="",1,IF(AC9="",0,VLOOKUP(AC9,Bausteine!$A$2:$AY$76,37,FALSE))/100)</f>
        <v/>
      </c>
      <c r="AE9">
        <f>P9*AD9</f>
        <v/>
      </c>
      <c r="AF9" t="inlineStr"/>
      <c r="AG9" t="inlineStr"/>
      <c r="AH9" t="inlineStr"/>
      <c r="AI9">
        <f>SUMIF(Startbesatzung!$A$2:$A$7,A9,Startbesatzung!$D$2:$D$7)</f>
        <v/>
      </c>
      <c r="AJ9">
        <f>SUMIF(Startbesatzung!$A$2:$A$7,A9,Startbesatzung!$E$2:$E$7)</f>
        <v/>
      </c>
      <c r="AK9">
        <f>MAX(0,IF(Startbesatzung!A2=A9,Startbesatzung!G2,0),IF(Startbesatzung!A3=A9,Startbesatzung!G3,0),IF(Startbesatzung!A4=A9,Startbesatzung!G4,0),IF(Startbesatzung!A5=A9,Startbesatzung!G5,0),IF(Startbesatzung!A6=A9,Startbesatzung!G6,0),IF(Startbesatzung!A7=A9,Startbesatzung!G7,0))</f>
        <v/>
      </c>
      <c r="AL9">
        <f>IF(AF9="","",IF(IF(AH9="",0,VLOOKUP(AH9,Bausteine!$A$2:$AY$76,38,FALSE))&gt;0,IF(AH9="",0,VLOOKUP(AH9,Bausteine!$A$2:$AY$76,38,FALSE)),IF(AG9="",0,VLOOKUP(AG9,Bausteine!$A$2:$AY$76,28,FALSE))))</f>
        <v/>
      </c>
      <c r="AM9">
        <f>IF(AF9="","",IF(AG9="",0,VLOOKUP(AG9,Bausteine!$A$2:$AY$76,44,FALSE)))</f>
        <v/>
      </c>
      <c r="AN9">
        <f>IF(AF9="","",IF(AF9="",0,VLOOKUP(AF9,Bausteine!$A$2:$AY$76,27,FALSE)))</f>
        <v/>
      </c>
      <c r="AO9">
        <f>IF(AF9="","",IF(AF9="",0,VLOOKUP(AF9,Bausteine!$A$2:$AY$76,25,FALSE)))</f>
        <v/>
      </c>
      <c r="AP9">
        <f>IF(AF9="","",IF(AH9="",0,VLOOKUP(AH9,Bausteine!$A$2:$AY$76,29,FALSE)))</f>
        <v/>
      </c>
      <c r="AQ9" t="inlineStr">
        <is>
          <t>tracks-standard</t>
        </is>
      </c>
      <c r="AR9">
        <f>IF(AQ9="",0,VLOOKUP(AQ9,Bausteine!$A$2:$AY$76,48,FALSE))</f>
        <v/>
      </c>
      <c r="AS9">
        <f>MIN(IF(AQ9="",0,VLOOKUP(AQ9,Bausteine!$A$2:$AY$76,50,FALSE)),IF(C9="",0,VLOOKUP(C9,Bausteine!$A$2:$AY$76,51,FALSE)))</f>
        <v/>
      </c>
    </row>
    <row r="10">
      <c r="A10" t="inlineStr">
        <is>
          <t>Leclerc baseline</t>
        </is>
      </c>
      <c r="B10" t="inlineStr">
        <is>
          <t>allies</t>
        </is>
      </c>
      <c r="C10" t="inlineStr">
        <is>
          <t>allied-medium-hull</t>
        </is>
      </c>
      <c r="D10" t="inlineStr">
        <is>
          <t>diesel</t>
        </is>
      </c>
      <c r="E10" t="inlineStr">
        <is>
          <t>baseline-generator</t>
        </is>
      </c>
      <c r="F10" t="inlineStr">
        <is>
          <t>heavy</t>
        </is>
      </c>
      <c r="G10" t="inlineStr">
        <is>
          <t>medium-cannon-mount</t>
        </is>
      </c>
      <c r="H10" t="inlineStr">
        <is>
          <t>medium-cannon</t>
        </is>
      </c>
      <c r="I10" t="inlineStr">
        <is>
          <t>medium-tank-shell</t>
        </is>
      </c>
      <c r="J10" t="inlineStr"/>
      <c r="K10" t="inlineStr"/>
      <c r="L10" t="inlineStr"/>
      <c r="M10">
        <f>IF(C10="",0,VLOOKUP(C10,Bausteine!$A$2:$AY$76,4,FALSE))+IF(D10="",0,VLOOKUP(D10,Bausteine!$A$2:$AY$76,4,FALSE))+IF(E10="",0,VLOOKUP(E10,Bausteine!$A$2:$AY$76,4,FALSE))+IF(F10="",0,VLOOKUP(F10,Bausteine!$A$2:$AY$76,4,FALSE))+IF(G10="",0,VLOOKUP(G10,Bausteine!$A$2:$AY$76,4,FALSE))+IF(H10="",0,VLOOKUP(H10,Bausteine!$A$2:$AY$76,4,FALSE))+IF(I10="",0,VLOOKUP(I10,Bausteine!$A$2:$AY$76,4,FALSE))+IF(J10="",0,VLOOKUP(J10,Bausteine!$A$2:$AY$76,4,FALSE))+IF(K10="",0,VLOOKUP(K10,Bausteine!$A$2:$AY$76,4,FALSE))+IF(L10="",0,VLOOKUP(L10,Bausteine!$A$2:$AY$76,4,FALSE))+IF(AC10="",0,VLOOKUP(AC10,Bausteine!$A$2:$AY$76,4,FALSE))+IF(AF10="",0,VLOOKUP(AF10,Bausteine!$A$2:$AY$76,4,FALSE))+IF(AG10="",0,VLOOKUP(AG10,Bausteine!$A$2:$AY$76,4,FALSE))+IF(AH10="",0,VLOOKUP(AH10,Bausteine!$A$2:$AY$76,4,FALSE))+IF(AQ10="",0,VLOOKUP(AQ10,Bausteine!$A$2:$AY$76,4,FALSE))</f>
        <v/>
      </c>
      <c r="N10">
        <f>IF(C10="",0,VLOOKUP(C10,Bausteine!$A$2:$AY$76,5,FALSE))+IF(D10="",0,VLOOKUP(D10,Bausteine!$A$2:$AY$76,5,FALSE))+IF(E10="",0,VLOOKUP(E10,Bausteine!$A$2:$AY$76,5,FALSE))+IF(F10="",0,VLOOKUP(F10,Bausteine!$A$2:$AY$76,5,FALSE))+IF(G10="",0,VLOOKUP(G10,Bausteine!$A$2:$AY$76,5,FALSE))+IF(H10="",0,VLOOKUP(H10,Bausteine!$A$2:$AY$76,5,FALSE))+IF(I10="",0,VLOOKUP(I10,Bausteine!$A$2:$AY$76,5,FALSE))+IF(J10="",0,VLOOKUP(J10,Bausteine!$A$2:$AY$76,5,FALSE))+IF(K10="",0,VLOOKUP(K10,Bausteine!$A$2:$AY$76,5,FALSE))+IF(L10="",0,VLOOKUP(L10,Bausteine!$A$2:$AY$76,5,FALSE))+IF(AC10="",0,VLOOKUP(AC10,Bausteine!$A$2:$AY$76,5,FALSE))+IF(AF10="",0,VLOOKUP(AF10,Bausteine!$A$2:$AY$76,5,FALSE))+IF(AG10="",0,VLOOKUP(AG10,Bausteine!$A$2:$AY$76,5,FALSE))+IF(AH10="",0,VLOOKUP(AH10,Bausteine!$A$2:$AY$76,5,FALSE))+IF(AQ10="",0,VLOOKUP(AQ10,Bausteine!$A$2:$AY$76,5,FALSE))</f>
        <v/>
      </c>
      <c r="O10">
        <f>MAX(IF(C10="",0,VLOOKUP(C10,Bausteine!$A$2:$AY$76,6,FALSE)),IF(D10="",0,VLOOKUP(D10,Bausteine!$A$2:$AY$76,6,FALSE)),IF(E10="",0,VLOOKUP(E10,Bausteine!$A$2:$AY$76,6,FALSE)),IF(F10="",0,VLOOKUP(F10,Bausteine!$A$2:$AY$76,6,FALSE)),IF(G10="",0,VLOOKUP(G10,Bausteine!$A$2:$AY$76,6,FALSE)),IF(H10="",0,VLOOKUP(H10,Bausteine!$A$2:$AY$76,6,FALSE)),IF(I10="",0,VLOOKUP(I10,Bausteine!$A$2:$AY$76,6,FALSE)),IF(J10="",0,VLOOKUP(J10,Bausteine!$A$2:$AY$76,6,FALSE)),IF(K10="",0,VLOOKUP(K10,Bausteine!$A$2:$AY$76,6,FALSE)),IF(L10="",0,VLOOKUP(L10,Bausteine!$A$2:$AY$76,6,FALSE)),IF(AC10="",0,VLOOKUP(AC10,Bausteine!$A$2:$AY$76,6,FALSE)),IF(AF10="",0,VLOOKUP(AF10,Bausteine!$A$2:$AY$76,6,FALSE)),IF(AG10="",0,VLOOKUP(AG10,Bausteine!$A$2:$AY$76,6,FALSE)),IF(AH10="",0,VLOOKUP(AH10,Bausteine!$A$2:$AY$76,6,FALSE)),IF(AQ10="",0,VLOOKUP(AQ10,Bausteine!$A$2:$AY$76,6,FALSE)),AK10)</f>
        <v/>
      </c>
      <c r="P10">
        <f>IF(C10="",0,VLOOKUP(C10,Bausteine!$A$2:$AY$76,7,FALSE))*IF(F10="",0,VLOOKUP(F10,Bausteine!$A$2:$AY$76,17,FALSE))/100+IF(D10="",0,VLOOKUP(D10,Bausteine!$A$2:$AY$76,7,FALSE))+IF(E10="",0,VLOOKUP(E10,Bausteine!$A$2:$AY$76,7,FALSE))+IF(G10="",0,VLOOKUP(G10,Bausteine!$A$2:$AY$76,7,FALSE))+IF(H10="",0,VLOOKUP(H10,Bausteine!$A$2:$AY$76,7,FALSE))+IF(I10="",0,VLOOKUP(I10,Bausteine!$A$2:$AY$76,7,FALSE))+IF(J10="",0,VLOOKUP(J10,Bausteine!$A$2:$AY$76,7,FALSE))+IF(K10="",0,VLOOKUP(K10,Bausteine!$A$2:$AY$76,7,FALSE))+IF(L10="",0,VLOOKUP(L10,Bausteine!$A$2:$AY$76,7,FALSE))+IF(AC10="",0,VLOOKUP(AC10,Bausteine!$A$2:$AY$76,7,FALSE))+IF(AF10="",0,VLOOKUP(AF10,Bausteine!$A$2:$AY$76,7,FALSE))+IF(AG10="",0,VLOOKUP(AG10,Bausteine!$A$2:$AY$76,7,FALSE))+IF(AH10="",0,VLOOKUP(AH10,Bausteine!$A$2:$AY$76,7,FALSE))+IF(AQ10="",0,VLOOKUP(AQ10,Bausteine!$A$2:$AY$76,7,FALSE))+AI10</f>
        <v/>
      </c>
      <c r="Q10">
        <f>N10*Parameter!$B$2</f>
        <v/>
      </c>
      <c r="R10">
        <f>AE10-Q10</f>
        <v/>
      </c>
      <c r="S10">
        <f>IF(C10="",0,VLOOKUP(C10,Bausteine!$A$2:$AY$76,13,FALSE))*IF(F10="",0,VLOOKUP(F10,Bausteine!$A$2:$AY$76,16,FALSE))/100</f>
        <v/>
      </c>
      <c r="T10">
        <f>IF(C10="",0,VLOOKUP(C10,Bausteine!$A$2:$AY$76,8,FALSE))*IF(F10="",0,VLOOKUP(F10,Bausteine!$A$2:$AY$76,15,FALSE))/100+IF(D10="",0,VLOOKUP(D10,Bausteine!$A$2:$AY$76,8,FALSE))+IF(E10="",0,VLOOKUP(E10,Bausteine!$A$2:$AY$76,8,FALSE))+IF(G10="",0,VLOOKUP(G10,Bausteine!$A$2:$AY$76,8,FALSE))+IF(H10="",0,VLOOKUP(H10,Bausteine!$A$2:$AY$76,8,FALSE))+IF(I10="",0,VLOOKUP(I10,Bausteine!$A$2:$AY$76,8,FALSE))+IF(J10="",0,VLOOKUP(J10,Bausteine!$A$2:$AY$76,8,FALSE))+IF(K10="",0,VLOOKUP(K10,Bausteine!$A$2:$AY$76,8,FALSE))+IF(L10="",0,VLOOKUP(L10,Bausteine!$A$2:$AY$76,8,FALSE))+IF(AC10="",0,VLOOKUP(AC10,Bausteine!$A$2:$AY$76,8,FALSE))+IF(AF10="",0,VLOOKUP(AF10,Bausteine!$A$2:$AY$76,8,FALSE))+IF(AG10="",0,VLOOKUP(AG10,Bausteine!$A$2:$AY$76,8,FALSE))+IF(AH10="",0,VLOOKUP(AH10,Bausteine!$A$2:$AY$76,8,FALSE))+IF(AQ10="",0,VLOOKUP(AQ10,Bausteine!$A$2:$AY$76,8,FALSE))+AJ10</f>
        <v/>
      </c>
      <c r="U10">
        <f>IF(C10="",0,VLOOKUP(C10,Bausteine!$A$2:$AY$76,9,FALSE))+IF(D10="",0,VLOOKUP(D10,Bausteine!$A$2:$AY$76,9,FALSE))+IF(E10="",0,VLOOKUP(E10,Bausteine!$A$2:$AY$76,9,FALSE))+IF(F10="",0,VLOOKUP(F10,Bausteine!$A$2:$AY$76,9,FALSE))+IF(G10="",0,VLOOKUP(G10,Bausteine!$A$2:$AY$76,9,FALSE))+IF(H10="",0,VLOOKUP(H10,Bausteine!$A$2:$AY$76,9,FALSE))+IF(I10="",0,VLOOKUP(I10,Bausteine!$A$2:$AY$76,9,FALSE))+IF(J10="",0,VLOOKUP(J10,Bausteine!$A$2:$AY$76,9,FALSE))+IF(K10="",0,VLOOKUP(K10,Bausteine!$A$2:$AY$76,9,FALSE))+IF(L10="",0,VLOOKUP(L10,Bausteine!$A$2:$AY$76,9,FALSE))+IF(AC10="",0,VLOOKUP(AC10,Bausteine!$A$2:$AY$76,9,FALSE))+IF(AF10="",0,VLOOKUP(AF10,Bausteine!$A$2:$AY$76,9,FALSE))+IF(AG10="",0,VLOOKUP(AG10,Bausteine!$A$2:$AY$76,9,FALSE))+IF(AH10="",0,VLOOKUP(AH10,Bausteine!$A$2:$AY$76,9,FALSE))+IF(AQ10="",0,VLOOKUP(AQ10,Bausteine!$A$2:$AY$76,9,FALSE))</f>
        <v/>
      </c>
      <c r="V10">
        <f>IF(D10="",0,VLOOKUP(D10,Bausteine!$A$2:$AY$76,10,FALSE))-U10/IF(E10="",0,VLOOKUP(E10,Bausteine!$A$2:$AY$76,11,FALSE))</f>
        <v/>
      </c>
      <c r="W10">
        <f>IF(Y10&lt;&gt;"OK","",ROUND(MIN(IF(C10="",0,VLOOKUP(C10,Bausteine!$A$2:$AY$76,21,FALSE)),IF(AQ10="",0,VLOOKUP(AQ10,Bausteine!$A$2:$AY$76,21,FALSE)),IF(C10="",0,VLOOKUP(C10,Bausteine!$A$2:$AY$76,20,FALSE))*(V10/T10/(IF(C10="",0,VLOOKUP(C10,Bausteine!$A$2:$AY$76,19,FALSE))/IF(C10="",0,VLOOKUP(C10,Bausteine!$A$2:$AY$76,18,FALSE))))^Parameter!$B$3),0))</f>
        <v/>
      </c>
      <c r="X10">
        <f>IF(F10="",0,VLOOKUP(F10,Bausteine!$A$2:$AY$76,14,FALSE))</f>
        <v/>
      </c>
      <c r="Y10">
        <f>IFERROR(IF(OR(AD10&lt;=0,AD10&gt;1,R10&lt;=0,T10&lt;=0,V10&lt;=0,U10&gt;IF(E10="",0,VLOOKUP(E10,Bausteine!$A$2:$AY$76,12,FALSE)),T10&gt;MIN(IF(C10="",0,VLOOKUP(C10,Bausteine!$A$2:$AY$76,22,FALSE)),IF(AQ10="",0,VLOOKUP(AQ10,Bausteine!$A$2:$AY$76,22,FALSE))),IF(E10="",0,VLOOKUP(E10,Bausteine!$A$2:$AY$76,11,FALSE))&lt;=0,IF(E10="",0,VLOOKUP(E10,Bausteine!$A$2:$AY$76,11,FALSE))&gt;1),"UNGUELTIG","OK"),"FEHLER")</f>
        <v/>
      </c>
      <c r="Z10" t="n">
        <v>800</v>
      </c>
      <c r="AA10" t="n">
        <v>82</v>
      </c>
      <c r="AB10" t="inlineStr">
        <is>
          <t>Scalar values inherited from 2TNK; preserve Leclerc artwork, not an additional independent component fit.</t>
        </is>
      </c>
      <c r="AC10" t="inlineStr"/>
      <c r="AD10">
        <f>IF(AC10="",1,IF(AC10="",0,VLOOKUP(AC10,Bausteine!$A$2:$AY$76,37,FALSE))/100)</f>
        <v/>
      </c>
      <c r="AE10">
        <f>P10*AD10</f>
        <v/>
      </c>
      <c r="AF10" t="inlineStr"/>
      <c r="AG10" t="inlineStr"/>
      <c r="AH10" t="inlineStr"/>
      <c r="AI10">
        <f>SUMIF(Startbesatzung!$A$2:$A$7,A10,Startbesatzung!$D$2:$D$7)</f>
        <v/>
      </c>
      <c r="AJ10">
        <f>SUMIF(Startbesatzung!$A$2:$A$7,A10,Startbesatzung!$E$2:$E$7)</f>
        <v/>
      </c>
      <c r="AK10">
        <f>MAX(0,IF(Startbesatzung!A2=A10,Startbesatzung!G2,0),IF(Startbesatzung!A3=A10,Startbesatzung!G3,0),IF(Startbesatzung!A4=A10,Startbesatzung!G4,0),IF(Startbesatzung!A5=A10,Startbesatzung!G5,0),IF(Startbesatzung!A6=A10,Startbesatzung!G6,0),IF(Startbesatzung!A7=A10,Startbesatzung!G7,0))</f>
        <v/>
      </c>
      <c r="AL10">
        <f>IF(AF10="","",IF(IF(AH10="",0,VLOOKUP(AH10,Bausteine!$A$2:$AY$76,38,FALSE))&gt;0,IF(AH10="",0,VLOOKUP(AH10,Bausteine!$A$2:$AY$76,38,FALSE)),IF(AG10="",0,VLOOKUP(AG10,Bausteine!$A$2:$AY$76,28,FALSE))))</f>
        <v/>
      </c>
      <c r="AM10">
        <f>IF(AF10="","",IF(AG10="",0,VLOOKUP(AG10,Bausteine!$A$2:$AY$76,44,FALSE)))</f>
        <v/>
      </c>
      <c r="AN10">
        <f>IF(AF10="","",IF(AF10="",0,VLOOKUP(AF10,Bausteine!$A$2:$AY$76,27,FALSE)))</f>
        <v/>
      </c>
      <c r="AO10">
        <f>IF(AF10="","",IF(AF10="",0,VLOOKUP(AF10,Bausteine!$A$2:$AY$76,25,FALSE)))</f>
        <v/>
      </c>
      <c r="AP10">
        <f>IF(AF10="","",IF(AH10="",0,VLOOKUP(AH10,Bausteine!$A$2:$AY$76,29,FALSE)))</f>
        <v/>
      </c>
      <c r="AQ10" t="inlineStr">
        <is>
          <t>tracks-standard</t>
        </is>
      </c>
      <c r="AR10">
        <f>IF(AQ10="",0,VLOOKUP(AQ10,Bausteine!$A$2:$AY$76,48,FALSE))</f>
        <v/>
      </c>
      <c r="AS10">
        <f>MIN(IF(AQ10="",0,VLOOKUP(AQ10,Bausteine!$A$2:$AY$76,50,FALSE)),IF(C10="",0,VLOOKUP(C10,Bausteine!$A$2:$AY$76,51,FALSE)))</f>
        <v/>
      </c>
    </row>
    <row r="11">
      <c r="A11" t="inlineStr">
        <is>
          <t>Leopard baseline</t>
        </is>
      </c>
      <c r="B11" t="inlineStr">
        <is>
          <t>allies</t>
        </is>
      </c>
      <c r="C11" t="inlineStr">
        <is>
          <t>allied-medium-hull</t>
        </is>
      </c>
      <c r="D11" t="inlineStr">
        <is>
          <t>diesel</t>
        </is>
      </c>
      <c r="E11" t="inlineStr">
        <is>
          <t>baseline-generator</t>
        </is>
      </c>
      <c r="F11" t="inlineStr">
        <is>
          <t>heavy</t>
        </is>
      </c>
      <c r="G11" t="inlineStr">
        <is>
          <t>medium-cannon-mount</t>
        </is>
      </c>
      <c r="H11" t="inlineStr">
        <is>
          <t>medium-cannon</t>
        </is>
      </c>
      <c r="I11" t="inlineStr">
        <is>
          <t>medium-tank-shell</t>
        </is>
      </c>
      <c r="J11" t="inlineStr"/>
      <c r="K11" t="inlineStr"/>
      <c r="L11" t="inlineStr"/>
      <c r="M11">
        <f>IF(C11="",0,VLOOKUP(C11,Bausteine!$A$2:$AY$76,4,FALSE))+IF(D11="",0,VLOOKUP(D11,Bausteine!$A$2:$AY$76,4,FALSE))+IF(E11="",0,VLOOKUP(E11,Bausteine!$A$2:$AY$76,4,FALSE))+IF(F11="",0,VLOOKUP(F11,Bausteine!$A$2:$AY$76,4,FALSE))+IF(G11="",0,VLOOKUP(G11,Bausteine!$A$2:$AY$76,4,FALSE))+IF(H11="",0,VLOOKUP(H11,Bausteine!$A$2:$AY$76,4,FALSE))+IF(I11="",0,VLOOKUP(I11,Bausteine!$A$2:$AY$76,4,FALSE))+IF(J11="",0,VLOOKUP(J11,Bausteine!$A$2:$AY$76,4,FALSE))+IF(K11="",0,VLOOKUP(K11,Bausteine!$A$2:$AY$76,4,FALSE))+IF(L11="",0,VLOOKUP(L11,Bausteine!$A$2:$AY$76,4,FALSE))+IF(AC11="",0,VLOOKUP(AC11,Bausteine!$A$2:$AY$76,4,FALSE))+IF(AF11="",0,VLOOKUP(AF11,Bausteine!$A$2:$AY$76,4,FALSE))+IF(AG11="",0,VLOOKUP(AG11,Bausteine!$A$2:$AY$76,4,FALSE))+IF(AH11="",0,VLOOKUP(AH11,Bausteine!$A$2:$AY$76,4,FALSE))+IF(AQ11="",0,VLOOKUP(AQ11,Bausteine!$A$2:$AY$76,4,FALSE))</f>
        <v/>
      </c>
      <c r="N11">
        <f>IF(C11="",0,VLOOKUP(C11,Bausteine!$A$2:$AY$76,5,FALSE))+IF(D11="",0,VLOOKUP(D11,Bausteine!$A$2:$AY$76,5,FALSE))+IF(E11="",0,VLOOKUP(E11,Bausteine!$A$2:$AY$76,5,FALSE))+IF(F11="",0,VLOOKUP(F11,Bausteine!$A$2:$AY$76,5,FALSE))+IF(G11="",0,VLOOKUP(G11,Bausteine!$A$2:$AY$76,5,FALSE))+IF(H11="",0,VLOOKUP(H11,Bausteine!$A$2:$AY$76,5,FALSE))+IF(I11="",0,VLOOKUP(I11,Bausteine!$A$2:$AY$76,5,FALSE))+IF(J11="",0,VLOOKUP(J11,Bausteine!$A$2:$AY$76,5,FALSE))+IF(K11="",0,VLOOKUP(K11,Bausteine!$A$2:$AY$76,5,FALSE))+IF(L11="",0,VLOOKUP(L11,Bausteine!$A$2:$AY$76,5,FALSE))+IF(AC11="",0,VLOOKUP(AC11,Bausteine!$A$2:$AY$76,5,FALSE))+IF(AF11="",0,VLOOKUP(AF11,Bausteine!$A$2:$AY$76,5,FALSE))+IF(AG11="",0,VLOOKUP(AG11,Bausteine!$A$2:$AY$76,5,FALSE))+IF(AH11="",0,VLOOKUP(AH11,Bausteine!$A$2:$AY$76,5,FALSE))+IF(AQ11="",0,VLOOKUP(AQ11,Bausteine!$A$2:$AY$76,5,FALSE))</f>
        <v/>
      </c>
      <c r="O11">
        <f>MAX(IF(C11="",0,VLOOKUP(C11,Bausteine!$A$2:$AY$76,6,FALSE)),IF(D11="",0,VLOOKUP(D11,Bausteine!$A$2:$AY$76,6,FALSE)),IF(E11="",0,VLOOKUP(E11,Bausteine!$A$2:$AY$76,6,FALSE)),IF(F11="",0,VLOOKUP(F11,Bausteine!$A$2:$AY$76,6,FALSE)),IF(G11="",0,VLOOKUP(G11,Bausteine!$A$2:$AY$76,6,FALSE)),IF(H11="",0,VLOOKUP(H11,Bausteine!$A$2:$AY$76,6,FALSE)),IF(I11="",0,VLOOKUP(I11,Bausteine!$A$2:$AY$76,6,FALSE)),IF(J11="",0,VLOOKUP(J11,Bausteine!$A$2:$AY$76,6,FALSE)),IF(K11="",0,VLOOKUP(K11,Bausteine!$A$2:$AY$76,6,FALSE)),IF(L11="",0,VLOOKUP(L11,Bausteine!$A$2:$AY$76,6,FALSE)),IF(AC11="",0,VLOOKUP(AC11,Bausteine!$A$2:$AY$76,6,FALSE)),IF(AF11="",0,VLOOKUP(AF11,Bausteine!$A$2:$AY$76,6,FALSE)),IF(AG11="",0,VLOOKUP(AG11,Bausteine!$A$2:$AY$76,6,FALSE)),IF(AH11="",0,VLOOKUP(AH11,Bausteine!$A$2:$AY$76,6,FALSE)),IF(AQ11="",0,VLOOKUP(AQ11,Bausteine!$A$2:$AY$76,6,FALSE)),AK11)</f>
        <v/>
      </c>
      <c r="P11">
        <f>IF(C11="",0,VLOOKUP(C11,Bausteine!$A$2:$AY$76,7,FALSE))*IF(F11="",0,VLOOKUP(F11,Bausteine!$A$2:$AY$76,17,FALSE))/100+IF(D11="",0,VLOOKUP(D11,Bausteine!$A$2:$AY$76,7,FALSE))+IF(E11="",0,VLOOKUP(E11,Bausteine!$A$2:$AY$76,7,FALSE))+IF(G11="",0,VLOOKUP(G11,Bausteine!$A$2:$AY$76,7,FALSE))+IF(H11="",0,VLOOKUP(H11,Bausteine!$A$2:$AY$76,7,FALSE))+IF(I11="",0,VLOOKUP(I11,Bausteine!$A$2:$AY$76,7,FALSE))+IF(J11="",0,VLOOKUP(J11,Bausteine!$A$2:$AY$76,7,FALSE))+IF(K11="",0,VLOOKUP(K11,Bausteine!$A$2:$AY$76,7,FALSE))+IF(L11="",0,VLOOKUP(L11,Bausteine!$A$2:$AY$76,7,FALSE))+IF(AC11="",0,VLOOKUP(AC11,Bausteine!$A$2:$AY$76,7,FALSE))+IF(AF11="",0,VLOOKUP(AF11,Bausteine!$A$2:$AY$76,7,FALSE))+IF(AG11="",0,VLOOKUP(AG11,Bausteine!$A$2:$AY$76,7,FALSE))+IF(AH11="",0,VLOOKUP(AH11,Bausteine!$A$2:$AY$76,7,FALSE))+IF(AQ11="",0,VLOOKUP(AQ11,Bausteine!$A$2:$AY$76,7,FALSE))+AI11</f>
        <v/>
      </c>
      <c r="Q11">
        <f>N11*Parameter!$B$2</f>
        <v/>
      </c>
      <c r="R11">
        <f>AE11-Q11</f>
        <v/>
      </c>
      <c r="S11">
        <f>IF(C11="",0,VLOOKUP(C11,Bausteine!$A$2:$AY$76,13,FALSE))*IF(F11="",0,VLOOKUP(F11,Bausteine!$A$2:$AY$76,16,FALSE))/100</f>
        <v/>
      </c>
      <c r="T11">
        <f>IF(C11="",0,VLOOKUP(C11,Bausteine!$A$2:$AY$76,8,FALSE))*IF(F11="",0,VLOOKUP(F11,Bausteine!$A$2:$AY$76,15,FALSE))/100+IF(D11="",0,VLOOKUP(D11,Bausteine!$A$2:$AY$76,8,FALSE))+IF(E11="",0,VLOOKUP(E11,Bausteine!$A$2:$AY$76,8,FALSE))+IF(G11="",0,VLOOKUP(G11,Bausteine!$A$2:$AY$76,8,FALSE))+IF(H11="",0,VLOOKUP(H11,Bausteine!$A$2:$AY$76,8,FALSE))+IF(I11="",0,VLOOKUP(I11,Bausteine!$A$2:$AY$76,8,FALSE))+IF(J11="",0,VLOOKUP(J11,Bausteine!$A$2:$AY$76,8,FALSE))+IF(K11="",0,VLOOKUP(K11,Bausteine!$A$2:$AY$76,8,FALSE))+IF(L11="",0,VLOOKUP(L11,Bausteine!$A$2:$AY$76,8,FALSE))+IF(AC11="",0,VLOOKUP(AC11,Bausteine!$A$2:$AY$76,8,FALSE))+IF(AF11="",0,VLOOKUP(AF11,Bausteine!$A$2:$AY$76,8,FALSE))+IF(AG11="",0,VLOOKUP(AG11,Bausteine!$A$2:$AY$76,8,FALSE))+IF(AH11="",0,VLOOKUP(AH11,Bausteine!$A$2:$AY$76,8,FALSE))+IF(AQ11="",0,VLOOKUP(AQ11,Bausteine!$A$2:$AY$76,8,FALSE))+AJ11</f>
        <v/>
      </c>
      <c r="U11">
        <f>IF(C11="",0,VLOOKUP(C11,Bausteine!$A$2:$AY$76,9,FALSE))+IF(D11="",0,VLOOKUP(D11,Bausteine!$A$2:$AY$76,9,FALSE))+IF(E11="",0,VLOOKUP(E11,Bausteine!$A$2:$AY$76,9,FALSE))+IF(F11="",0,VLOOKUP(F11,Bausteine!$A$2:$AY$76,9,FALSE))+IF(G11="",0,VLOOKUP(G11,Bausteine!$A$2:$AY$76,9,FALSE))+IF(H11="",0,VLOOKUP(H11,Bausteine!$A$2:$AY$76,9,FALSE))+IF(I11="",0,VLOOKUP(I11,Bausteine!$A$2:$AY$76,9,FALSE))+IF(J11="",0,VLOOKUP(J11,Bausteine!$A$2:$AY$76,9,FALSE))+IF(K11="",0,VLOOKUP(K11,Bausteine!$A$2:$AY$76,9,FALSE))+IF(L11="",0,VLOOKUP(L11,Bausteine!$A$2:$AY$76,9,FALSE))+IF(AC11="",0,VLOOKUP(AC11,Bausteine!$A$2:$AY$76,9,FALSE))+IF(AF11="",0,VLOOKUP(AF11,Bausteine!$A$2:$AY$76,9,FALSE))+IF(AG11="",0,VLOOKUP(AG11,Bausteine!$A$2:$AY$76,9,FALSE))+IF(AH11="",0,VLOOKUP(AH11,Bausteine!$A$2:$AY$76,9,FALSE))+IF(AQ11="",0,VLOOKUP(AQ11,Bausteine!$A$2:$AY$76,9,FALSE))</f>
        <v/>
      </c>
      <c r="V11">
        <f>IF(D11="",0,VLOOKUP(D11,Bausteine!$A$2:$AY$76,10,FALSE))-U11/IF(E11="",0,VLOOKUP(E11,Bausteine!$A$2:$AY$76,11,FALSE))</f>
        <v/>
      </c>
      <c r="W11">
        <f>IF(Y11&lt;&gt;"OK","",ROUND(MIN(IF(C11="",0,VLOOKUP(C11,Bausteine!$A$2:$AY$76,21,FALSE)),IF(AQ11="",0,VLOOKUP(AQ11,Bausteine!$A$2:$AY$76,21,FALSE)),IF(C11="",0,VLOOKUP(C11,Bausteine!$A$2:$AY$76,20,FALSE))*(V11/T11/(IF(C11="",0,VLOOKUP(C11,Bausteine!$A$2:$AY$76,19,FALSE))/IF(C11="",0,VLOOKUP(C11,Bausteine!$A$2:$AY$76,18,FALSE))))^Parameter!$B$3),0))</f>
        <v/>
      </c>
      <c r="X11">
        <f>IF(F11="",0,VLOOKUP(F11,Bausteine!$A$2:$AY$76,14,FALSE))</f>
        <v/>
      </c>
      <c r="Y11">
        <f>IFERROR(IF(OR(AD11&lt;=0,AD11&gt;1,R11&lt;=0,T11&lt;=0,V11&lt;=0,U11&gt;IF(E11="",0,VLOOKUP(E11,Bausteine!$A$2:$AY$76,12,FALSE)),T11&gt;MIN(IF(C11="",0,VLOOKUP(C11,Bausteine!$A$2:$AY$76,22,FALSE)),IF(AQ11="",0,VLOOKUP(AQ11,Bausteine!$A$2:$AY$76,22,FALSE))),IF(E11="",0,VLOOKUP(E11,Bausteine!$A$2:$AY$76,11,FALSE))&lt;=0,IF(E11="",0,VLOOKUP(E11,Bausteine!$A$2:$AY$76,11,FALSE))&gt;1),"UNGUELTIG","OK"),"FEHLER")</f>
        <v/>
      </c>
      <c r="Z11" t="n">
        <v>800</v>
      </c>
      <c r="AA11" t="n">
        <v>82</v>
      </c>
      <c r="AB11" t="inlineStr">
        <is>
          <t>Scalar values inherited from 2TNK; preserve Leopard artwork, not an additional independent component fit.</t>
        </is>
      </c>
      <c r="AC11" t="inlineStr"/>
      <c r="AD11">
        <f>IF(AC11="",1,IF(AC11="",0,VLOOKUP(AC11,Bausteine!$A$2:$AY$76,37,FALSE))/100)</f>
        <v/>
      </c>
      <c r="AE11">
        <f>P11*AD11</f>
        <v/>
      </c>
      <c r="AF11" t="inlineStr"/>
      <c r="AG11" t="inlineStr"/>
      <c r="AH11" t="inlineStr"/>
      <c r="AI11">
        <f>SUMIF(Startbesatzung!$A$2:$A$7,A11,Startbesatzung!$D$2:$D$7)</f>
        <v/>
      </c>
      <c r="AJ11">
        <f>SUMIF(Startbesatzung!$A$2:$A$7,A11,Startbesatzung!$E$2:$E$7)</f>
        <v/>
      </c>
      <c r="AK11">
        <f>MAX(0,IF(Startbesatzung!A2=A11,Startbesatzung!G2,0),IF(Startbesatzung!A3=A11,Startbesatzung!G3,0),IF(Startbesatzung!A4=A11,Startbesatzung!G4,0),IF(Startbesatzung!A5=A11,Startbesatzung!G5,0),IF(Startbesatzung!A6=A11,Startbesatzung!G6,0),IF(Startbesatzung!A7=A11,Startbesatzung!G7,0))</f>
        <v/>
      </c>
      <c r="AL11">
        <f>IF(AF11="","",IF(IF(AH11="",0,VLOOKUP(AH11,Bausteine!$A$2:$AY$76,38,FALSE))&gt;0,IF(AH11="",0,VLOOKUP(AH11,Bausteine!$A$2:$AY$76,38,FALSE)),IF(AG11="",0,VLOOKUP(AG11,Bausteine!$A$2:$AY$76,28,FALSE))))</f>
        <v/>
      </c>
      <c r="AM11">
        <f>IF(AF11="","",IF(AG11="",0,VLOOKUP(AG11,Bausteine!$A$2:$AY$76,44,FALSE)))</f>
        <v/>
      </c>
      <c r="AN11">
        <f>IF(AF11="","",IF(AF11="",0,VLOOKUP(AF11,Bausteine!$A$2:$AY$76,27,FALSE)))</f>
        <v/>
      </c>
      <c r="AO11">
        <f>IF(AF11="","",IF(AF11="",0,VLOOKUP(AF11,Bausteine!$A$2:$AY$76,25,FALSE)))</f>
        <v/>
      </c>
      <c r="AP11">
        <f>IF(AF11="","",IF(AH11="",0,VLOOKUP(AH11,Bausteine!$A$2:$AY$76,29,FALSE)))</f>
        <v/>
      </c>
      <c r="AQ11" t="inlineStr">
        <is>
          <t>tracks-standard</t>
        </is>
      </c>
      <c r="AR11">
        <f>IF(AQ11="",0,VLOOKUP(AQ11,Bausteine!$A$2:$AY$76,48,FALSE))</f>
        <v/>
      </c>
      <c r="AS11">
        <f>MIN(IF(AQ11="",0,VLOOKUP(AQ11,Bausteine!$A$2:$AY$76,50,FALSE)),IF(C11="",0,VLOOKUP(C11,Bausteine!$A$2:$AY$76,51,FALSE)))</f>
        <v/>
      </c>
    </row>
    <row r="12">
      <c r="A12" t="inlineStr">
        <is>
          <t>Soviet Heavy Tank baseline</t>
        </is>
      </c>
      <c r="B12" t="inlineStr">
        <is>
          <t>soviet</t>
        </is>
      </c>
      <c r="C12" t="inlineStr">
        <is>
          <t>soviet-heavy-hull</t>
        </is>
      </c>
      <c r="D12" t="inlineStr">
        <is>
          <t>diesel</t>
        </is>
      </c>
      <c r="E12" t="inlineStr">
        <is>
          <t>baseline-generator</t>
        </is>
      </c>
      <c r="F12" t="inlineStr">
        <is>
          <t>heavy</t>
        </is>
      </c>
      <c r="G12" t="inlineStr">
        <is>
          <t>soviet-twin-mount</t>
        </is>
      </c>
      <c r="H12" t="inlineStr">
        <is>
          <t>medium-cannon</t>
        </is>
      </c>
      <c r="I12" t="inlineStr">
        <is>
          <t>medium-tank-shell</t>
        </is>
      </c>
      <c r="J12" t="inlineStr"/>
      <c r="K12" t="inlineStr"/>
      <c r="L12" t="inlineStr"/>
      <c r="M12">
        <f>IF(C12="",0,VLOOKUP(C12,Bausteine!$A$2:$AY$76,4,FALSE))+IF(D12="",0,VLOOKUP(D12,Bausteine!$A$2:$AY$76,4,FALSE))+IF(E12="",0,VLOOKUP(E12,Bausteine!$A$2:$AY$76,4,FALSE))+IF(F12="",0,VLOOKUP(F12,Bausteine!$A$2:$AY$76,4,FALSE))+IF(G12="",0,VLOOKUP(G12,Bausteine!$A$2:$AY$76,4,FALSE))+IF(H12="",0,VLOOKUP(H12,Bausteine!$A$2:$AY$76,4,FALSE))+IF(I12="",0,VLOOKUP(I12,Bausteine!$A$2:$AY$76,4,FALSE))+IF(J12="",0,VLOOKUP(J12,Bausteine!$A$2:$AY$76,4,FALSE))+IF(K12="",0,VLOOKUP(K12,Bausteine!$A$2:$AY$76,4,FALSE))+IF(L12="",0,VLOOKUP(L12,Bausteine!$A$2:$AY$76,4,FALSE))+IF(AC12="",0,VLOOKUP(AC12,Bausteine!$A$2:$AY$76,4,FALSE))+IF(AF12="",0,VLOOKUP(AF12,Bausteine!$A$2:$AY$76,4,FALSE))+IF(AG12="",0,VLOOKUP(AG12,Bausteine!$A$2:$AY$76,4,FALSE))+IF(AH12="",0,VLOOKUP(AH12,Bausteine!$A$2:$AY$76,4,FALSE))+IF(AQ12="",0,VLOOKUP(AQ12,Bausteine!$A$2:$AY$76,4,FALSE))</f>
        <v/>
      </c>
      <c r="N12">
        <f>IF(C12="",0,VLOOKUP(C12,Bausteine!$A$2:$AY$76,5,FALSE))+IF(D12="",0,VLOOKUP(D12,Bausteine!$A$2:$AY$76,5,FALSE))+IF(E12="",0,VLOOKUP(E12,Bausteine!$A$2:$AY$76,5,FALSE))+IF(F12="",0,VLOOKUP(F12,Bausteine!$A$2:$AY$76,5,FALSE))+IF(G12="",0,VLOOKUP(G12,Bausteine!$A$2:$AY$76,5,FALSE))+IF(H12="",0,VLOOKUP(H12,Bausteine!$A$2:$AY$76,5,FALSE))+IF(I12="",0,VLOOKUP(I12,Bausteine!$A$2:$AY$76,5,FALSE))+IF(J12="",0,VLOOKUP(J12,Bausteine!$A$2:$AY$76,5,FALSE))+IF(K12="",0,VLOOKUP(K12,Bausteine!$A$2:$AY$76,5,FALSE))+IF(L12="",0,VLOOKUP(L12,Bausteine!$A$2:$AY$76,5,FALSE))+IF(AC12="",0,VLOOKUP(AC12,Bausteine!$A$2:$AY$76,5,FALSE))+IF(AF12="",0,VLOOKUP(AF12,Bausteine!$A$2:$AY$76,5,FALSE))+IF(AG12="",0,VLOOKUP(AG12,Bausteine!$A$2:$AY$76,5,FALSE))+IF(AH12="",0,VLOOKUP(AH12,Bausteine!$A$2:$AY$76,5,FALSE))+IF(AQ12="",0,VLOOKUP(AQ12,Bausteine!$A$2:$AY$76,5,FALSE))</f>
        <v/>
      </c>
      <c r="O12">
        <f>MAX(IF(C12="",0,VLOOKUP(C12,Bausteine!$A$2:$AY$76,6,FALSE)),IF(D12="",0,VLOOKUP(D12,Bausteine!$A$2:$AY$76,6,FALSE)),IF(E12="",0,VLOOKUP(E12,Bausteine!$A$2:$AY$76,6,FALSE)),IF(F12="",0,VLOOKUP(F12,Bausteine!$A$2:$AY$76,6,FALSE)),IF(G12="",0,VLOOKUP(G12,Bausteine!$A$2:$AY$76,6,FALSE)),IF(H12="",0,VLOOKUP(H12,Bausteine!$A$2:$AY$76,6,FALSE)),IF(I12="",0,VLOOKUP(I12,Bausteine!$A$2:$AY$76,6,FALSE)),IF(J12="",0,VLOOKUP(J12,Bausteine!$A$2:$AY$76,6,FALSE)),IF(K12="",0,VLOOKUP(K12,Bausteine!$A$2:$AY$76,6,FALSE)),IF(L12="",0,VLOOKUP(L12,Bausteine!$A$2:$AY$76,6,FALSE)),IF(AC12="",0,VLOOKUP(AC12,Bausteine!$A$2:$AY$76,6,FALSE)),IF(AF12="",0,VLOOKUP(AF12,Bausteine!$A$2:$AY$76,6,FALSE)),IF(AG12="",0,VLOOKUP(AG12,Bausteine!$A$2:$AY$76,6,FALSE)),IF(AH12="",0,VLOOKUP(AH12,Bausteine!$A$2:$AY$76,6,FALSE)),IF(AQ12="",0,VLOOKUP(AQ12,Bausteine!$A$2:$AY$76,6,FALSE)),AK12)</f>
        <v/>
      </c>
      <c r="P12">
        <f>IF(C12="",0,VLOOKUP(C12,Bausteine!$A$2:$AY$76,7,FALSE))*IF(F12="",0,VLOOKUP(F12,Bausteine!$A$2:$AY$76,17,FALSE))/100+IF(D12="",0,VLOOKUP(D12,Bausteine!$A$2:$AY$76,7,FALSE))+IF(E12="",0,VLOOKUP(E12,Bausteine!$A$2:$AY$76,7,FALSE))+IF(G12="",0,VLOOKUP(G12,Bausteine!$A$2:$AY$76,7,FALSE))+IF(H12="",0,VLOOKUP(H12,Bausteine!$A$2:$AY$76,7,FALSE))+IF(I12="",0,VLOOKUP(I12,Bausteine!$A$2:$AY$76,7,FALSE))+IF(J12="",0,VLOOKUP(J12,Bausteine!$A$2:$AY$76,7,FALSE))+IF(K12="",0,VLOOKUP(K12,Bausteine!$A$2:$AY$76,7,FALSE))+IF(L12="",0,VLOOKUP(L12,Bausteine!$A$2:$AY$76,7,FALSE))+IF(AC12="",0,VLOOKUP(AC12,Bausteine!$A$2:$AY$76,7,FALSE))+IF(AF12="",0,VLOOKUP(AF12,Bausteine!$A$2:$AY$76,7,FALSE))+IF(AG12="",0,VLOOKUP(AG12,Bausteine!$A$2:$AY$76,7,FALSE))+IF(AH12="",0,VLOOKUP(AH12,Bausteine!$A$2:$AY$76,7,FALSE))+IF(AQ12="",0,VLOOKUP(AQ12,Bausteine!$A$2:$AY$76,7,FALSE))+AI12</f>
        <v/>
      </c>
      <c r="Q12">
        <f>N12*Parameter!$B$2</f>
        <v/>
      </c>
      <c r="R12">
        <f>AE12-Q12</f>
        <v/>
      </c>
      <c r="S12">
        <f>IF(C12="",0,VLOOKUP(C12,Bausteine!$A$2:$AY$76,13,FALSE))*IF(F12="",0,VLOOKUP(F12,Bausteine!$A$2:$AY$76,16,FALSE))/100</f>
        <v/>
      </c>
      <c r="T12">
        <f>IF(C12="",0,VLOOKUP(C12,Bausteine!$A$2:$AY$76,8,FALSE))*IF(F12="",0,VLOOKUP(F12,Bausteine!$A$2:$AY$76,15,FALSE))/100+IF(D12="",0,VLOOKUP(D12,Bausteine!$A$2:$AY$76,8,FALSE))+IF(E12="",0,VLOOKUP(E12,Bausteine!$A$2:$AY$76,8,FALSE))+IF(G12="",0,VLOOKUP(G12,Bausteine!$A$2:$AY$76,8,FALSE))+IF(H12="",0,VLOOKUP(H12,Bausteine!$A$2:$AY$76,8,FALSE))+IF(I12="",0,VLOOKUP(I12,Bausteine!$A$2:$AY$76,8,FALSE))+IF(J12="",0,VLOOKUP(J12,Bausteine!$A$2:$AY$76,8,FALSE))+IF(K12="",0,VLOOKUP(K12,Bausteine!$A$2:$AY$76,8,FALSE))+IF(L12="",0,VLOOKUP(L12,Bausteine!$A$2:$AY$76,8,FALSE))+IF(AC12="",0,VLOOKUP(AC12,Bausteine!$A$2:$AY$76,8,FALSE))+IF(AF12="",0,VLOOKUP(AF12,Bausteine!$A$2:$AY$76,8,FALSE))+IF(AG12="",0,VLOOKUP(AG12,Bausteine!$A$2:$AY$76,8,FALSE))+IF(AH12="",0,VLOOKUP(AH12,Bausteine!$A$2:$AY$76,8,FALSE))+IF(AQ12="",0,VLOOKUP(AQ12,Bausteine!$A$2:$AY$76,8,FALSE))+AJ12</f>
        <v/>
      </c>
      <c r="U12">
        <f>IF(C12="",0,VLOOKUP(C12,Bausteine!$A$2:$AY$76,9,FALSE))+IF(D12="",0,VLOOKUP(D12,Bausteine!$A$2:$AY$76,9,FALSE))+IF(E12="",0,VLOOKUP(E12,Bausteine!$A$2:$AY$76,9,FALSE))+IF(F12="",0,VLOOKUP(F12,Bausteine!$A$2:$AY$76,9,FALSE))+IF(G12="",0,VLOOKUP(G12,Bausteine!$A$2:$AY$76,9,FALSE))+IF(H12="",0,VLOOKUP(H12,Bausteine!$A$2:$AY$76,9,FALSE))+IF(I12="",0,VLOOKUP(I12,Bausteine!$A$2:$AY$76,9,FALSE))+IF(J12="",0,VLOOKUP(J12,Bausteine!$A$2:$AY$76,9,FALSE))+IF(K12="",0,VLOOKUP(K12,Bausteine!$A$2:$AY$76,9,FALSE))+IF(L12="",0,VLOOKUP(L12,Bausteine!$A$2:$AY$76,9,FALSE))+IF(AC12="",0,VLOOKUP(AC12,Bausteine!$A$2:$AY$76,9,FALSE))+IF(AF12="",0,VLOOKUP(AF12,Bausteine!$A$2:$AY$76,9,FALSE))+IF(AG12="",0,VLOOKUP(AG12,Bausteine!$A$2:$AY$76,9,FALSE))+IF(AH12="",0,VLOOKUP(AH12,Bausteine!$A$2:$AY$76,9,FALSE))+IF(AQ12="",0,VLOOKUP(AQ12,Bausteine!$A$2:$AY$76,9,FALSE))</f>
        <v/>
      </c>
      <c r="V12">
        <f>IF(D12="",0,VLOOKUP(D12,Bausteine!$A$2:$AY$76,10,FALSE))-U12/IF(E12="",0,VLOOKUP(E12,Bausteine!$A$2:$AY$76,11,FALSE))</f>
        <v/>
      </c>
      <c r="W12">
        <f>IF(Y12&lt;&gt;"OK","",ROUND(MIN(IF(C12="",0,VLOOKUP(C12,Bausteine!$A$2:$AY$76,21,FALSE)),IF(AQ12="",0,VLOOKUP(AQ12,Bausteine!$A$2:$AY$76,21,FALSE)),IF(C12="",0,VLOOKUP(C12,Bausteine!$A$2:$AY$76,20,FALSE))*(V12/T12/(IF(C12="",0,VLOOKUP(C12,Bausteine!$A$2:$AY$76,19,FALSE))/IF(C12="",0,VLOOKUP(C12,Bausteine!$A$2:$AY$76,18,FALSE))))^Parameter!$B$3),0))</f>
        <v/>
      </c>
      <c r="X12">
        <f>IF(F12="",0,VLOOKUP(F12,Bausteine!$A$2:$AY$76,14,FALSE))</f>
        <v/>
      </c>
      <c r="Y12">
        <f>IFERROR(IF(OR(AD12&lt;=0,AD12&gt;1,R12&lt;=0,T12&lt;=0,V12&lt;=0,U12&gt;IF(E12="",0,VLOOKUP(E12,Bausteine!$A$2:$AY$76,12,FALSE)),T12&gt;MIN(IF(C12="",0,VLOOKUP(C12,Bausteine!$A$2:$AY$76,22,FALSE)),IF(AQ12="",0,VLOOKUP(AQ12,Bausteine!$A$2:$AY$76,22,FALSE))),IF(E12="",0,VLOOKUP(E12,Bausteine!$A$2:$AY$76,11,FALSE))&lt;=0,IF(E12="",0,VLOOKUP(E12,Bausteine!$A$2:$AY$76,11,FALSE))&gt;1),"UNGUELTIG","OK"),"FEHLER")</f>
        <v/>
      </c>
      <c r="Z12" t="n">
        <v>1100</v>
      </c>
      <c r="AA12" t="n">
        <v>68</v>
      </c>
      <c r="AB12" t="inlineStr">
        <is>
          <t>125mm legacy binding: twin carrier changes cadence while shared medium payload keeps original versus. AP variants excluded.</t>
        </is>
      </c>
      <c r="AC12" t="inlineStr"/>
      <c r="AD12">
        <f>IF(AC12="",1,IF(AC12="",0,VLOOKUP(AC12,Bausteine!$A$2:$AY$76,37,FALSE))/100)</f>
        <v/>
      </c>
      <c r="AE12">
        <f>P12*AD12</f>
        <v/>
      </c>
      <c r="AF12" t="inlineStr"/>
      <c r="AG12" t="inlineStr"/>
      <c r="AH12" t="inlineStr"/>
      <c r="AI12">
        <f>SUMIF(Startbesatzung!$A$2:$A$7,A12,Startbesatzung!$D$2:$D$7)</f>
        <v/>
      </c>
      <c r="AJ12">
        <f>SUMIF(Startbesatzung!$A$2:$A$7,A12,Startbesatzung!$E$2:$E$7)</f>
        <v/>
      </c>
      <c r="AK12">
        <f>MAX(0,IF(Startbesatzung!A2=A12,Startbesatzung!G2,0),IF(Startbesatzung!A3=A12,Startbesatzung!G3,0),IF(Startbesatzung!A4=A12,Startbesatzung!G4,0),IF(Startbesatzung!A5=A12,Startbesatzung!G5,0),IF(Startbesatzung!A6=A12,Startbesatzung!G6,0),IF(Startbesatzung!A7=A12,Startbesatzung!G7,0))</f>
        <v/>
      </c>
      <c r="AL12">
        <f>IF(AF12="","",IF(IF(AH12="",0,VLOOKUP(AH12,Bausteine!$A$2:$AY$76,38,FALSE))&gt;0,IF(AH12="",0,VLOOKUP(AH12,Bausteine!$A$2:$AY$76,38,FALSE)),IF(AG12="",0,VLOOKUP(AG12,Bausteine!$A$2:$AY$76,28,FALSE))))</f>
        <v/>
      </c>
      <c r="AM12">
        <f>IF(AF12="","",IF(AG12="",0,VLOOKUP(AG12,Bausteine!$A$2:$AY$76,44,FALSE)))</f>
        <v/>
      </c>
      <c r="AN12">
        <f>IF(AF12="","",IF(AF12="",0,VLOOKUP(AF12,Bausteine!$A$2:$AY$76,27,FALSE)))</f>
        <v/>
      </c>
      <c r="AO12">
        <f>IF(AF12="","",IF(AF12="",0,VLOOKUP(AF12,Bausteine!$A$2:$AY$76,25,FALSE)))</f>
        <v/>
      </c>
      <c r="AP12">
        <f>IF(AF12="","",IF(AH12="",0,VLOOKUP(AH12,Bausteine!$A$2:$AY$76,29,FALSE)))</f>
        <v/>
      </c>
      <c r="AQ12" t="inlineStr">
        <is>
          <t>tracks-standard</t>
        </is>
      </c>
      <c r="AR12">
        <f>IF(AQ12="",0,VLOOKUP(AQ12,Bausteine!$A$2:$AY$76,48,FALSE))</f>
        <v/>
      </c>
      <c r="AS12">
        <f>MIN(IF(AQ12="",0,VLOOKUP(AQ12,Bausteine!$A$2:$AY$76,50,FALSE)),IF(C12="",0,VLOOKUP(C12,Bausteine!$A$2:$AY$76,51,FALSE)))</f>
        <v/>
      </c>
    </row>
    <row r="13">
      <c r="A13" t="inlineStr">
        <is>
          <t>Allied Artillery baseline</t>
        </is>
      </c>
      <c r="B13" t="inlineStr">
        <is>
          <t>allies</t>
        </is>
      </c>
      <c r="C13" t="inlineStr">
        <is>
          <t>field-artillery-hull</t>
        </is>
      </c>
      <c r="D13" t="inlineStr">
        <is>
          <t>diesel</t>
        </is>
      </c>
      <c r="E13" t="inlineStr">
        <is>
          <t>baseline-generator</t>
        </is>
      </c>
      <c r="F13" t="inlineStr">
        <is>
          <t>light</t>
        </is>
      </c>
      <c r="G13" t="inlineStr">
        <is>
          <t>field-artillery-mount</t>
        </is>
      </c>
      <c r="H13" t="inlineStr">
        <is>
          <t>field-artillery</t>
        </is>
      </c>
      <c r="I13" t="inlineStr">
        <is>
          <t>field-artillery-he</t>
        </is>
      </c>
      <c r="J13" t="inlineStr"/>
      <c r="K13" t="inlineStr"/>
      <c r="L13" t="inlineStr"/>
      <c r="M13">
        <f>IF(C13="",0,VLOOKUP(C13,Bausteine!$A$2:$AY$76,4,FALSE))+IF(D13="",0,VLOOKUP(D13,Bausteine!$A$2:$AY$76,4,FALSE))+IF(E13="",0,VLOOKUP(E13,Bausteine!$A$2:$AY$76,4,FALSE))+IF(F13="",0,VLOOKUP(F13,Bausteine!$A$2:$AY$76,4,FALSE))+IF(G13="",0,VLOOKUP(G13,Bausteine!$A$2:$AY$76,4,FALSE))+IF(H13="",0,VLOOKUP(H13,Bausteine!$A$2:$AY$76,4,FALSE))+IF(I13="",0,VLOOKUP(I13,Bausteine!$A$2:$AY$76,4,FALSE))+IF(J13="",0,VLOOKUP(J13,Bausteine!$A$2:$AY$76,4,FALSE))+IF(K13="",0,VLOOKUP(K13,Bausteine!$A$2:$AY$76,4,FALSE))+IF(L13="",0,VLOOKUP(L13,Bausteine!$A$2:$AY$76,4,FALSE))+IF(AC13="",0,VLOOKUP(AC13,Bausteine!$A$2:$AY$76,4,FALSE))+IF(AF13="",0,VLOOKUP(AF13,Bausteine!$A$2:$AY$76,4,FALSE))+IF(AG13="",0,VLOOKUP(AG13,Bausteine!$A$2:$AY$76,4,FALSE))+IF(AH13="",0,VLOOKUP(AH13,Bausteine!$A$2:$AY$76,4,FALSE))+IF(AQ13="",0,VLOOKUP(AQ13,Bausteine!$A$2:$AY$76,4,FALSE))</f>
        <v/>
      </c>
      <c r="N13">
        <f>IF(C13="",0,VLOOKUP(C13,Bausteine!$A$2:$AY$76,5,FALSE))+IF(D13="",0,VLOOKUP(D13,Bausteine!$A$2:$AY$76,5,FALSE))+IF(E13="",0,VLOOKUP(E13,Bausteine!$A$2:$AY$76,5,FALSE))+IF(F13="",0,VLOOKUP(F13,Bausteine!$A$2:$AY$76,5,FALSE))+IF(G13="",0,VLOOKUP(G13,Bausteine!$A$2:$AY$76,5,FALSE))+IF(H13="",0,VLOOKUP(H13,Bausteine!$A$2:$AY$76,5,FALSE))+IF(I13="",0,VLOOKUP(I13,Bausteine!$A$2:$AY$76,5,FALSE))+IF(J13="",0,VLOOKUP(J13,Bausteine!$A$2:$AY$76,5,FALSE))+IF(K13="",0,VLOOKUP(K13,Bausteine!$A$2:$AY$76,5,FALSE))+IF(L13="",0,VLOOKUP(L13,Bausteine!$A$2:$AY$76,5,FALSE))+IF(AC13="",0,VLOOKUP(AC13,Bausteine!$A$2:$AY$76,5,FALSE))+IF(AF13="",0,VLOOKUP(AF13,Bausteine!$A$2:$AY$76,5,FALSE))+IF(AG13="",0,VLOOKUP(AG13,Bausteine!$A$2:$AY$76,5,FALSE))+IF(AH13="",0,VLOOKUP(AH13,Bausteine!$A$2:$AY$76,5,FALSE))+IF(AQ13="",0,VLOOKUP(AQ13,Bausteine!$A$2:$AY$76,5,FALSE))</f>
        <v/>
      </c>
      <c r="O13">
        <f>MAX(IF(C13="",0,VLOOKUP(C13,Bausteine!$A$2:$AY$76,6,FALSE)),IF(D13="",0,VLOOKUP(D13,Bausteine!$A$2:$AY$76,6,FALSE)),IF(E13="",0,VLOOKUP(E13,Bausteine!$A$2:$AY$76,6,FALSE)),IF(F13="",0,VLOOKUP(F13,Bausteine!$A$2:$AY$76,6,FALSE)),IF(G13="",0,VLOOKUP(G13,Bausteine!$A$2:$AY$76,6,FALSE)),IF(H13="",0,VLOOKUP(H13,Bausteine!$A$2:$AY$76,6,FALSE)),IF(I13="",0,VLOOKUP(I13,Bausteine!$A$2:$AY$76,6,FALSE)),IF(J13="",0,VLOOKUP(J13,Bausteine!$A$2:$AY$76,6,FALSE)),IF(K13="",0,VLOOKUP(K13,Bausteine!$A$2:$AY$76,6,FALSE)),IF(L13="",0,VLOOKUP(L13,Bausteine!$A$2:$AY$76,6,FALSE)),IF(AC13="",0,VLOOKUP(AC13,Bausteine!$A$2:$AY$76,6,FALSE)),IF(AF13="",0,VLOOKUP(AF13,Bausteine!$A$2:$AY$76,6,FALSE)),IF(AG13="",0,VLOOKUP(AG13,Bausteine!$A$2:$AY$76,6,FALSE)),IF(AH13="",0,VLOOKUP(AH13,Bausteine!$A$2:$AY$76,6,FALSE)),IF(AQ13="",0,VLOOKUP(AQ13,Bausteine!$A$2:$AY$76,6,FALSE)),AK13)</f>
        <v/>
      </c>
      <c r="P13">
        <f>IF(C13="",0,VLOOKUP(C13,Bausteine!$A$2:$AY$76,7,FALSE))*IF(F13="",0,VLOOKUP(F13,Bausteine!$A$2:$AY$76,17,FALSE))/100+IF(D13="",0,VLOOKUP(D13,Bausteine!$A$2:$AY$76,7,FALSE))+IF(E13="",0,VLOOKUP(E13,Bausteine!$A$2:$AY$76,7,FALSE))+IF(G13="",0,VLOOKUP(G13,Bausteine!$A$2:$AY$76,7,FALSE))+IF(H13="",0,VLOOKUP(H13,Bausteine!$A$2:$AY$76,7,FALSE))+IF(I13="",0,VLOOKUP(I13,Bausteine!$A$2:$AY$76,7,FALSE))+IF(J13="",0,VLOOKUP(J13,Bausteine!$A$2:$AY$76,7,FALSE))+IF(K13="",0,VLOOKUP(K13,Bausteine!$A$2:$AY$76,7,FALSE))+IF(L13="",0,VLOOKUP(L13,Bausteine!$A$2:$AY$76,7,FALSE))+IF(AC13="",0,VLOOKUP(AC13,Bausteine!$A$2:$AY$76,7,FALSE))+IF(AF13="",0,VLOOKUP(AF13,Bausteine!$A$2:$AY$76,7,FALSE))+IF(AG13="",0,VLOOKUP(AG13,Bausteine!$A$2:$AY$76,7,FALSE))+IF(AH13="",0,VLOOKUP(AH13,Bausteine!$A$2:$AY$76,7,FALSE))+IF(AQ13="",0,VLOOKUP(AQ13,Bausteine!$A$2:$AY$76,7,FALSE))+AI13</f>
        <v/>
      </c>
      <c r="Q13">
        <f>N13*Parameter!$B$2</f>
        <v/>
      </c>
      <c r="R13">
        <f>AE13-Q13</f>
        <v/>
      </c>
      <c r="S13">
        <f>IF(C13="",0,VLOOKUP(C13,Bausteine!$A$2:$AY$76,13,FALSE))*IF(F13="",0,VLOOKUP(F13,Bausteine!$A$2:$AY$76,16,FALSE))/100</f>
        <v/>
      </c>
      <c r="T13">
        <f>IF(C13="",0,VLOOKUP(C13,Bausteine!$A$2:$AY$76,8,FALSE))*IF(F13="",0,VLOOKUP(F13,Bausteine!$A$2:$AY$76,15,FALSE))/100+IF(D13="",0,VLOOKUP(D13,Bausteine!$A$2:$AY$76,8,FALSE))+IF(E13="",0,VLOOKUP(E13,Bausteine!$A$2:$AY$76,8,FALSE))+IF(G13="",0,VLOOKUP(G13,Bausteine!$A$2:$AY$76,8,FALSE))+IF(H13="",0,VLOOKUP(H13,Bausteine!$A$2:$AY$76,8,FALSE))+IF(I13="",0,VLOOKUP(I13,Bausteine!$A$2:$AY$76,8,FALSE))+IF(J13="",0,VLOOKUP(J13,Bausteine!$A$2:$AY$76,8,FALSE))+IF(K13="",0,VLOOKUP(K13,Bausteine!$A$2:$AY$76,8,FALSE))+IF(L13="",0,VLOOKUP(L13,Bausteine!$A$2:$AY$76,8,FALSE))+IF(AC13="",0,VLOOKUP(AC13,Bausteine!$A$2:$AY$76,8,FALSE))+IF(AF13="",0,VLOOKUP(AF13,Bausteine!$A$2:$AY$76,8,FALSE))+IF(AG13="",0,VLOOKUP(AG13,Bausteine!$A$2:$AY$76,8,FALSE))+IF(AH13="",0,VLOOKUP(AH13,Bausteine!$A$2:$AY$76,8,FALSE))+IF(AQ13="",0,VLOOKUP(AQ13,Bausteine!$A$2:$AY$76,8,FALSE))+AJ13</f>
        <v/>
      </c>
      <c r="U13">
        <f>IF(C13="",0,VLOOKUP(C13,Bausteine!$A$2:$AY$76,9,FALSE))+IF(D13="",0,VLOOKUP(D13,Bausteine!$A$2:$AY$76,9,FALSE))+IF(E13="",0,VLOOKUP(E13,Bausteine!$A$2:$AY$76,9,FALSE))+IF(F13="",0,VLOOKUP(F13,Bausteine!$A$2:$AY$76,9,FALSE))+IF(G13="",0,VLOOKUP(G13,Bausteine!$A$2:$AY$76,9,FALSE))+IF(H13="",0,VLOOKUP(H13,Bausteine!$A$2:$AY$76,9,FALSE))+IF(I13="",0,VLOOKUP(I13,Bausteine!$A$2:$AY$76,9,FALSE))+IF(J13="",0,VLOOKUP(J13,Bausteine!$A$2:$AY$76,9,FALSE))+IF(K13="",0,VLOOKUP(K13,Bausteine!$A$2:$AY$76,9,FALSE))+IF(L13="",0,VLOOKUP(L13,Bausteine!$A$2:$AY$76,9,FALSE))+IF(AC13="",0,VLOOKUP(AC13,Bausteine!$A$2:$AY$76,9,FALSE))+IF(AF13="",0,VLOOKUP(AF13,Bausteine!$A$2:$AY$76,9,FALSE))+IF(AG13="",0,VLOOKUP(AG13,Bausteine!$A$2:$AY$76,9,FALSE))+IF(AH13="",0,VLOOKUP(AH13,Bausteine!$A$2:$AY$76,9,FALSE))+IF(AQ13="",0,VLOOKUP(AQ13,Bausteine!$A$2:$AY$76,9,FALSE))</f>
        <v/>
      </c>
      <c r="V13">
        <f>IF(D13="",0,VLOOKUP(D13,Bausteine!$A$2:$AY$76,10,FALSE))-U13/IF(E13="",0,VLOOKUP(E13,Bausteine!$A$2:$AY$76,11,FALSE))</f>
        <v/>
      </c>
      <c r="W13">
        <f>IF(Y13&lt;&gt;"OK","",ROUND(MIN(IF(C13="",0,VLOOKUP(C13,Bausteine!$A$2:$AY$76,21,FALSE)),IF(AQ13="",0,VLOOKUP(AQ13,Bausteine!$A$2:$AY$76,21,FALSE)),IF(C13="",0,VLOOKUP(C13,Bausteine!$A$2:$AY$76,20,FALSE))*(V13/T13/(IF(C13="",0,VLOOKUP(C13,Bausteine!$A$2:$AY$76,19,FALSE))/IF(C13="",0,VLOOKUP(C13,Bausteine!$A$2:$AY$76,18,FALSE))))^Parameter!$B$3),0))</f>
        <v/>
      </c>
      <c r="X13">
        <f>IF(F13="",0,VLOOKUP(F13,Bausteine!$A$2:$AY$76,14,FALSE))</f>
        <v/>
      </c>
      <c r="Y13">
        <f>IFERROR(IF(OR(AD13&lt;=0,AD13&gt;1,R13&lt;=0,T13&lt;=0,V13&lt;=0,U13&gt;IF(E13="",0,VLOOKUP(E13,Bausteine!$A$2:$AY$76,12,FALSE)),T13&gt;MIN(IF(C13="",0,VLOOKUP(C13,Bausteine!$A$2:$AY$76,22,FALSE)),IF(AQ13="",0,VLOOKUP(AQ13,Bausteine!$A$2:$AY$76,22,FALSE))),IF(E13="",0,VLOOKUP(E13,Bausteine!$A$2:$AY$76,11,FALSE))&lt;=0,IF(E13="",0,VLOOKUP(E13,Bausteine!$A$2:$AY$76,11,FALSE))&gt;1),"UNGUELTIG","OK"),"FEHLER")</f>
        <v/>
      </c>
      <c r="Z13" t="n">
        <v>550</v>
      </c>
      <c r="AA13" t="n">
        <v>56</v>
      </c>
      <c r="AB13" t="inlineStr">
        <is>
          <t>Fixed AttackFrontal, lighttracked and Light armor. ArtilleryExplode death behavior and doctrine modifiers remain template integration work.</t>
        </is>
      </c>
      <c r="AC13" t="inlineStr"/>
      <c r="AD13">
        <f>IF(AC13="",1,IF(AC13="",0,VLOOKUP(AC13,Bausteine!$A$2:$AY$76,37,FALSE))/100)</f>
        <v/>
      </c>
      <c r="AE13">
        <f>P13*AD13</f>
        <v/>
      </c>
      <c r="AF13" t="inlineStr"/>
      <c r="AG13" t="inlineStr"/>
      <c r="AH13" t="inlineStr"/>
      <c r="AI13">
        <f>SUMIF(Startbesatzung!$A$2:$A$7,A13,Startbesatzung!$D$2:$D$7)</f>
        <v/>
      </c>
      <c r="AJ13">
        <f>SUMIF(Startbesatzung!$A$2:$A$7,A13,Startbesatzung!$E$2:$E$7)</f>
        <v/>
      </c>
      <c r="AK13">
        <f>MAX(0,IF(Startbesatzung!A2=A13,Startbesatzung!G2,0),IF(Startbesatzung!A3=A13,Startbesatzung!G3,0),IF(Startbesatzung!A4=A13,Startbesatzung!G4,0),IF(Startbesatzung!A5=A13,Startbesatzung!G5,0),IF(Startbesatzung!A6=A13,Startbesatzung!G6,0),IF(Startbesatzung!A7=A13,Startbesatzung!G7,0))</f>
        <v/>
      </c>
      <c r="AL13">
        <f>IF(AF13="","",IF(IF(AH13="",0,VLOOKUP(AH13,Bausteine!$A$2:$AY$76,38,FALSE))&gt;0,IF(AH13="",0,VLOOKUP(AH13,Bausteine!$A$2:$AY$76,38,FALSE)),IF(AG13="",0,VLOOKUP(AG13,Bausteine!$A$2:$AY$76,28,FALSE))))</f>
        <v/>
      </c>
      <c r="AM13">
        <f>IF(AF13="","",IF(AG13="",0,VLOOKUP(AG13,Bausteine!$A$2:$AY$76,44,FALSE)))</f>
        <v/>
      </c>
      <c r="AN13">
        <f>IF(AF13="","",IF(AF13="",0,VLOOKUP(AF13,Bausteine!$A$2:$AY$76,27,FALSE)))</f>
        <v/>
      </c>
      <c r="AO13">
        <f>IF(AF13="","",IF(AF13="",0,VLOOKUP(AF13,Bausteine!$A$2:$AY$76,25,FALSE)))</f>
        <v/>
      </c>
      <c r="AP13">
        <f>IF(AF13="","",IF(AH13="",0,VLOOKUP(AH13,Bausteine!$A$2:$AY$76,29,FALSE)))</f>
        <v/>
      </c>
      <c r="AQ13" t="inlineStr">
        <is>
          <t>tracks-light-artillery</t>
        </is>
      </c>
      <c r="AR13">
        <f>IF(AQ13="",0,VLOOKUP(AQ13,Bausteine!$A$2:$AY$76,48,FALSE))</f>
        <v/>
      </c>
      <c r="AS13">
        <f>MIN(IF(AQ13="",0,VLOOKUP(AQ13,Bausteine!$A$2:$AY$76,50,FALSE)),IF(C13="",0,VLOOKUP(C13,Bausteine!$A$2:$AY$76,51,FALSE)))</f>
        <v/>
      </c>
    </row>
    <row r="14">
      <c r="A14" t="inlineStr">
        <is>
          <t>Overlord Mortar Roof / draft</t>
        </is>
      </c>
      <c r="B14" t="inlineStr">
        <is>
          <t>china</t>
        </is>
      </c>
      <c r="C14" t="inlineStr">
        <is>
          <t>overlord-chassis</t>
        </is>
      </c>
      <c r="D14" t="inlineStr">
        <is>
          <t>diesel-heavy</t>
        </is>
      </c>
      <c r="E14" t="inlineStr">
        <is>
          <t>baseline-generator</t>
        </is>
      </c>
      <c r="F14" t="inlineStr">
        <is>
          <t>heavy</t>
        </is>
      </c>
      <c r="G14" t="inlineStr">
        <is>
          <t>heavy-twin-turret</t>
        </is>
      </c>
      <c r="H14" t="inlineStr">
        <is>
          <t>overlord-cannon</t>
        </is>
      </c>
      <c r="I14" t="inlineStr">
        <is>
          <t>heavy-shell</t>
        </is>
      </c>
      <c r="J14" t="inlineStr"/>
      <c r="K14" t="inlineStr"/>
      <c r="L14" t="inlineStr"/>
      <c r="M14">
        <f>IF(C14="",0,VLOOKUP(C14,Bausteine!$A$2:$AY$76,4,FALSE))+IF(D14="",0,VLOOKUP(D14,Bausteine!$A$2:$AY$76,4,FALSE))+IF(E14="",0,VLOOKUP(E14,Bausteine!$A$2:$AY$76,4,FALSE))+IF(F14="",0,VLOOKUP(F14,Bausteine!$A$2:$AY$76,4,FALSE))+IF(G14="",0,VLOOKUP(G14,Bausteine!$A$2:$AY$76,4,FALSE))+IF(H14="",0,VLOOKUP(H14,Bausteine!$A$2:$AY$76,4,FALSE))+IF(I14="",0,VLOOKUP(I14,Bausteine!$A$2:$AY$76,4,FALSE))+IF(J14="",0,VLOOKUP(J14,Bausteine!$A$2:$AY$76,4,FALSE))+IF(K14="",0,VLOOKUP(K14,Bausteine!$A$2:$AY$76,4,FALSE))+IF(L14="",0,VLOOKUP(L14,Bausteine!$A$2:$AY$76,4,FALSE))+IF(AC14="",0,VLOOKUP(AC14,Bausteine!$A$2:$AY$76,4,FALSE))+IF(AF14="",0,VLOOKUP(AF14,Bausteine!$A$2:$AY$76,4,FALSE))+IF(AG14="",0,VLOOKUP(AG14,Bausteine!$A$2:$AY$76,4,FALSE))+IF(AH14="",0,VLOOKUP(AH14,Bausteine!$A$2:$AY$76,4,FALSE))+IF(AQ14="",0,VLOOKUP(AQ14,Bausteine!$A$2:$AY$76,4,FALSE))</f>
        <v/>
      </c>
      <c r="N14">
        <f>IF(C14="",0,VLOOKUP(C14,Bausteine!$A$2:$AY$76,5,FALSE))+IF(D14="",0,VLOOKUP(D14,Bausteine!$A$2:$AY$76,5,FALSE))+IF(E14="",0,VLOOKUP(E14,Bausteine!$A$2:$AY$76,5,FALSE))+IF(F14="",0,VLOOKUP(F14,Bausteine!$A$2:$AY$76,5,FALSE))+IF(G14="",0,VLOOKUP(G14,Bausteine!$A$2:$AY$76,5,FALSE))+IF(H14="",0,VLOOKUP(H14,Bausteine!$A$2:$AY$76,5,FALSE))+IF(I14="",0,VLOOKUP(I14,Bausteine!$A$2:$AY$76,5,FALSE))+IF(J14="",0,VLOOKUP(J14,Bausteine!$A$2:$AY$76,5,FALSE))+IF(K14="",0,VLOOKUP(K14,Bausteine!$A$2:$AY$76,5,FALSE))+IF(L14="",0,VLOOKUP(L14,Bausteine!$A$2:$AY$76,5,FALSE))+IF(AC14="",0,VLOOKUP(AC14,Bausteine!$A$2:$AY$76,5,FALSE))+IF(AF14="",0,VLOOKUP(AF14,Bausteine!$A$2:$AY$76,5,FALSE))+IF(AG14="",0,VLOOKUP(AG14,Bausteine!$A$2:$AY$76,5,FALSE))+IF(AH14="",0,VLOOKUP(AH14,Bausteine!$A$2:$AY$76,5,FALSE))+IF(AQ14="",0,VLOOKUP(AQ14,Bausteine!$A$2:$AY$76,5,FALSE))</f>
        <v/>
      </c>
      <c r="O14">
        <f>MAX(IF(C14="",0,VLOOKUP(C14,Bausteine!$A$2:$AY$76,6,FALSE)),IF(D14="",0,VLOOKUP(D14,Bausteine!$A$2:$AY$76,6,FALSE)),IF(E14="",0,VLOOKUP(E14,Bausteine!$A$2:$AY$76,6,FALSE)),IF(F14="",0,VLOOKUP(F14,Bausteine!$A$2:$AY$76,6,FALSE)),IF(G14="",0,VLOOKUP(G14,Bausteine!$A$2:$AY$76,6,FALSE)),IF(H14="",0,VLOOKUP(H14,Bausteine!$A$2:$AY$76,6,FALSE)),IF(I14="",0,VLOOKUP(I14,Bausteine!$A$2:$AY$76,6,FALSE)),IF(J14="",0,VLOOKUP(J14,Bausteine!$A$2:$AY$76,6,FALSE)),IF(K14="",0,VLOOKUP(K14,Bausteine!$A$2:$AY$76,6,FALSE)),IF(L14="",0,VLOOKUP(L14,Bausteine!$A$2:$AY$76,6,FALSE)),IF(AC14="",0,VLOOKUP(AC14,Bausteine!$A$2:$AY$76,6,FALSE)),IF(AF14="",0,VLOOKUP(AF14,Bausteine!$A$2:$AY$76,6,FALSE)),IF(AG14="",0,VLOOKUP(AG14,Bausteine!$A$2:$AY$76,6,FALSE)),IF(AH14="",0,VLOOKUP(AH14,Bausteine!$A$2:$AY$76,6,FALSE)),IF(AQ14="",0,VLOOKUP(AQ14,Bausteine!$A$2:$AY$76,6,FALSE)),AK14)</f>
        <v/>
      </c>
      <c r="P14">
        <f>IF(C14="",0,VLOOKUP(C14,Bausteine!$A$2:$AY$76,7,FALSE))*IF(F14="",0,VLOOKUP(F14,Bausteine!$A$2:$AY$76,17,FALSE))/100+IF(D14="",0,VLOOKUP(D14,Bausteine!$A$2:$AY$76,7,FALSE))+IF(E14="",0,VLOOKUP(E14,Bausteine!$A$2:$AY$76,7,FALSE))+IF(G14="",0,VLOOKUP(G14,Bausteine!$A$2:$AY$76,7,FALSE))+IF(H14="",0,VLOOKUP(H14,Bausteine!$A$2:$AY$76,7,FALSE))+IF(I14="",0,VLOOKUP(I14,Bausteine!$A$2:$AY$76,7,FALSE))+IF(J14="",0,VLOOKUP(J14,Bausteine!$A$2:$AY$76,7,FALSE))+IF(K14="",0,VLOOKUP(K14,Bausteine!$A$2:$AY$76,7,FALSE))+IF(L14="",0,VLOOKUP(L14,Bausteine!$A$2:$AY$76,7,FALSE))+IF(AC14="",0,VLOOKUP(AC14,Bausteine!$A$2:$AY$76,7,FALSE))+IF(AF14="",0,VLOOKUP(AF14,Bausteine!$A$2:$AY$76,7,FALSE))+IF(AG14="",0,VLOOKUP(AG14,Bausteine!$A$2:$AY$76,7,FALSE))+IF(AH14="",0,VLOOKUP(AH14,Bausteine!$A$2:$AY$76,7,FALSE))+IF(AQ14="",0,VLOOKUP(AQ14,Bausteine!$A$2:$AY$76,7,FALSE))+AI14</f>
        <v/>
      </c>
      <c r="Q14">
        <f>N14*Parameter!$B$2</f>
        <v/>
      </c>
      <c r="R14">
        <f>AE14-Q14</f>
        <v/>
      </c>
      <c r="S14">
        <f>IF(C14="",0,VLOOKUP(C14,Bausteine!$A$2:$AY$76,13,FALSE))*IF(F14="",0,VLOOKUP(F14,Bausteine!$A$2:$AY$76,16,FALSE))/100</f>
        <v/>
      </c>
      <c r="T14">
        <f>IF(C14="",0,VLOOKUP(C14,Bausteine!$A$2:$AY$76,8,FALSE))*IF(F14="",0,VLOOKUP(F14,Bausteine!$A$2:$AY$76,15,FALSE))/100+IF(D14="",0,VLOOKUP(D14,Bausteine!$A$2:$AY$76,8,FALSE))+IF(E14="",0,VLOOKUP(E14,Bausteine!$A$2:$AY$76,8,FALSE))+IF(G14="",0,VLOOKUP(G14,Bausteine!$A$2:$AY$76,8,FALSE))+IF(H14="",0,VLOOKUP(H14,Bausteine!$A$2:$AY$76,8,FALSE))+IF(I14="",0,VLOOKUP(I14,Bausteine!$A$2:$AY$76,8,FALSE))+IF(J14="",0,VLOOKUP(J14,Bausteine!$A$2:$AY$76,8,FALSE))+IF(K14="",0,VLOOKUP(K14,Bausteine!$A$2:$AY$76,8,FALSE))+IF(L14="",0,VLOOKUP(L14,Bausteine!$A$2:$AY$76,8,FALSE))+IF(AC14="",0,VLOOKUP(AC14,Bausteine!$A$2:$AY$76,8,FALSE))+IF(AF14="",0,VLOOKUP(AF14,Bausteine!$A$2:$AY$76,8,FALSE))+IF(AG14="",0,VLOOKUP(AG14,Bausteine!$A$2:$AY$76,8,FALSE))+IF(AH14="",0,VLOOKUP(AH14,Bausteine!$A$2:$AY$76,8,FALSE))+IF(AQ14="",0,VLOOKUP(AQ14,Bausteine!$A$2:$AY$76,8,FALSE))+AJ14</f>
        <v/>
      </c>
      <c r="U14">
        <f>IF(C14="",0,VLOOKUP(C14,Bausteine!$A$2:$AY$76,9,FALSE))+IF(D14="",0,VLOOKUP(D14,Bausteine!$A$2:$AY$76,9,FALSE))+IF(E14="",0,VLOOKUP(E14,Bausteine!$A$2:$AY$76,9,FALSE))+IF(F14="",0,VLOOKUP(F14,Bausteine!$A$2:$AY$76,9,FALSE))+IF(G14="",0,VLOOKUP(G14,Bausteine!$A$2:$AY$76,9,FALSE))+IF(H14="",0,VLOOKUP(H14,Bausteine!$A$2:$AY$76,9,FALSE))+IF(I14="",0,VLOOKUP(I14,Bausteine!$A$2:$AY$76,9,FALSE))+IF(J14="",0,VLOOKUP(J14,Bausteine!$A$2:$AY$76,9,FALSE))+IF(K14="",0,VLOOKUP(K14,Bausteine!$A$2:$AY$76,9,FALSE))+IF(L14="",0,VLOOKUP(L14,Bausteine!$A$2:$AY$76,9,FALSE))+IF(AC14="",0,VLOOKUP(AC14,Bausteine!$A$2:$AY$76,9,FALSE))+IF(AF14="",0,VLOOKUP(AF14,Bausteine!$A$2:$AY$76,9,FALSE))+IF(AG14="",0,VLOOKUP(AG14,Bausteine!$A$2:$AY$76,9,FALSE))+IF(AH14="",0,VLOOKUP(AH14,Bausteine!$A$2:$AY$76,9,FALSE))+IF(AQ14="",0,VLOOKUP(AQ14,Bausteine!$A$2:$AY$76,9,FALSE))</f>
        <v/>
      </c>
      <c r="V14">
        <f>IF(D14="",0,VLOOKUP(D14,Bausteine!$A$2:$AY$76,10,FALSE))-U14/IF(E14="",0,VLOOKUP(E14,Bausteine!$A$2:$AY$76,11,FALSE))</f>
        <v/>
      </c>
      <c r="W14">
        <f>IF(Y14&lt;&gt;"OK","",ROUND(MIN(IF(C14="",0,VLOOKUP(C14,Bausteine!$A$2:$AY$76,21,FALSE)),IF(AQ14="",0,VLOOKUP(AQ14,Bausteine!$A$2:$AY$76,21,FALSE)),IF(C14="",0,VLOOKUP(C14,Bausteine!$A$2:$AY$76,20,FALSE))*(V14/T14/(IF(C14="",0,VLOOKUP(C14,Bausteine!$A$2:$AY$76,19,FALSE))/IF(C14="",0,VLOOKUP(C14,Bausteine!$A$2:$AY$76,18,FALSE))))^Parameter!$B$3),0))</f>
        <v/>
      </c>
      <c r="X14">
        <f>IF(F14="",0,VLOOKUP(F14,Bausteine!$A$2:$AY$76,14,FALSE))</f>
        <v/>
      </c>
      <c r="Y14">
        <f>IFERROR(IF(OR(AD14&lt;=0,AD14&gt;1,R14&lt;=0,T14&lt;=0,V14&lt;=0,U14&gt;IF(E14="",0,VLOOKUP(E14,Bausteine!$A$2:$AY$76,12,FALSE)),T14&gt;MIN(IF(C14="",0,VLOOKUP(C14,Bausteine!$A$2:$AY$76,22,FALSE)),IF(AQ14="",0,VLOOKUP(AQ14,Bausteine!$A$2:$AY$76,22,FALSE))),IF(E14="",0,VLOOKUP(E14,Bausteine!$A$2:$AY$76,11,FALSE))&lt;=0,IF(E14="",0,VLOOKUP(E14,Bausteine!$A$2:$AY$76,11,FALSE))&gt;1),"UNGUELTIG","OK"),"FEHLER")</f>
        <v/>
      </c>
      <c r="Z14" t="n">
        <v>2650</v>
      </c>
      <c r="AA14" t="n">
        <v>54</v>
      </c>
      <c r="AB14" t="inlineStr">
        <is>
          <t>OFFLINE DRAFT: existing artytur.shp, mount on Overlord not live-tested. Proposed 650-credit additional assembly, no CP. Main cannon retained. No legacy reference target.</t>
        </is>
      </c>
      <c r="AC14" t="inlineStr"/>
      <c r="AD14">
        <f>IF(AC14="",1,IF(AC14="",0,VLOOKUP(AC14,Bausteine!$A$2:$AY$76,37,FALSE))/100)</f>
        <v/>
      </c>
      <c r="AE14">
        <f>P14*AD14</f>
        <v/>
      </c>
      <c r="AF14" t="inlineStr">
        <is>
          <t>mortar-roof-carrier</t>
        </is>
      </c>
      <c r="AG14" t="inlineStr">
        <is>
          <t>roof-mortar</t>
        </is>
      </c>
      <c r="AH14" t="inlineStr">
        <is>
          <t>mortar-he</t>
        </is>
      </c>
      <c r="AI14">
        <f>SUMIF(Startbesatzung!$A$2:$A$7,A14,Startbesatzung!$D$2:$D$7)</f>
        <v/>
      </c>
      <c r="AJ14">
        <f>SUMIF(Startbesatzung!$A$2:$A$7,A14,Startbesatzung!$E$2:$E$7)</f>
        <v/>
      </c>
      <c r="AK14">
        <f>MAX(0,IF(Startbesatzung!A2=A14,Startbesatzung!G2,0),IF(Startbesatzung!A3=A14,Startbesatzung!G3,0),IF(Startbesatzung!A4=A14,Startbesatzung!G4,0),IF(Startbesatzung!A5=A14,Startbesatzung!G5,0),IF(Startbesatzung!A6=A14,Startbesatzung!G6,0),IF(Startbesatzung!A7=A14,Startbesatzung!G7,0))</f>
        <v/>
      </c>
      <c r="AL14">
        <f>IF(AF14="","",IF(IF(AH14="",0,VLOOKUP(AH14,Bausteine!$A$2:$AY$76,38,FALSE))&gt;0,IF(AH14="",0,VLOOKUP(AH14,Bausteine!$A$2:$AY$76,38,FALSE)),IF(AG14="",0,VLOOKUP(AG14,Bausteine!$A$2:$AY$76,28,FALSE))))</f>
        <v/>
      </c>
      <c r="AM14">
        <f>IF(AF14="","",IF(AG14="",0,VLOOKUP(AG14,Bausteine!$A$2:$AY$76,44,FALSE)))</f>
        <v/>
      </c>
      <c r="AN14">
        <f>IF(AF14="","",IF(AF14="",0,VLOOKUP(AF14,Bausteine!$A$2:$AY$76,27,FALSE)))</f>
        <v/>
      </c>
      <c r="AO14">
        <f>IF(AF14="","",IF(AF14="",0,VLOOKUP(AF14,Bausteine!$A$2:$AY$76,25,FALSE)))</f>
        <v/>
      </c>
      <c r="AP14">
        <f>IF(AF14="","",IF(AH14="",0,VLOOKUP(AH14,Bausteine!$A$2:$AY$76,29,FALSE)))</f>
        <v/>
      </c>
      <c r="AQ14" t="inlineStr">
        <is>
          <t>tracks-superheavy</t>
        </is>
      </c>
      <c r="AR14">
        <f>IF(AQ14="",0,VLOOKUP(AQ14,Bausteine!$A$2:$AY$76,48,FALSE))</f>
        <v/>
      </c>
      <c r="AS14">
        <f>MIN(IF(AQ14="",0,VLOOKUP(AQ14,Bausteine!$A$2:$AY$76,50,FALSE)),IF(C14="",0,VLOOKUP(C14,Bausteine!$A$2:$AY$76,51,FALSE)))</f>
        <v/>
      </c>
    </row>
    <row r="15">
      <c r="A15" t="inlineStr">
        <is>
          <t>Overlord Mortar Roof PDL / draft</t>
        </is>
      </c>
      <c r="B15" t="inlineStr">
        <is>
          <t>china</t>
        </is>
      </c>
      <c r="C15" t="inlineStr">
        <is>
          <t>overlord-chassis</t>
        </is>
      </c>
      <c r="D15" t="inlineStr">
        <is>
          <t>diesel-heavy-boost</t>
        </is>
      </c>
      <c r="E15" t="inlineStr">
        <is>
          <t>efficient-generator</t>
        </is>
      </c>
      <c r="F15" t="inlineStr">
        <is>
          <t>heavy</t>
        </is>
      </c>
      <c r="G15" t="inlineStr">
        <is>
          <t>heavy-twin-turret</t>
        </is>
      </c>
      <c r="H15" t="inlineStr">
        <is>
          <t>overlord-cannon</t>
        </is>
      </c>
      <c r="I15" t="inlineStr">
        <is>
          <t>heavy-shell</t>
        </is>
      </c>
      <c r="J15" t="inlineStr">
        <is>
          <t>pdl</t>
        </is>
      </c>
      <c r="K15" t="inlineStr"/>
      <c r="L15" t="inlineStr"/>
      <c r="M15">
        <f>IF(C15="",0,VLOOKUP(C15,Bausteine!$A$2:$AY$76,4,FALSE))+IF(D15="",0,VLOOKUP(D15,Bausteine!$A$2:$AY$76,4,FALSE))+IF(E15="",0,VLOOKUP(E15,Bausteine!$A$2:$AY$76,4,FALSE))+IF(F15="",0,VLOOKUP(F15,Bausteine!$A$2:$AY$76,4,FALSE))+IF(G15="",0,VLOOKUP(G15,Bausteine!$A$2:$AY$76,4,FALSE))+IF(H15="",0,VLOOKUP(H15,Bausteine!$A$2:$AY$76,4,FALSE))+IF(I15="",0,VLOOKUP(I15,Bausteine!$A$2:$AY$76,4,FALSE))+IF(J15="",0,VLOOKUP(J15,Bausteine!$A$2:$AY$76,4,FALSE))+IF(K15="",0,VLOOKUP(K15,Bausteine!$A$2:$AY$76,4,FALSE))+IF(L15="",0,VLOOKUP(L15,Bausteine!$A$2:$AY$76,4,FALSE))+IF(AC15="",0,VLOOKUP(AC15,Bausteine!$A$2:$AY$76,4,FALSE))+IF(AF15="",0,VLOOKUP(AF15,Bausteine!$A$2:$AY$76,4,FALSE))+IF(AG15="",0,VLOOKUP(AG15,Bausteine!$A$2:$AY$76,4,FALSE))+IF(AH15="",0,VLOOKUP(AH15,Bausteine!$A$2:$AY$76,4,FALSE))+IF(AQ15="",0,VLOOKUP(AQ15,Bausteine!$A$2:$AY$76,4,FALSE))</f>
        <v/>
      </c>
      <c r="N15">
        <f>IF(C15="",0,VLOOKUP(C15,Bausteine!$A$2:$AY$76,5,FALSE))+IF(D15="",0,VLOOKUP(D15,Bausteine!$A$2:$AY$76,5,FALSE))+IF(E15="",0,VLOOKUP(E15,Bausteine!$A$2:$AY$76,5,FALSE))+IF(F15="",0,VLOOKUP(F15,Bausteine!$A$2:$AY$76,5,FALSE))+IF(G15="",0,VLOOKUP(G15,Bausteine!$A$2:$AY$76,5,FALSE))+IF(H15="",0,VLOOKUP(H15,Bausteine!$A$2:$AY$76,5,FALSE))+IF(I15="",0,VLOOKUP(I15,Bausteine!$A$2:$AY$76,5,FALSE))+IF(J15="",0,VLOOKUP(J15,Bausteine!$A$2:$AY$76,5,FALSE))+IF(K15="",0,VLOOKUP(K15,Bausteine!$A$2:$AY$76,5,FALSE))+IF(L15="",0,VLOOKUP(L15,Bausteine!$A$2:$AY$76,5,FALSE))+IF(AC15="",0,VLOOKUP(AC15,Bausteine!$A$2:$AY$76,5,FALSE))+IF(AF15="",0,VLOOKUP(AF15,Bausteine!$A$2:$AY$76,5,FALSE))+IF(AG15="",0,VLOOKUP(AG15,Bausteine!$A$2:$AY$76,5,FALSE))+IF(AH15="",0,VLOOKUP(AH15,Bausteine!$A$2:$AY$76,5,FALSE))+IF(AQ15="",0,VLOOKUP(AQ15,Bausteine!$A$2:$AY$76,5,FALSE))</f>
        <v/>
      </c>
      <c r="O15">
        <f>MAX(IF(C15="",0,VLOOKUP(C15,Bausteine!$A$2:$AY$76,6,FALSE)),IF(D15="",0,VLOOKUP(D15,Bausteine!$A$2:$AY$76,6,FALSE)),IF(E15="",0,VLOOKUP(E15,Bausteine!$A$2:$AY$76,6,FALSE)),IF(F15="",0,VLOOKUP(F15,Bausteine!$A$2:$AY$76,6,FALSE)),IF(G15="",0,VLOOKUP(G15,Bausteine!$A$2:$AY$76,6,FALSE)),IF(H15="",0,VLOOKUP(H15,Bausteine!$A$2:$AY$76,6,FALSE)),IF(I15="",0,VLOOKUP(I15,Bausteine!$A$2:$AY$76,6,FALSE)),IF(J15="",0,VLOOKUP(J15,Bausteine!$A$2:$AY$76,6,FALSE)),IF(K15="",0,VLOOKUP(K15,Bausteine!$A$2:$AY$76,6,FALSE)),IF(L15="",0,VLOOKUP(L15,Bausteine!$A$2:$AY$76,6,FALSE)),IF(AC15="",0,VLOOKUP(AC15,Bausteine!$A$2:$AY$76,6,FALSE)),IF(AF15="",0,VLOOKUP(AF15,Bausteine!$A$2:$AY$76,6,FALSE)),IF(AG15="",0,VLOOKUP(AG15,Bausteine!$A$2:$AY$76,6,FALSE)),IF(AH15="",0,VLOOKUP(AH15,Bausteine!$A$2:$AY$76,6,FALSE)),IF(AQ15="",0,VLOOKUP(AQ15,Bausteine!$A$2:$AY$76,6,FALSE)),AK15)</f>
        <v/>
      </c>
      <c r="P15">
        <f>IF(C15="",0,VLOOKUP(C15,Bausteine!$A$2:$AY$76,7,FALSE))*IF(F15="",0,VLOOKUP(F15,Bausteine!$A$2:$AY$76,17,FALSE))/100+IF(D15="",0,VLOOKUP(D15,Bausteine!$A$2:$AY$76,7,FALSE))+IF(E15="",0,VLOOKUP(E15,Bausteine!$A$2:$AY$76,7,FALSE))+IF(G15="",0,VLOOKUP(G15,Bausteine!$A$2:$AY$76,7,FALSE))+IF(H15="",0,VLOOKUP(H15,Bausteine!$A$2:$AY$76,7,FALSE))+IF(I15="",0,VLOOKUP(I15,Bausteine!$A$2:$AY$76,7,FALSE))+IF(J15="",0,VLOOKUP(J15,Bausteine!$A$2:$AY$76,7,FALSE))+IF(K15="",0,VLOOKUP(K15,Bausteine!$A$2:$AY$76,7,FALSE))+IF(L15="",0,VLOOKUP(L15,Bausteine!$A$2:$AY$76,7,FALSE))+IF(AC15="",0,VLOOKUP(AC15,Bausteine!$A$2:$AY$76,7,FALSE))+IF(AF15="",0,VLOOKUP(AF15,Bausteine!$A$2:$AY$76,7,FALSE))+IF(AG15="",0,VLOOKUP(AG15,Bausteine!$A$2:$AY$76,7,FALSE))+IF(AH15="",0,VLOOKUP(AH15,Bausteine!$A$2:$AY$76,7,FALSE))+IF(AQ15="",0,VLOOKUP(AQ15,Bausteine!$A$2:$AY$76,7,FALSE))+AI15</f>
        <v/>
      </c>
      <c r="Q15">
        <f>N15*Parameter!$B$2</f>
        <v/>
      </c>
      <c r="R15">
        <f>AE15-Q15</f>
        <v/>
      </c>
      <c r="S15">
        <f>IF(C15="",0,VLOOKUP(C15,Bausteine!$A$2:$AY$76,13,FALSE))*IF(F15="",0,VLOOKUP(F15,Bausteine!$A$2:$AY$76,16,FALSE))/100</f>
        <v/>
      </c>
      <c r="T15">
        <f>IF(C15="",0,VLOOKUP(C15,Bausteine!$A$2:$AY$76,8,FALSE))*IF(F15="",0,VLOOKUP(F15,Bausteine!$A$2:$AY$76,15,FALSE))/100+IF(D15="",0,VLOOKUP(D15,Bausteine!$A$2:$AY$76,8,FALSE))+IF(E15="",0,VLOOKUP(E15,Bausteine!$A$2:$AY$76,8,FALSE))+IF(G15="",0,VLOOKUP(G15,Bausteine!$A$2:$AY$76,8,FALSE))+IF(H15="",0,VLOOKUP(H15,Bausteine!$A$2:$AY$76,8,FALSE))+IF(I15="",0,VLOOKUP(I15,Bausteine!$A$2:$AY$76,8,FALSE))+IF(J15="",0,VLOOKUP(J15,Bausteine!$A$2:$AY$76,8,FALSE))+IF(K15="",0,VLOOKUP(K15,Bausteine!$A$2:$AY$76,8,FALSE))+IF(L15="",0,VLOOKUP(L15,Bausteine!$A$2:$AY$76,8,FALSE))+IF(AC15="",0,VLOOKUP(AC15,Bausteine!$A$2:$AY$76,8,FALSE))+IF(AF15="",0,VLOOKUP(AF15,Bausteine!$A$2:$AY$76,8,FALSE))+IF(AG15="",0,VLOOKUP(AG15,Bausteine!$A$2:$AY$76,8,FALSE))+IF(AH15="",0,VLOOKUP(AH15,Bausteine!$A$2:$AY$76,8,FALSE))+IF(AQ15="",0,VLOOKUP(AQ15,Bausteine!$A$2:$AY$76,8,FALSE))+AJ15</f>
        <v/>
      </c>
      <c r="U15">
        <f>IF(C15="",0,VLOOKUP(C15,Bausteine!$A$2:$AY$76,9,FALSE))+IF(D15="",0,VLOOKUP(D15,Bausteine!$A$2:$AY$76,9,FALSE))+IF(E15="",0,VLOOKUP(E15,Bausteine!$A$2:$AY$76,9,FALSE))+IF(F15="",0,VLOOKUP(F15,Bausteine!$A$2:$AY$76,9,FALSE))+IF(G15="",0,VLOOKUP(G15,Bausteine!$A$2:$AY$76,9,FALSE))+IF(H15="",0,VLOOKUP(H15,Bausteine!$A$2:$AY$76,9,FALSE))+IF(I15="",0,VLOOKUP(I15,Bausteine!$A$2:$AY$76,9,FALSE))+IF(J15="",0,VLOOKUP(J15,Bausteine!$A$2:$AY$76,9,FALSE))+IF(K15="",0,VLOOKUP(K15,Bausteine!$A$2:$AY$76,9,FALSE))+IF(L15="",0,VLOOKUP(L15,Bausteine!$A$2:$AY$76,9,FALSE))+IF(AC15="",0,VLOOKUP(AC15,Bausteine!$A$2:$AY$76,9,FALSE))+IF(AF15="",0,VLOOKUP(AF15,Bausteine!$A$2:$AY$76,9,FALSE))+IF(AG15="",0,VLOOKUP(AG15,Bausteine!$A$2:$AY$76,9,FALSE))+IF(AH15="",0,VLOOKUP(AH15,Bausteine!$A$2:$AY$76,9,FALSE))+IF(AQ15="",0,VLOOKUP(AQ15,Bausteine!$A$2:$AY$76,9,FALSE))</f>
        <v/>
      </c>
      <c r="V15">
        <f>IF(D15="",0,VLOOKUP(D15,Bausteine!$A$2:$AY$76,10,FALSE))-U15/IF(E15="",0,VLOOKUP(E15,Bausteine!$A$2:$AY$76,11,FALSE))</f>
        <v/>
      </c>
      <c r="W15">
        <f>IF(Y15&lt;&gt;"OK","",ROUND(MIN(IF(C15="",0,VLOOKUP(C15,Bausteine!$A$2:$AY$76,21,FALSE)),IF(AQ15="",0,VLOOKUP(AQ15,Bausteine!$A$2:$AY$76,21,FALSE)),IF(C15="",0,VLOOKUP(C15,Bausteine!$A$2:$AY$76,20,FALSE))*(V15/T15/(IF(C15="",0,VLOOKUP(C15,Bausteine!$A$2:$AY$76,19,FALSE))/IF(C15="",0,VLOOKUP(C15,Bausteine!$A$2:$AY$76,18,FALSE))))^Parameter!$B$3),0))</f>
        <v/>
      </c>
      <c r="X15">
        <f>IF(F15="",0,VLOOKUP(F15,Bausteine!$A$2:$AY$76,14,FALSE))</f>
        <v/>
      </c>
      <c r="Y15">
        <f>IFERROR(IF(OR(AD15&lt;=0,AD15&gt;1,R15&lt;=0,T15&lt;=0,V15&lt;=0,U15&gt;IF(E15="",0,VLOOKUP(E15,Bausteine!$A$2:$AY$76,12,FALSE)),T15&gt;MIN(IF(C15="",0,VLOOKUP(C15,Bausteine!$A$2:$AY$76,22,FALSE)),IF(AQ15="",0,VLOOKUP(AQ15,Bausteine!$A$2:$AY$76,22,FALSE))),IF(E15="",0,VLOOKUP(E15,Bausteine!$A$2:$AY$76,11,FALSE))&lt;=0,IF(E15="",0,VLOOKUP(E15,Bausteine!$A$2:$AY$76,11,FALSE))&gt;1),"UNGUELTIG","OK"),"FEHLER")</f>
        <v/>
      </c>
      <c r="Z15" t="n">
        <v>3300</v>
      </c>
      <c r="AA15" t="n">
        <v>55</v>
      </c>
      <c r="AB15" t="inlineStr">
        <is>
          <t>OFFLINE DRAFT: unverified mounting; shared standard PDL and heavy-drive upgrade unchanged.</t>
        </is>
      </c>
      <c r="AC15" t="inlineStr"/>
      <c r="AD15">
        <f>IF(AC15="",1,IF(AC15="",0,VLOOKUP(AC15,Bausteine!$A$2:$AY$76,37,FALSE))/100)</f>
        <v/>
      </c>
      <c r="AE15">
        <f>P15*AD15</f>
        <v/>
      </c>
      <c r="AF15" t="inlineStr">
        <is>
          <t>mortar-roof-carrier</t>
        </is>
      </c>
      <c r="AG15" t="inlineStr">
        <is>
          <t>roof-mortar</t>
        </is>
      </c>
      <c r="AH15" t="inlineStr">
        <is>
          <t>mortar-he</t>
        </is>
      </c>
      <c r="AI15">
        <f>SUMIF(Startbesatzung!$A$2:$A$7,A15,Startbesatzung!$D$2:$D$7)</f>
        <v/>
      </c>
      <c r="AJ15">
        <f>SUMIF(Startbesatzung!$A$2:$A$7,A15,Startbesatzung!$E$2:$E$7)</f>
        <v/>
      </c>
      <c r="AK15">
        <f>MAX(0,IF(Startbesatzung!A2=A15,Startbesatzung!G2,0),IF(Startbesatzung!A3=A15,Startbesatzung!G3,0),IF(Startbesatzung!A4=A15,Startbesatzung!G4,0),IF(Startbesatzung!A5=A15,Startbesatzung!G5,0),IF(Startbesatzung!A6=A15,Startbesatzung!G6,0),IF(Startbesatzung!A7=A15,Startbesatzung!G7,0))</f>
        <v/>
      </c>
      <c r="AL15">
        <f>IF(AF15="","",IF(IF(AH15="",0,VLOOKUP(AH15,Bausteine!$A$2:$AY$76,38,FALSE))&gt;0,IF(AH15="",0,VLOOKUP(AH15,Bausteine!$A$2:$AY$76,38,FALSE)),IF(AG15="",0,VLOOKUP(AG15,Bausteine!$A$2:$AY$76,28,FALSE))))</f>
        <v/>
      </c>
      <c r="AM15">
        <f>IF(AF15="","",IF(AG15="",0,VLOOKUP(AG15,Bausteine!$A$2:$AY$76,44,FALSE)))</f>
        <v/>
      </c>
      <c r="AN15">
        <f>IF(AF15="","",IF(AF15="",0,VLOOKUP(AF15,Bausteine!$A$2:$AY$76,27,FALSE)))</f>
        <v/>
      </c>
      <c r="AO15">
        <f>IF(AF15="","",IF(AF15="",0,VLOOKUP(AF15,Bausteine!$A$2:$AY$76,25,FALSE)))</f>
        <v/>
      </c>
      <c r="AP15">
        <f>IF(AF15="","",IF(AH15="",0,VLOOKUP(AH15,Bausteine!$A$2:$AY$76,29,FALSE)))</f>
        <v/>
      </c>
      <c r="AQ15" t="inlineStr">
        <is>
          <t>tracks-superheavy</t>
        </is>
      </c>
      <c r="AR15">
        <f>IF(AQ15="",0,VLOOKUP(AQ15,Bausteine!$A$2:$AY$76,48,FALSE))</f>
        <v/>
      </c>
      <c r="AS15">
        <f>MIN(IF(AQ15="",0,VLOOKUP(AQ15,Bausteine!$A$2:$AY$76,50,FALSE)),IF(C15="",0,VLOOKUP(C15,Bausteine!$A$2:$AY$76,51,FALSE)))</f>
        <v/>
      </c>
    </row>
    <row r="16">
      <c r="A16" t="inlineStr">
        <is>
          <t>Overlord Mortar Roof Reflector / draft</t>
        </is>
      </c>
      <c r="B16" t="inlineStr">
        <is>
          <t>china</t>
        </is>
      </c>
      <c r="C16" t="inlineStr">
        <is>
          <t>overlord-chassis</t>
        </is>
      </c>
      <c r="D16" t="inlineStr">
        <is>
          <t>diesel-heavy-boost</t>
        </is>
      </c>
      <c r="E16" t="inlineStr">
        <is>
          <t>efficient-generator</t>
        </is>
      </c>
      <c r="F16" t="inlineStr">
        <is>
          <t>reflector</t>
        </is>
      </c>
      <c r="G16" t="inlineStr">
        <is>
          <t>heavy-twin-turret</t>
        </is>
      </c>
      <c r="H16" t="inlineStr">
        <is>
          <t>overlord-cannon</t>
        </is>
      </c>
      <c r="I16" t="inlineStr">
        <is>
          <t>heavy-shell</t>
        </is>
      </c>
      <c r="J16" t="inlineStr"/>
      <c r="K16" t="inlineStr"/>
      <c r="L16" t="inlineStr"/>
      <c r="M16">
        <f>IF(C16="",0,VLOOKUP(C16,Bausteine!$A$2:$AY$76,4,FALSE))+IF(D16="",0,VLOOKUP(D16,Bausteine!$A$2:$AY$76,4,FALSE))+IF(E16="",0,VLOOKUP(E16,Bausteine!$A$2:$AY$76,4,FALSE))+IF(F16="",0,VLOOKUP(F16,Bausteine!$A$2:$AY$76,4,FALSE))+IF(G16="",0,VLOOKUP(G16,Bausteine!$A$2:$AY$76,4,FALSE))+IF(H16="",0,VLOOKUP(H16,Bausteine!$A$2:$AY$76,4,FALSE))+IF(I16="",0,VLOOKUP(I16,Bausteine!$A$2:$AY$76,4,FALSE))+IF(J16="",0,VLOOKUP(J16,Bausteine!$A$2:$AY$76,4,FALSE))+IF(K16="",0,VLOOKUP(K16,Bausteine!$A$2:$AY$76,4,FALSE))+IF(L16="",0,VLOOKUP(L16,Bausteine!$A$2:$AY$76,4,FALSE))+IF(AC16="",0,VLOOKUP(AC16,Bausteine!$A$2:$AY$76,4,FALSE))+IF(AF16="",0,VLOOKUP(AF16,Bausteine!$A$2:$AY$76,4,FALSE))+IF(AG16="",0,VLOOKUP(AG16,Bausteine!$A$2:$AY$76,4,FALSE))+IF(AH16="",0,VLOOKUP(AH16,Bausteine!$A$2:$AY$76,4,FALSE))+IF(AQ16="",0,VLOOKUP(AQ16,Bausteine!$A$2:$AY$76,4,FALSE))</f>
        <v/>
      </c>
      <c r="N16">
        <f>IF(C16="",0,VLOOKUP(C16,Bausteine!$A$2:$AY$76,5,FALSE))+IF(D16="",0,VLOOKUP(D16,Bausteine!$A$2:$AY$76,5,FALSE))+IF(E16="",0,VLOOKUP(E16,Bausteine!$A$2:$AY$76,5,FALSE))+IF(F16="",0,VLOOKUP(F16,Bausteine!$A$2:$AY$76,5,FALSE))+IF(G16="",0,VLOOKUP(G16,Bausteine!$A$2:$AY$76,5,FALSE))+IF(H16="",0,VLOOKUP(H16,Bausteine!$A$2:$AY$76,5,FALSE))+IF(I16="",0,VLOOKUP(I16,Bausteine!$A$2:$AY$76,5,FALSE))+IF(J16="",0,VLOOKUP(J16,Bausteine!$A$2:$AY$76,5,FALSE))+IF(K16="",0,VLOOKUP(K16,Bausteine!$A$2:$AY$76,5,FALSE))+IF(L16="",0,VLOOKUP(L16,Bausteine!$A$2:$AY$76,5,FALSE))+IF(AC16="",0,VLOOKUP(AC16,Bausteine!$A$2:$AY$76,5,FALSE))+IF(AF16="",0,VLOOKUP(AF16,Bausteine!$A$2:$AY$76,5,FALSE))+IF(AG16="",0,VLOOKUP(AG16,Bausteine!$A$2:$AY$76,5,FALSE))+IF(AH16="",0,VLOOKUP(AH16,Bausteine!$A$2:$AY$76,5,FALSE))+IF(AQ16="",0,VLOOKUP(AQ16,Bausteine!$A$2:$AY$76,5,FALSE))</f>
        <v/>
      </c>
      <c r="O16">
        <f>MAX(IF(C16="",0,VLOOKUP(C16,Bausteine!$A$2:$AY$76,6,FALSE)),IF(D16="",0,VLOOKUP(D16,Bausteine!$A$2:$AY$76,6,FALSE)),IF(E16="",0,VLOOKUP(E16,Bausteine!$A$2:$AY$76,6,FALSE)),IF(F16="",0,VLOOKUP(F16,Bausteine!$A$2:$AY$76,6,FALSE)),IF(G16="",0,VLOOKUP(G16,Bausteine!$A$2:$AY$76,6,FALSE)),IF(H16="",0,VLOOKUP(H16,Bausteine!$A$2:$AY$76,6,FALSE)),IF(I16="",0,VLOOKUP(I16,Bausteine!$A$2:$AY$76,6,FALSE)),IF(J16="",0,VLOOKUP(J16,Bausteine!$A$2:$AY$76,6,FALSE)),IF(K16="",0,VLOOKUP(K16,Bausteine!$A$2:$AY$76,6,FALSE)),IF(L16="",0,VLOOKUP(L16,Bausteine!$A$2:$AY$76,6,FALSE)),IF(AC16="",0,VLOOKUP(AC16,Bausteine!$A$2:$AY$76,6,FALSE)),IF(AF16="",0,VLOOKUP(AF16,Bausteine!$A$2:$AY$76,6,FALSE)),IF(AG16="",0,VLOOKUP(AG16,Bausteine!$A$2:$AY$76,6,FALSE)),IF(AH16="",0,VLOOKUP(AH16,Bausteine!$A$2:$AY$76,6,FALSE)),IF(AQ16="",0,VLOOKUP(AQ16,Bausteine!$A$2:$AY$76,6,FALSE)),AK16)</f>
        <v/>
      </c>
      <c r="P16">
        <f>IF(C16="",0,VLOOKUP(C16,Bausteine!$A$2:$AY$76,7,FALSE))*IF(F16="",0,VLOOKUP(F16,Bausteine!$A$2:$AY$76,17,FALSE))/100+IF(D16="",0,VLOOKUP(D16,Bausteine!$A$2:$AY$76,7,FALSE))+IF(E16="",0,VLOOKUP(E16,Bausteine!$A$2:$AY$76,7,FALSE))+IF(G16="",0,VLOOKUP(G16,Bausteine!$A$2:$AY$76,7,FALSE))+IF(H16="",0,VLOOKUP(H16,Bausteine!$A$2:$AY$76,7,FALSE))+IF(I16="",0,VLOOKUP(I16,Bausteine!$A$2:$AY$76,7,FALSE))+IF(J16="",0,VLOOKUP(J16,Bausteine!$A$2:$AY$76,7,FALSE))+IF(K16="",0,VLOOKUP(K16,Bausteine!$A$2:$AY$76,7,FALSE))+IF(L16="",0,VLOOKUP(L16,Bausteine!$A$2:$AY$76,7,FALSE))+IF(AC16="",0,VLOOKUP(AC16,Bausteine!$A$2:$AY$76,7,FALSE))+IF(AF16="",0,VLOOKUP(AF16,Bausteine!$A$2:$AY$76,7,FALSE))+IF(AG16="",0,VLOOKUP(AG16,Bausteine!$A$2:$AY$76,7,FALSE))+IF(AH16="",0,VLOOKUP(AH16,Bausteine!$A$2:$AY$76,7,FALSE))+IF(AQ16="",0,VLOOKUP(AQ16,Bausteine!$A$2:$AY$76,7,FALSE))+AI16</f>
        <v/>
      </c>
      <c r="Q16">
        <f>N16*Parameter!$B$2</f>
        <v/>
      </c>
      <c r="R16">
        <f>AE16-Q16</f>
        <v/>
      </c>
      <c r="S16">
        <f>IF(C16="",0,VLOOKUP(C16,Bausteine!$A$2:$AY$76,13,FALSE))*IF(F16="",0,VLOOKUP(F16,Bausteine!$A$2:$AY$76,16,FALSE))/100</f>
        <v/>
      </c>
      <c r="T16">
        <f>IF(C16="",0,VLOOKUP(C16,Bausteine!$A$2:$AY$76,8,FALSE))*IF(F16="",0,VLOOKUP(F16,Bausteine!$A$2:$AY$76,15,FALSE))/100+IF(D16="",0,VLOOKUP(D16,Bausteine!$A$2:$AY$76,8,FALSE))+IF(E16="",0,VLOOKUP(E16,Bausteine!$A$2:$AY$76,8,FALSE))+IF(G16="",0,VLOOKUP(G16,Bausteine!$A$2:$AY$76,8,FALSE))+IF(H16="",0,VLOOKUP(H16,Bausteine!$A$2:$AY$76,8,FALSE))+IF(I16="",0,VLOOKUP(I16,Bausteine!$A$2:$AY$76,8,FALSE))+IF(J16="",0,VLOOKUP(J16,Bausteine!$A$2:$AY$76,8,FALSE))+IF(K16="",0,VLOOKUP(K16,Bausteine!$A$2:$AY$76,8,FALSE))+IF(L16="",0,VLOOKUP(L16,Bausteine!$A$2:$AY$76,8,FALSE))+IF(AC16="",0,VLOOKUP(AC16,Bausteine!$A$2:$AY$76,8,FALSE))+IF(AF16="",0,VLOOKUP(AF16,Bausteine!$A$2:$AY$76,8,FALSE))+IF(AG16="",0,VLOOKUP(AG16,Bausteine!$A$2:$AY$76,8,FALSE))+IF(AH16="",0,VLOOKUP(AH16,Bausteine!$A$2:$AY$76,8,FALSE))+IF(AQ16="",0,VLOOKUP(AQ16,Bausteine!$A$2:$AY$76,8,FALSE))+AJ16</f>
        <v/>
      </c>
      <c r="U16">
        <f>IF(C16="",0,VLOOKUP(C16,Bausteine!$A$2:$AY$76,9,FALSE))+IF(D16="",0,VLOOKUP(D16,Bausteine!$A$2:$AY$76,9,FALSE))+IF(E16="",0,VLOOKUP(E16,Bausteine!$A$2:$AY$76,9,FALSE))+IF(F16="",0,VLOOKUP(F16,Bausteine!$A$2:$AY$76,9,FALSE))+IF(G16="",0,VLOOKUP(G16,Bausteine!$A$2:$AY$76,9,FALSE))+IF(H16="",0,VLOOKUP(H16,Bausteine!$A$2:$AY$76,9,FALSE))+IF(I16="",0,VLOOKUP(I16,Bausteine!$A$2:$AY$76,9,FALSE))+IF(J16="",0,VLOOKUP(J16,Bausteine!$A$2:$AY$76,9,FALSE))+IF(K16="",0,VLOOKUP(K16,Bausteine!$A$2:$AY$76,9,FALSE))+IF(L16="",0,VLOOKUP(L16,Bausteine!$A$2:$AY$76,9,FALSE))+IF(AC16="",0,VLOOKUP(AC16,Bausteine!$A$2:$AY$76,9,FALSE))+IF(AF16="",0,VLOOKUP(AF16,Bausteine!$A$2:$AY$76,9,FALSE))+IF(AG16="",0,VLOOKUP(AG16,Bausteine!$A$2:$AY$76,9,FALSE))+IF(AH16="",0,VLOOKUP(AH16,Bausteine!$A$2:$AY$76,9,FALSE))+IF(AQ16="",0,VLOOKUP(AQ16,Bausteine!$A$2:$AY$76,9,FALSE))</f>
        <v/>
      </c>
      <c r="V16">
        <f>IF(D16="",0,VLOOKUP(D16,Bausteine!$A$2:$AY$76,10,FALSE))-U16/IF(E16="",0,VLOOKUP(E16,Bausteine!$A$2:$AY$76,11,FALSE))</f>
        <v/>
      </c>
      <c r="W16">
        <f>IF(Y16&lt;&gt;"OK","",ROUND(MIN(IF(C16="",0,VLOOKUP(C16,Bausteine!$A$2:$AY$76,21,FALSE)),IF(AQ16="",0,VLOOKUP(AQ16,Bausteine!$A$2:$AY$76,21,FALSE)),IF(C16="",0,VLOOKUP(C16,Bausteine!$A$2:$AY$76,20,FALSE))*(V16/T16/(IF(C16="",0,VLOOKUP(C16,Bausteine!$A$2:$AY$76,19,FALSE))/IF(C16="",0,VLOOKUP(C16,Bausteine!$A$2:$AY$76,18,FALSE))))^Parameter!$B$3),0))</f>
        <v/>
      </c>
      <c r="X16">
        <f>IF(F16="",0,VLOOKUP(F16,Bausteine!$A$2:$AY$76,14,FALSE))</f>
        <v/>
      </c>
      <c r="Y16">
        <f>IFERROR(IF(OR(AD16&lt;=0,AD16&gt;1,R16&lt;=0,T16&lt;=0,V16&lt;=0,U16&gt;IF(E16="",0,VLOOKUP(E16,Bausteine!$A$2:$AY$76,12,FALSE)),T16&gt;MIN(IF(C16="",0,VLOOKUP(C16,Bausteine!$A$2:$AY$76,22,FALSE)),IF(AQ16="",0,VLOOKUP(AQ16,Bausteine!$A$2:$AY$76,22,FALSE))),IF(E16="",0,VLOOKUP(E16,Bausteine!$A$2:$AY$76,11,FALSE))&lt;=0,IF(E16="",0,VLOOKUP(E16,Bausteine!$A$2:$AY$76,11,FALSE))&gt;1),"UNGUELTIG","OK"),"FEHLER")</f>
        <v/>
      </c>
      <c r="Z16" t="n">
        <v>2650</v>
      </c>
      <c r="AA16" t="n">
        <v>55</v>
      </c>
      <c r="AB16" t="inlineStr">
        <is>
          <t>OFFLINE DRAFT: unverified mounting; reflector power budget and global CP credit unchanged.</t>
        </is>
      </c>
      <c r="AC16" t="inlineStr"/>
      <c r="AD16">
        <f>IF(AC16="",1,IF(AC16="",0,VLOOKUP(AC16,Bausteine!$A$2:$AY$76,37,FALSE))/100)</f>
        <v/>
      </c>
      <c r="AE16">
        <f>P16*AD16</f>
        <v/>
      </c>
      <c r="AF16" t="inlineStr">
        <is>
          <t>mortar-roof-carrier</t>
        </is>
      </c>
      <c r="AG16" t="inlineStr">
        <is>
          <t>roof-mortar</t>
        </is>
      </c>
      <c r="AH16" t="inlineStr">
        <is>
          <t>mortar-he</t>
        </is>
      </c>
      <c r="AI16">
        <f>SUMIF(Startbesatzung!$A$2:$A$7,A16,Startbesatzung!$D$2:$D$7)</f>
        <v/>
      </c>
      <c r="AJ16">
        <f>SUMIF(Startbesatzung!$A$2:$A$7,A16,Startbesatzung!$E$2:$E$7)</f>
        <v/>
      </c>
      <c r="AK16">
        <f>MAX(0,IF(Startbesatzung!A2=A16,Startbesatzung!G2,0),IF(Startbesatzung!A3=A16,Startbesatzung!G3,0),IF(Startbesatzung!A4=A16,Startbesatzung!G4,0),IF(Startbesatzung!A5=A16,Startbesatzung!G5,0),IF(Startbesatzung!A6=A16,Startbesatzung!G6,0),IF(Startbesatzung!A7=A16,Startbesatzung!G7,0))</f>
        <v/>
      </c>
      <c r="AL16">
        <f>IF(AF16="","",IF(IF(AH16="",0,VLOOKUP(AH16,Bausteine!$A$2:$AY$76,38,FALSE))&gt;0,IF(AH16="",0,VLOOKUP(AH16,Bausteine!$A$2:$AY$76,38,FALSE)),IF(AG16="",0,VLOOKUP(AG16,Bausteine!$A$2:$AY$76,28,FALSE))))</f>
        <v/>
      </c>
      <c r="AM16">
        <f>IF(AF16="","",IF(AG16="",0,VLOOKUP(AG16,Bausteine!$A$2:$AY$76,44,FALSE)))</f>
        <v/>
      </c>
      <c r="AN16">
        <f>IF(AF16="","",IF(AF16="",0,VLOOKUP(AF16,Bausteine!$A$2:$AY$76,27,FALSE)))</f>
        <v/>
      </c>
      <c r="AO16">
        <f>IF(AF16="","",IF(AF16="",0,VLOOKUP(AF16,Bausteine!$A$2:$AY$76,25,FALSE)))</f>
        <v/>
      </c>
      <c r="AP16">
        <f>IF(AF16="","",IF(AH16="",0,VLOOKUP(AH16,Bausteine!$A$2:$AY$76,29,FALSE)))</f>
        <v/>
      </c>
      <c r="AQ16" t="inlineStr">
        <is>
          <t>tracks-superheavy</t>
        </is>
      </c>
      <c r="AR16">
        <f>IF(AQ16="",0,VLOOKUP(AQ16,Bausteine!$A$2:$AY$76,48,FALSE))</f>
        <v/>
      </c>
      <c r="AS16">
        <f>MIN(IF(AQ16="",0,VLOOKUP(AQ16,Bausteine!$A$2:$AY$76,50,FALSE)),IF(C16="",0,VLOOKUP(C16,Bausteine!$A$2:$AY$76,51,FALSE)))</f>
        <v/>
      </c>
    </row>
    <row r="17">
      <c r="A17" t="inlineStr">
        <is>
          <t>Overlord Flame Roof / draft</t>
        </is>
      </c>
      <c r="B17" t="inlineStr">
        <is>
          <t>china</t>
        </is>
      </c>
      <c r="C17" t="inlineStr">
        <is>
          <t>overlord-chassis</t>
        </is>
      </c>
      <c r="D17" t="inlineStr">
        <is>
          <t>diesel-heavy</t>
        </is>
      </c>
      <c r="E17" t="inlineStr">
        <is>
          <t>baseline-generator</t>
        </is>
      </c>
      <c r="F17" t="inlineStr">
        <is>
          <t>heavy</t>
        </is>
      </c>
      <c r="G17" t="inlineStr">
        <is>
          <t>heavy-twin-turret</t>
        </is>
      </c>
      <c r="H17" t="inlineStr">
        <is>
          <t>overlord-cannon</t>
        </is>
      </c>
      <c r="I17" t="inlineStr">
        <is>
          <t>heavy-shell</t>
        </is>
      </c>
      <c r="J17" t="inlineStr"/>
      <c r="K17" t="inlineStr"/>
      <c r="L17" t="inlineStr"/>
      <c r="M17">
        <f>IF(C17="",0,VLOOKUP(C17,Bausteine!$A$2:$AY$76,4,FALSE))+IF(D17="",0,VLOOKUP(D17,Bausteine!$A$2:$AY$76,4,FALSE))+IF(E17="",0,VLOOKUP(E17,Bausteine!$A$2:$AY$76,4,FALSE))+IF(F17="",0,VLOOKUP(F17,Bausteine!$A$2:$AY$76,4,FALSE))+IF(G17="",0,VLOOKUP(G17,Bausteine!$A$2:$AY$76,4,FALSE))+IF(H17="",0,VLOOKUP(H17,Bausteine!$A$2:$AY$76,4,FALSE))+IF(I17="",0,VLOOKUP(I17,Bausteine!$A$2:$AY$76,4,FALSE))+IF(J17="",0,VLOOKUP(J17,Bausteine!$A$2:$AY$76,4,FALSE))+IF(K17="",0,VLOOKUP(K17,Bausteine!$A$2:$AY$76,4,FALSE))+IF(L17="",0,VLOOKUP(L17,Bausteine!$A$2:$AY$76,4,FALSE))+IF(AC17="",0,VLOOKUP(AC17,Bausteine!$A$2:$AY$76,4,FALSE))+IF(AF17="",0,VLOOKUP(AF17,Bausteine!$A$2:$AY$76,4,FALSE))+IF(AG17="",0,VLOOKUP(AG17,Bausteine!$A$2:$AY$76,4,FALSE))+IF(AH17="",0,VLOOKUP(AH17,Bausteine!$A$2:$AY$76,4,FALSE))+IF(AQ17="",0,VLOOKUP(AQ17,Bausteine!$A$2:$AY$76,4,FALSE))</f>
        <v/>
      </c>
      <c r="N17">
        <f>IF(C17="",0,VLOOKUP(C17,Bausteine!$A$2:$AY$76,5,FALSE))+IF(D17="",0,VLOOKUP(D17,Bausteine!$A$2:$AY$76,5,FALSE))+IF(E17="",0,VLOOKUP(E17,Bausteine!$A$2:$AY$76,5,FALSE))+IF(F17="",0,VLOOKUP(F17,Bausteine!$A$2:$AY$76,5,FALSE))+IF(G17="",0,VLOOKUP(G17,Bausteine!$A$2:$AY$76,5,FALSE))+IF(H17="",0,VLOOKUP(H17,Bausteine!$A$2:$AY$76,5,FALSE))+IF(I17="",0,VLOOKUP(I17,Bausteine!$A$2:$AY$76,5,FALSE))+IF(J17="",0,VLOOKUP(J17,Bausteine!$A$2:$AY$76,5,FALSE))+IF(K17="",0,VLOOKUP(K17,Bausteine!$A$2:$AY$76,5,FALSE))+IF(L17="",0,VLOOKUP(L17,Bausteine!$A$2:$AY$76,5,FALSE))+IF(AC17="",0,VLOOKUP(AC17,Bausteine!$A$2:$AY$76,5,FALSE))+IF(AF17="",0,VLOOKUP(AF17,Bausteine!$A$2:$AY$76,5,FALSE))+IF(AG17="",0,VLOOKUP(AG17,Bausteine!$A$2:$AY$76,5,FALSE))+IF(AH17="",0,VLOOKUP(AH17,Bausteine!$A$2:$AY$76,5,FALSE))+IF(AQ17="",0,VLOOKUP(AQ17,Bausteine!$A$2:$AY$76,5,FALSE))</f>
        <v/>
      </c>
      <c r="O17">
        <f>MAX(IF(C17="",0,VLOOKUP(C17,Bausteine!$A$2:$AY$76,6,FALSE)),IF(D17="",0,VLOOKUP(D17,Bausteine!$A$2:$AY$76,6,FALSE)),IF(E17="",0,VLOOKUP(E17,Bausteine!$A$2:$AY$76,6,FALSE)),IF(F17="",0,VLOOKUP(F17,Bausteine!$A$2:$AY$76,6,FALSE)),IF(G17="",0,VLOOKUP(G17,Bausteine!$A$2:$AY$76,6,FALSE)),IF(H17="",0,VLOOKUP(H17,Bausteine!$A$2:$AY$76,6,FALSE)),IF(I17="",0,VLOOKUP(I17,Bausteine!$A$2:$AY$76,6,FALSE)),IF(J17="",0,VLOOKUP(J17,Bausteine!$A$2:$AY$76,6,FALSE)),IF(K17="",0,VLOOKUP(K17,Bausteine!$A$2:$AY$76,6,FALSE)),IF(L17="",0,VLOOKUP(L17,Bausteine!$A$2:$AY$76,6,FALSE)),IF(AC17="",0,VLOOKUP(AC17,Bausteine!$A$2:$AY$76,6,FALSE)),IF(AF17="",0,VLOOKUP(AF17,Bausteine!$A$2:$AY$76,6,FALSE)),IF(AG17="",0,VLOOKUP(AG17,Bausteine!$A$2:$AY$76,6,FALSE)),IF(AH17="",0,VLOOKUP(AH17,Bausteine!$A$2:$AY$76,6,FALSE)),IF(AQ17="",0,VLOOKUP(AQ17,Bausteine!$A$2:$AY$76,6,FALSE)),AK17)</f>
        <v/>
      </c>
      <c r="P17">
        <f>IF(C17="",0,VLOOKUP(C17,Bausteine!$A$2:$AY$76,7,FALSE))*IF(F17="",0,VLOOKUP(F17,Bausteine!$A$2:$AY$76,17,FALSE))/100+IF(D17="",0,VLOOKUP(D17,Bausteine!$A$2:$AY$76,7,FALSE))+IF(E17="",0,VLOOKUP(E17,Bausteine!$A$2:$AY$76,7,FALSE))+IF(G17="",0,VLOOKUP(G17,Bausteine!$A$2:$AY$76,7,FALSE))+IF(H17="",0,VLOOKUP(H17,Bausteine!$A$2:$AY$76,7,FALSE))+IF(I17="",0,VLOOKUP(I17,Bausteine!$A$2:$AY$76,7,FALSE))+IF(J17="",0,VLOOKUP(J17,Bausteine!$A$2:$AY$76,7,FALSE))+IF(K17="",0,VLOOKUP(K17,Bausteine!$A$2:$AY$76,7,FALSE))+IF(L17="",0,VLOOKUP(L17,Bausteine!$A$2:$AY$76,7,FALSE))+IF(AC17="",0,VLOOKUP(AC17,Bausteine!$A$2:$AY$76,7,FALSE))+IF(AF17="",0,VLOOKUP(AF17,Bausteine!$A$2:$AY$76,7,FALSE))+IF(AG17="",0,VLOOKUP(AG17,Bausteine!$A$2:$AY$76,7,FALSE))+IF(AH17="",0,VLOOKUP(AH17,Bausteine!$A$2:$AY$76,7,FALSE))+IF(AQ17="",0,VLOOKUP(AQ17,Bausteine!$A$2:$AY$76,7,FALSE))+AI17</f>
        <v/>
      </c>
      <c r="Q17">
        <f>N17*Parameter!$B$2</f>
        <v/>
      </c>
      <c r="R17">
        <f>AE17-Q17</f>
        <v/>
      </c>
      <c r="S17">
        <f>IF(C17="",0,VLOOKUP(C17,Bausteine!$A$2:$AY$76,13,FALSE))*IF(F17="",0,VLOOKUP(F17,Bausteine!$A$2:$AY$76,16,FALSE))/100</f>
        <v/>
      </c>
      <c r="T17">
        <f>IF(C17="",0,VLOOKUP(C17,Bausteine!$A$2:$AY$76,8,FALSE))*IF(F17="",0,VLOOKUP(F17,Bausteine!$A$2:$AY$76,15,FALSE))/100+IF(D17="",0,VLOOKUP(D17,Bausteine!$A$2:$AY$76,8,FALSE))+IF(E17="",0,VLOOKUP(E17,Bausteine!$A$2:$AY$76,8,FALSE))+IF(G17="",0,VLOOKUP(G17,Bausteine!$A$2:$AY$76,8,FALSE))+IF(H17="",0,VLOOKUP(H17,Bausteine!$A$2:$AY$76,8,FALSE))+IF(I17="",0,VLOOKUP(I17,Bausteine!$A$2:$AY$76,8,FALSE))+IF(J17="",0,VLOOKUP(J17,Bausteine!$A$2:$AY$76,8,FALSE))+IF(K17="",0,VLOOKUP(K17,Bausteine!$A$2:$AY$76,8,FALSE))+IF(L17="",0,VLOOKUP(L17,Bausteine!$A$2:$AY$76,8,FALSE))+IF(AC17="",0,VLOOKUP(AC17,Bausteine!$A$2:$AY$76,8,FALSE))+IF(AF17="",0,VLOOKUP(AF17,Bausteine!$A$2:$AY$76,8,FALSE))+IF(AG17="",0,VLOOKUP(AG17,Bausteine!$A$2:$AY$76,8,FALSE))+IF(AH17="",0,VLOOKUP(AH17,Bausteine!$A$2:$AY$76,8,FALSE))+IF(AQ17="",0,VLOOKUP(AQ17,Bausteine!$A$2:$AY$76,8,FALSE))+AJ17</f>
        <v/>
      </c>
      <c r="U17">
        <f>IF(C17="",0,VLOOKUP(C17,Bausteine!$A$2:$AY$76,9,FALSE))+IF(D17="",0,VLOOKUP(D17,Bausteine!$A$2:$AY$76,9,FALSE))+IF(E17="",0,VLOOKUP(E17,Bausteine!$A$2:$AY$76,9,FALSE))+IF(F17="",0,VLOOKUP(F17,Bausteine!$A$2:$AY$76,9,FALSE))+IF(G17="",0,VLOOKUP(G17,Bausteine!$A$2:$AY$76,9,FALSE))+IF(H17="",0,VLOOKUP(H17,Bausteine!$A$2:$AY$76,9,FALSE))+IF(I17="",0,VLOOKUP(I17,Bausteine!$A$2:$AY$76,9,FALSE))+IF(J17="",0,VLOOKUP(J17,Bausteine!$A$2:$AY$76,9,FALSE))+IF(K17="",0,VLOOKUP(K17,Bausteine!$A$2:$AY$76,9,FALSE))+IF(L17="",0,VLOOKUP(L17,Bausteine!$A$2:$AY$76,9,FALSE))+IF(AC17="",0,VLOOKUP(AC17,Bausteine!$A$2:$AY$76,9,FALSE))+IF(AF17="",0,VLOOKUP(AF17,Bausteine!$A$2:$AY$76,9,FALSE))+IF(AG17="",0,VLOOKUP(AG17,Bausteine!$A$2:$AY$76,9,FALSE))+IF(AH17="",0,VLOOKUP(AH17,Bausteine!$A$2:$AY$76,9,FALSE))+IF(AQ17="",0,VLOOKUP(AQ17,Bausteine!$A$2:$AY$76,9,FALSE))</f>
        <v/>
      </c>
      <c r="V17">
        <f>IF(D17="",0,VLOOKUP(D17,Bausteine!$A$2:$AY$76,10,FALSE))-U17/IF(E17="",0,VLOOKUP(E17,Bausteine!$A$2:$AY$76,11,FALSE))</f>
        <v/>
      </c>
      <c r="W17">
        <f>IF(Y17&lt;&gt;"OK","",ROUND(MIN(IF(C17="",0,VLOOKUP(C17,Bausteine!$A$2:$AY$76,21,FALSE)),IF(AQ17="",0,VLOOKUP(AQ17,Bausteine!$A$2:$AY$76,21,FALSE)),IF(C17="",0,VLOOKUP(C17,Bausteine!$A$2:$AY$76,20,FALSE))*(V17/T17/(IF(C17="",0,VLOOKUP(C17,Bausteine!$A$2:$AY$76,19,FALSE))/IF(C17="",0,VLOOKUP(C17,Bausteine!$A$2:$AY$76,18,FALSE))))^Parameter!$B$3),0))</f>
        <v/>
      </c>
      <c r="X17">
        <f>IF(F17="",0,VLOOKUP(F17,Bausteine!$A$2:$AY$76,14,FALSE))</f>
        <v/>
      </c>
      <c r="Y17">
        <f>IFERROR(IF(OR(AD17&lt;=0,AD17&gt;1,R17&lt;=0,T17&lt;=0,V17&lt;=0,U17&gt;IF(E17="",0,VLOOKUP(E17,Bausteine!$A$2:$AY$76,12,FALSE)),T17&gt;MIN(IF(C17="",0,VLOOKUP(C17,Bausteine!$A$2:$AY$76,22,FALSE)),IF(AQ17="",0,VLOOKUP(AQ17,Bausteine!$A$2:$AY$76,22,FALSE))),IF(E17="",0,VLOOKUP(E17,Bausteine!$A$2:$AY$76,11,FALSE))&lt;=0,IF(E17="",0,VLOOKUP(E17,Bausteine!$A$2:$AY$76,11,FALSE))&gt;1),"UNGUELTIG","OK"),"FEHLER")</f>
        <v/>
      </c>
      <c r="Z17" t="n">
        <v>2250</v>
      </c>
      <c r="AA17" t="n">
        <v>55</v>
      </c>
      <c r="AB17" t="inlineStr">
        <is>
          <t>OFFLINE DRAFT: chdragontur.shp has 32 separate facings; Overlord offsets, palette, scale, muzzle and animations NOT live-tested. Reuses existing flame parts without price changes; no original vehicle target.</t>
        </is>
      </c>
      <c r="AC17" t="inlineStr"/>
      <c r="AD17">
        <f>IF(AC17="",1,IF(AC17="",0,VLOOKUP(AC17,Bausteine!$A$2:$AY$76,37,FALSE))/100)</f>
        <v/>
      </c>
      <c r="AE17">
        <f>P17*AD17</f>
        <v/>
      </c>
      <c r="AF17" t="inlineStr">
        <is>
          <t>flame-turret</t>
        </is>
      </c>
      <c r="AG17" t="inlineStr">
        <is>
          <t>dragon-flamer</t>
        </is>
      </c>
      <c r="AH17" t="inlineStr">
        <is>
          <t>flame-fuel</t>
        </is>
      </c>
      <c r="AI17">
        <f>SUMIF(Startbesatzung!$A$2:$A$7,A17,Startbesatzung!$D$2:$D$7)</f>
        <v/>
      </c>
      <c r="AJ17">
        <f>SUMIF(Startbesatzung!$A$2:$A$7,A17,Startbesatzung!$E$2:$E$7)</f>
        <v/>
      </c>
      <c r="AK17">
        <f>MAX(0,IF(Startbesatzung!A2=A17,Startbesatzung!G2,0),IF(Startbesatzung!A3=A17,Startbesatzung!G3,0),IF(Startbesatzung!A4=A17,Startbesatzung!G4,0),IF(Startbesatzung!A5=A17,Startbesatzung!G5,0),IF(Startbesatzung!A6=A17,Startbesatzung!G6,0),IF(Startbesatzung!A7=A17,Startbesatzung!G7,0))</f>
        <v/>
      </c>
      <c r="AL17">
        <f>IF(AF17="","",IF(IF(AH17="",0,VLOOKUP(AH17,Bausteine!$A$2:$AY$76,38,FALSE))&gt;0,IF(AH17="",0,VLOOKUP(AH17,Bausteine!$A$2:$AY$76,38,FALSE)),IF(AG17="",0,VLOOKUP(AG17,Bausteine!$A$2:$AY$76,28,FALSE))))</f>
        <v/>
      </c>
      <c r="AM17">
        <f>IF(AF17="","",IF(AG17="",0,VLOOKUP(AG17,Bausteine!$A$2:$AY$76,44,FALSE)))</f>
        <v/>
      </c>
      <c r="AN17">
        <f>IF(AF17="","",IF(AF17="",0,VLOOKUP(AF17,Bausteine!$A$2:$AY$76,27,FALSE)))</f>
        <v/>
      </c>
      <c r="AO17">
        <f>IF(AF17="","",IF(AF17="",0,VLOOKUP(AF17,Bausteine!$A$2:$AY$76,25,FALSE)))</f>
        <v/>
      </c>
      <c r="AP17">
        <f>IF(AF17="","",IF(AH17="",0,VLOOKUP(AH17,Bausteine!$A$2:$AY$76,29,FALSE)))</f>
        <v/>
      </c>
      <c r="AQ17" t="inlineStr">
        <is>
          <t>tracks-superheavy</t>
        </is>
      </c>
      <c r="AR17">
        <f>IF(AQ17="",0,VLOOKUP(AQ17,Bausteine!$A$2:$AY$76,48,FALSE))</f>
        <v/>
      </c>
      <c r="AS17">
        <f>MIN(IF(AQ17="",0,VLOOKUP(AQ17,Bausteine!$A$2:$AY$76,50,FALSE)),IF(C17="",0,VLOOKUP(C17,Bausteine!$A$2:$AY$76,51,FALSE)))</f>
        <v/>
      </c>
    </row>
    <row r="18">
      <c r="A18" t="inlineStr">
        <is>
          <t>Overlord Flame Roof PDL / draft</t>
        </is>
      </c>
      <c r="B18" t="inlineStr">
        <is>
          <t>china</t>
        </is>
      </c>
      <c r="C18" t="inlineStr">
        <is>
          <t>overlord-chassis</t>
        </is>
      </c>
      <c r="D18" t="inlineStr">
        <is>
          <t>diesel-heavy-boost</t>
        </is>
      </c>
      <c r="E18" t="inlineStr">
        <is>
          <t>efficient-generator</t>
        </is>
      </c>
      <c r="F18" t="inlineStr">
        <is>
          <t>heavy</t>
        </is>
      </c>
      <c r="G18" t="inlineStr">
        <is>
          <t>heavy-twin-turret</t>
        </is>
      </c>
      <c r="H18" t="inlineStr">
        <is>
          <t>overlord-cannon</t>
        </is>
      </c>
      <c r="I18" t="inlineStr">
        <is>
          <t>heavy-shell</t>
        </is>
      </c>
      <c r="J18" t="inlineStr">
        <is>
          <t>pdl</t>
        </is>
      </c>
      <c r="K18" t="inlineStr"/>
      <c r="L18" t="inlineStr"/>
      <c r="M18">
        <f>IF(C18="",0,VLOOKUP(C18,Bausteine!$A$2:$AY$76,4,FALSE))+IF(D18="",0,VLOOKUP(D18,Bausteine!$A$2:$AY$76,4,FALSE))+IF(E18="",0,VLOOKUP(E18,Bausteine!$A$2:$AY$76,4,FALSE))+IF(F18="",0,VLOOKUP(F18,Bausteine!$A$2:$AY$76,4,FALSE))+IF(G18="",0,VLOOKUP(G18,Bausteine!$A$2:$AY$76,4,FALSE))+IF(H18="",0,VLOOKUP(H18,Bausteine!$A$2:$AY$76,4,FALSE))+IF(I18="",0,VLOOKUP(I18,Bausteine!$A$2:$AY$76,4,FALSE))+IF(J18="",0,VLOOKUP(J18,Bausteine!$A$2:$AY$76,4,FALSE))+IF(K18="",0,VLOOKUP(K18,Bausteine!$A$2:$AY$76,4,FALSE))+IF(L18="",0,VLOOKUP(L18,Bausteine!$A$2:$AY$76,4,FALSE))+IF(AC18="",0,VLOOKUP(AC18,Bausteine!$A$2:$AY$76,4,FALSE))+IF(AF18="",0,VLOOKUP(AF18,Bausteine!$A$2:$AY$76,4,FALSE))+IF(AG18="",0,VLOOKUP(AG18,Bausteine!$A$2:$AY$76,4,FALSE))+IF(AH18="",0,VLOOKUP(AH18,Bausteine!$A$2:$AY$76,4,FALSE))+IF(AQ18="",0,VLOOKUP(AQ18,Bausteine!$A$2:$AY$76,4,FALSE))</f>
        <v/>
      </c>
      <c r="N18">
        <f>IF(C18="",0,VLOOKUP(C18,Bausteine!$A$2:$AY$76,5,FALSE))+IF(D18="",0,VLOOKUP(D18,Bausteine!$A$2:$AY$76,5,FALSE))+IF(E18="",0,VLOOKUP(E18,Bausteine!$A$2:$AY$76,5,FALSE))+IF(F18="",0,VLOOKUP(F18,Bausteine!$A$2:$AY$76,5,FALSE))+IF(G18="",0,VLOOKUP(G18,Bausteine!$A$2:$AY$76,5,FALSE))+IF(H18="",0,VLOOKUP(H18,Bausteine!$A$2:$AY$76,5,FALSE))+IF(I18="",0,VLOOKUP(I18,Bausteine!$A$2:$AY$76,5,FALSE))+IF(J18="",0,VLOOKUP(J18,Bausteine!$A$2:$AY$76,5,FALSE))+IF(K18="",0,VLOOKUP(K18,Bausteine!$A$2:$AY$76,5,FALSE))+IF(L18="",0,VLOOKUP(L18,Bausteine!$A$2:$AY$76,5,FALSE))+IF(AC18="",0,VLOOKUP(AC18,Bausteine!$A$2:$AY$76,5,FALSE))+IF(AF18="",0,VLOOKUP(AF18,Bausteine!$A$2:$AY$76,5,FALSE))+IF(AG18="",0,VLOOKUP(AG18,Bausteine!$A$2:$AY$76,5,FALSE))+IF(AH18="",0,VLOOKUP(AH18,Bausteine!$A$2:$AY$76,5,FALSE))+IF(AQ18="",0,VLOOKUP(AQ18,Bausteine!$A$2:$AY$76,5,FALSE))</f>
        <v/>
      </c>
      <c r="O18">
        <f>MAX(IF(C18="",0,VLOOKUP(C18,Bausteine!$A$2:$AY$76,6,FALSE)),IF(D18="",0,VLOOKUP(D18,Bausteine!$A$2:$AY$76,6,FALSE)),IF(E18="",0,VLOOKUP(E18,Bausteine!$A$2:$AY$76,6,FALSE)),IF(F18="",0,VLOOKUP(F18,Bausteine!$A$2:$AY$76,6,FALSE)),IF(G18="",0,VLOOKUP(G18,Bausteine!$A$2:$AY$76,6,FALSE)),IF(H18="",0,VLOOKUP(H18,Bausteine!$A$2:$AY$76,6,FALSE)),IF(I18="",0,VLOOKUP(I18,Bausteine!$A$2:$AY$76,6,FALSE)),IF(J18="",0,VLOOKUP(J18,Bausteine!$A$2:$AY$76,6,FALSE)),IF(K18="",0,VLOOKUP(K18,Bausteine!$A$2:$AY$76,6,FALSE)),IF(L18="",0,VLOOKUP(L18,Bausteine!$A$2:$AY$76,6,FALSE)),IF(AC18="",0,VLOOKUP(AC18,Bausteine!$A$2:$AY$76,6,FALSE)),IF(AF18="",0,VLOOKUP(AF18,Bausteine!$A$2:$AY$76,6,FALSE)),IF(AG18="",0,VLOOKUP(AG18,Bausteine!$A$2:$AY$76,6,FALSE)),IF(AH18="",0,VLOOKUP(AH18,Bausteine!$A$2:$AY$76,6,FALSE)),IF(AQ18="",0,VLOOKUP(AQ18,Bausteine!$A$2:$AY$76,6,FALSE)),AK18)</f>
        <v/>
      </c>
      <c r="P18">
        <f>IF(C18="",0,VLOOKUP(C18,Bausteine!$A$2:$AY$76,7,FALSE))*IF(F18="",0,VLOOKUP(F18,Bausteine!$A$2:$AY$76,17,FALSE))/100+IF(D18="",0,VLOOKUP(D18,Bausteine!$A$2:$AY$76,7,FALSE))+IF(E18="",0,VLOOKUP(E18,Bausteine!$A$2:$AY$76,7,FALSE))+IF(G18="",0,VLOOKUP(G18,Bausteine!$A$2:$AY$76,7,FALSE))+IF(H18="",0,VLOOKUP(H18,Bausteine!$A$2:$AY$76,7,FALSE))+IF(I18="",0,VLOOKUP(I18,Bausteine!$A$2:$AY$76,7,FALSE))+IF(J18="",0,VLOOKUP(J18,Bausteine!$A$2:$AY$76,7,FALSE))+IF(K18="",0,VLOOKUP(K18,Bausteine!$A$2:$AY$76,7,FALSE))+IF(L18="",0,VLOOKUP(L18,Bausteine!$A$2:$AY$76,7,FALSE))+IF(AC18="",0,VLOOKUP(AC18,Bausteine!$A$2:$AY$76,7,FALSE))+IF(AF18="",0,VLOOKUP(AF18,Bausteine!$A$2:$AY$76,7,FALSE))+IF(AG18="",0,VLOOKUP(AG18,Bausteine!$A$2:$AY$76,7,FALSE))+IF(AH18="",0,VLOOKUP(AH18,Bausteine!$A$2:$AY$76,7,FALSE))+IF(AQ18="",0,VLOOKUP(AQ18,Bausteine!$A$2:$AY$76,7,FALSE))+AI18</f>
        <v/>
      </c>
      <c r="Q18">
        <f>N18*Parameter!$B$2</f>
        <v/>
      </c>
      <c r="R18">
        <f>AE18-Q18</f>
        <v/>
      </c>
      <c r="S18">
        <f>IF(C18="",0,VLOOKUP(C18,Bausteine!$A$2:$AY$76,13,FALSE))*IF(F18="",0,VLOOKUP(F18,Bausteine!$A$2:$AY$76,16,FALSE))/100</f>
        <v/>
      </c>
      <c r="T18">
        <f>IF(C18="",0,VLOOKUP(C18,Bausteine!$A$2:$AY$76,8,FALSE))*IF(F18="",0,VLOOKUP(F18,Bausteine!$A$2:$AY$76,15,FALSE))/100+IF(D18="",0,VLOOKUP(D18,Bausteine!$A$2:$AY$76,8,FALSE))+IF(E18="",0,VLOOKUP(E18,Bausteine!$A$2:$AY$76,8,FALSE))+IF(G18="",0,VLOOKUP(G18,Bausteine!$A$2:$AY$76,8,FALSE))+IF(H18="",0,VLOOKUP(H18,Bausteine!$A$2:$AY$76,8,FALSE))+IF(I18="",0,VLOOKUP(I18,Bausteine!$A$2:$AY$76,8,FALSE))+IF(J18="",0,VLOOKUP(J18,Bausteine!$A$2:$AY$76,8,FALSE))+IF(K18="",0,VLOOKUP(K18,Bausteine!$A$2:$AY$76,8,FALSE))+IF(L18="",0,VLOOKUP(L18,Bausteine!$A$2:$AY$76,8,FALSE))+IF(AC18="",0,VLOOKUP(AC18,Bausteine!$A$2:$AY$76,8,FALSE))+IF(AF18="",0,VLOOKUP(AF18,Bausteine!$A$2:$AY$76,8,FALSE))+IF(AG18="",0,VLOOKUP(AG18,Bausteine!$A$2:$AY$76,8,FALSE))+IF(AH18="",0,VLOOKUP(AH18,Bausteine!$A$2:$AY$76,8,FALSE))+IF(AQ18="",0,VLOOKUP(AQ18,Bausteine!$A$2:$AY$76,8,FALSE))+AJ18</f>
        <v/>
      </c>
      <c r="U18">
        <f>IF(C18="",0,VLOOKUP(C18,Bausteine!$A$2:$AY$76,9,FALSE))+IF(D18="",0,VLOOKUP(D18,Bausteine!$A$2:$AY$76,9,FALSE))+IF(E18="",0,VLOOKUP(E18,Bausteine!$A$2:$AY$76,9,FALSE))+IF(F18="",0,VLOOKUP(F18,Bausteine!$A$2:$AY$76,9,FALSE))+IF(G18="",0,VLOOKUP(G18,Bausteine!$A$2:$AY$76,9,FALSE))+IF(H18="",0,VLOOKUP(H18,Bausteine!$A$2:$AY$76,9,FALSE))+IF(I18="",0,VLOOKUP(I18,Bausteine!$A$2:$AY$76,9,FALSE))+IF(J18="",0,VLOOKUP(J18,Bausteine!$A$2:$AY$76,9,FALSE))+IF(K18="",0,VLOOKUP(K18,Bausteine!$A$2:$AY$76,9,FALSE))+IF(L18="",0,VLOOKUP(L18,Bausteine!$A$2:$AY$76,9,FALSE))+IF(AC18="",0,VLOOKUP(AC18,Bausteine!$A$2:$AY$76,9,FALSE))+IF(AF18="",0,VLOOKUP(AF18,Bausteine!$A$2:$AY$76,9,FALSE))+IF(AG18="",0,VLOOKUP(AG18,Bausteine!$A$2:$AY$76,9,FALSE))+IF(AH18="",0,VLOOKUP(AH18,Bausteine!$A$2:$AY$76,9,FALSE))+IF(AQ18="",0,VLOOKUP(AQ18,Bausteine!$A$2:$AY$76,9,FALSE))</f>
        <v/>
      </c>
      <c r="V18">
        <f>IF(D18="",0,VLOOKUP(D18,Bausteine!$A$2:$AY$76,10,FALSE))-U18/IF(E18="",0,VLOOKUP(E18,Bausteine!$A$2:$AY$76,11,FALSE))</f>
        <v/>
      </c>
      <c r="W18">
        <f>IF(Y18&lt;&gt;"OK","",ROUND(MIN(IF(C18="",0,VLOOKUP(C18,Bausteine!$A$2:$AY$76,21,FALSE)),IF(AQ18="",0,VLOOKUP(AQ18,Bausteine!$A$2:$AY$76,21,FALSE)),IF(C18="",0,VLOOKUP(C18,Bausteine!$A$2:$AY$76,20,FALSE))*(V18/T18/(IF(C18="",0,VLOOKUP(C18,Bausteine!$A$2:$AY$76,19,FALSE))/IF(C18="",0,VLOOKUP(C18,Bausteine!$A$2:$AY$76,18,FALSE))))^Parameter!$B$3),0))</f>
        <v/>
      </c>
      <c r="X18">
        <f>IF(F18="",0,VLOOKUP(F18,Bausteine!$A$2:$AY$76,14,FALSE))</f>
        <v/>
      </c>
      <c r="Y18">
        <f>IFERROR(IF(OR(AD18&lt;=0,AD18&gt;1,R18&lt;=0,T18&lt;=0,V18&lt;=0,U18&gt;IF(E18="",0,VLOOKUP(E18,Bausteine!$A$2:$AY$76,12,FALSE)),T18&gt;MIN(IF(C18="",0,VLOOKUP(C18,Bausteine!$A$2:$AY$76,22,FALSE)),IF(AQ18="",0,VLOOKUP(AQ18,Bausteine!$A$2:$AY$76,22,FALSE))),IF(E18="",0,VLOOKUP(E18,Bausteine!$A$2:$AY$76,11,FALSE))&lt;=0,IF(E18="",0,VLOOKUP(E18,Bausteine!$A$2:$AY$76,11,FALSE))&gt;1),"UNGUELTIG","OK"),"FEHLER")</f>
        <v/>
      </c>
      <c r="Z18" t="n">
        <v>2900</v>
      </c>
      <c r="AA18" t="n">
        <v>55</v>
      </c>
      <c r="AB18" t="inlineStr">
        <is>
          <t>OFFLINE DRAFT: unverified roof artwork. Existing PDL and flame parts, no special rebate. Main gun and auxiliary fire names must be composed safely.</t>
        </is>
      </c>
      <c r="AC18" t="inlineStr"/>
      <c r="AD18">
        <f>IF(AC18="",1,IF(AC18="",0,VLOOKUP(AC18,Bausteine!$A$2:$AY$76,37,FALSE))/100)</f>
        <v/>
      </c>
      <c r="AE18">
        <f>P18*AD18</f>
        <v/>
      </c>
      <c r="AF18" t="inlineStr">
        <is>
          <t>flame-turret</t>
        </is>
      </c>
      <c r="AG18" t="inlineStr">
        <is>
          <t>dragon-flamer</t>
        </is>
      </c>
      <c r="AH18" t="inlineStr">
        <is>
          <t>flame-fuel</t>
        </is>
      </c>
      <c r="AI18">
        <f>SUMIF(Startbesatzung!$A$2:$A$7,A18,Startbesatzung!$D$2:$D$7)</f>
        <v/>
      </c>
      <c r="AJ18">
        <f>SUMIF(Startbesatzung!$A$2:$A$7,A18,Startbesatzung!$E$2:$E$7)</f>
        <v/>
      </c>
      <c r="AK18">
        <f>MAX(0,IF(Startbesatzung!A2=A18,Startbesatzung!G2,0),IF(Startbesatzung!A3=A18,Startbesatzung!G3,0),IF(Startbesatzung!A4=A18,Startbesatzung!G4,0),IF(Startbesatzung!A5=A18,Startbesatzung!G5,0),IF(Startbesatzung!A6=A18,Startbesatzung!G6,0),IF(Startbesatzung!A7=A18,Startbesatzung!G7,0))</f>
        <v/>
      </c>
      <c r="AL18">
        <f>IF(AF18="","",IF(IF(AH18="",0,VLOOKUP(AH18,Bausteine!$A$2:$AY$76,38,FALSE))&gt;0,IF(AH18="",0,VLOOKUP(AH18,Bausteine!$A$2:$AY$76,38,FALSE)),IF(AG18="",0,VLOOKUP(AG18,Bausteine!$A$2:$AY$76,28,FALSE))))</f>
        <v/>
      </c>
      <c r="AM18">
        <f>IF(AF18="","",IF(AG18="",0,VLOOKUP(AG18,Bausteine!$A$2:$AY$76,44,FALSE)))</f>
        <v/>
      </c>
      <c r="AN18">
        <f>IF(AF18="","",IF(AF18="",0,VLOOKUP(AF18,Bausteine!$A$2:$AY$76,27,FALSE)))</f>
        <v/>
      </c>
      <c r="AO18">
        <f>IF(AF18="","",IF(AF18="",0,VLOOKUP(AF18,Bausteine!$A$2:$AY$76,25,FALSE)))</f>
        <v/>
      </c>
      <c r="AP18">
        <f>IF(AF18="","",IF(AH18="",0,VLOOKUP(AH18,Bausteine!$A$2:$AY$76,29,FALSE)))</f>
        <v/>
      </c>
      <c r="AQ18" t="inlineStr">
        <is>
          <t>tracks-superheavy</t>
        </is>
      </c>
      <c r="AR18">
        <f>IF(AQ18="",0,VLOOKUP(AQ18,Bausteine!$A$2:$AY$76,48,FALSE))</f>
        <v/>
      </c>
      <c r="AS18">
        <f>MIN(IF(AQ18="",0,VLOOKUP(AQ18,Bausteine!$A$2:$AY$76,50,FALSE)),IF(C18="",0,VLOOKUP(C18,Bausteine!$A$2:$AY$76,51,FALSE)))</f>
        <v/>
      </c>
    </row>
    <row r="19">
      <c r="A19" t="inlineStr">
        <is>
          <t>Overlord Flame Roof Reflector / draft</t>
        </is>
      </c>
      <c r="B19" t="inlineStr">
        <is>
          <t>china</t>
        </is>
      </c>
      <c r="C19" t="inlineStr">
        <is>
          <t>overlord-chassis</t>
        </is>
      </c>
      <c r="D19" t="inlineStr">
        <is>
          <t>diesel-heavy-boost</t>
        </is>
      </c>
      <c r="E19" t="inlineStr">
        <is>
          <t>efficient-generator</t>
        </is>
      </c>
      <c r="F19" t="inlineStr">
        <is>
          <t>reflector</t>
        </is>
      </c>
      <c r="G19" t="inlineStr">
        <is>
          <t>heavy-twin-turret</t>
        </is>
      </c>
      <c r="H19" t="inlineStr">
        <is>
          <t>overlord-cannon</t>
        </is>
      </c>
      <c r="I19" t="inlineStr">
        <is>
          <t>heavy-shell</t>
        </is>
      </c>
      <c r="J19" t="inlineStr"/>
      <c r="K19" t="inlineStr"/>
      <c r="L19" t="inlineStr"/>
      <c r="M19">
        <f>IF(C19="",0,VLOOKUP(C19,Bausteine!$A$2:$AY$76,4,FALSE))+IF(D19="",0,VLOOKUP(D19,Bausteine!$A$2:$AY$76,4,FALSE))+IF(E19="",0,VLOOKUP(E19,Bausteine!$A$2:$AY$76,4,FALSE))+IF(F19="",0,VLOOKUP(F19,Bausteine!$A$2:$AY$76,4,FALSE))+IF(G19="",0,VLOOKUP(G19,Bausteine!$A$2:$AY$76,4,FALSE))+IF(H19="",0,VLOOKUP(H19,Bausteine!$A$2:$AY$76,4,FALSE))+IF(I19="",0,VLOOKUP(I19,Bausteine!$A$2:$AY$76,4,FALSE))+IF(J19="",0,VLOOKUP(J19,Bausteine!$A$2:$AY$76,4,FALSE))+IF(K19="",0,VLOOKUP(K19,Bausteine!$A$2:$AY$76,4,FALSE))+IF(L19="",0,VLOOKUP(L19,Bausteine!$A$2:$AY$76,4,FALSE))+IF(AC19="",0,VLOOKUP(AC19,Bausteine!$A$2:$AY$76,4,FALSE))+IF(AF19="",0,VLOOKUP(AF19,Bausteine!$A$2:$AY$76,4,FALSE))+IF(AG19="",0,VLOOKUP(AG19,Bausteine!$A$2:$AY$76,4,FALSE))+IF(AH19="",0,VLOOKUP(AH19,Bausteine!$A$2:$AY$76,4,FALSE))+IF(AQ19="",0,VLOOKUP(AQ19,Bausteine!$A$2:$AY$76,4,FALSE))</f>
        <v/>
      </c>
      <c r="N19">
        <f>IF(C19="",0,VLOOKUP(C19,Bausteine!$A$2:$AY$76,5,FALSE))+IF(D19="",0,VLOOKUP(D19,Bausteine!$A$2:$AY$76,5,FALSE))+IF(E19="",0,VLOOKUP(E19,Bausteine!$A$2:$AY$76,5,FALSE))+IF(F19="",0,VLOOKUP(F19,Bausteine!$A$2:$AY$76,5,FALSE))+IF(G19="",0,VLOOKUP(G19,Bausteine!$A$2:$AY$76,5,FALSE))+IF(H19="",0,VLOOKUP(H19,Bausteine!$A$2:$AY$76,5,FALSE))+IF(I19="",0,VLOOKUP(I19,Bausteine!$A$2:$AY$76,5,FALSE))+IF(J19="",0,VLOOKUP(J19,Bausteine!$A$2:$AY$76,5,FALSE))+IF(K19="",0,VLOOKUP(K19,Bausteine!$A$2:$AY$76,5,FALSE))+IF(L19="",0,VLOOKUP(L19,Bausteine!$A$2:$AY$76,5,FALSE))+IF(AC19="",0,VLOOKUP(AC19,Bausteine!$A$2:$AY$76,5,FALSE))+IF(AF19="",0,VLOOKUP(AF19,Bausteine!$A$2:$AY$76,5,FALSE))+IF(AG19="",0,VLOOKUP(AG19,Bausteine!$A$2:$AY$76,5,FALSE))+IF(AH19="",0,VLOOKUP(AH19,Bausteine!$A$2:$AY$76,5,FALSE))+IF(AQ19="",0,VLOOKUP(AQ19,Bausteine!$A$2:$AY$76,5,FALSE))</f>
        <v/>
      </c>
      <c r="O19">
        <f>MAX(IF(C19="",0,VLOOKUP(C19,Bausteine!$A$2:$AY$76,6,FALSE)),IF(D19="",0,VLOOKUP(D19,Bausteine!$A$2:$AY$76,6,FALSE)),IF(E19="",0,VLOOKUP(E19,Bausteine!$A$2:$AY$76,6,FALSE)),IF(F19="",0,VLOOKUP(F19,Bausteine!$A$2:$AY$76,6,FALSE)),IF(G19="",0,VLOOKUP(G19,Bausteine!$A$2:$AY$76,6,FALSE)),IF(H19="",0,VLOOKUP(H19,Bausteine!$A$2:$AY$76,6,FALSE)),IF(I19="",0,VLOOKUP(I19,Bausteine!$A$2:$AY$76,6,FALSE)),IF(J19="",0,VLOOKUP(J19,Bausteine!$A$2:$AY$76,6,FALSE)),IF(K19="",0,VLOOKUP(K19,Bausteine!$A$2:$AY$76,6,FALSE)),IF(L19="",0,VLOOKUP(L19,Bausteine!$A$2:$AY$76,6,FALSE)),IF(AC19="",0,VLOOKUP(AC19,Bausteine!$A$2:$AY$76,6,FALSE)),IF(AF19="",0,VLOOKUP(AF19,Bausteine!$A$2:$AY$76,6,FALSE)),IF(AG19="",0,VLOOKUP(AG19,Bausteine!$A$2:$AY$76,6,FALSE)),IF(AH19="",0,VLOOKUP(AH19,Bausteine!$A$2:$AY$76,6,FALSE)),IF(AQ19="",0,VLOOKUP(AQ19,Bausteine!$A$2:$AY$76,6,FALSE)),AK19)</f>
        <v/>
      </c>
      <c r="P19">
        <f>IF(C19="",0,VLOOKUP(C19,Bausteine!$A$2:$AY$76,7,FALSE))*IF(F19="",0,VLOOKUP(F19,Bausteine!$A$2:$AY$76,17,FALSE))/100+IF(D19="",0,VLOOKUP(D19,Bausteine!$A$2:$AY$76,7,FALSE))+IF(E19="",0,VLOOKUP(E19,Bausteine!$A$2:$AY$76,7,FALSE))+IF(G19="",0,VLOOKUP(G19,Bausteine!$A$2:$AY$76,7,FALSE))+IF(H19="",0,VLOOKUP(H19,Bausteine!$A$2:$AY$76,7,FALSE))+IF(I19="",0,VLOOKUP(I19,Bausteine!$A$2:$AY$76,7,FALSE))+IF(J19="",0,VLOOKUP(J19,Bausteine!$A$2:$AY$76,7,FALSE))+IF(K19="",0,VLOOKUP(K19,Bausteine!$A$2:$AY$76,7,FALSE))+IF(L19="",0,VLOOKUP(L19,Bausteine!$A$2:$AY$76,7,FALSE))+IF(AC19="",0,VLOOKUP(AC19,Bausteine!$A$2:$AY$76,7,FALSE))+IF(AF19="",0,VLOOKUP(AF19,Bausteine!$A$2:$AY$76,7,FALSE))+IF(AG19="",0,VLOOKUP(AG19,Bausteine!$A$2:$AY$76,7,FALSE))+IF(AH19="",0,VLOOKUP(AH19,Bausteine!$A$2:$AY$76,7,FALSE))+IF(AQ19="",0,VLOOKUP(AQ19,Bausteine!$A$2:$AY$76,7,FALSE))+AI19</f>
        <v/>
      </c>
      <c r="Q19">
        <f>N19*Parameter!$B$2</f>
        <v/>
      </c>
      <c r="R19">
        <f>AE19-Q19</f>
        <v/>
      </c>
      <c r="S19">
        <f>IF(C19="",0,VLOOKUP(C19,Bausteine!$A$2:$AY$76,13,FALSE))*IF(F19="",0,VLOOKUP(F19,Bausteine!$A$2:$AY$76,16,FALSE))/100</f>
        <v/>
      </c>
      <c r="T19">
        <f>IF(C19="",0,VLOOKUP(C19,Bausteine!$A$2:$AY$76,8,FALSE))*IF(F19="",0,VLOOKUP(F19,Bausteine!$A$2:$AY$76,15,FALSE))/100+IF(D19="",0,VLOOKUP(D19,Bausteine!$A$2:$AY$76,8,FALSE))+IF(E19="",0,VLOOKUP(E19,Bausteine!$A$2:$AY$76,8,FALSE))+IF(G19="",0,VLOOKUP(G19,Bausteine!$A$2:$AY$76,8,FALSE))+IF(H19="",0,VLOOKUP(H19,Bausteine!$A$2:$AY$76,8,FALSE))+IF(I19="",0,VLOOKUP(I19,Bausteine!$A$2:$AY$76,8,FALSE))+IF(J19="",0,VLOOKUP(J19,Bausteine!$A$2:$AY$76,8,FALSE))+IF(K19="",0,VLOOKUP(K19,Bausteine!$A$2:$AY$76,8,FALSE))+IF(L19="",0,VLOOKUP(L19,Bausteine!$A$2:$AY$76,8,FALSE))+IF(AC19="",0,VLOOKUP(AC19,Bausteine!$A$2:$AY$76,8,FALSE))+IF(AF19="",0,VLOOKUP(AF19,Bausteine!$A$2:$AY$76,8,FALSE))+IF(AG19="",0,VLOOKUP(AG19,Bausteine!$A$2:$AY$76,8,FALSE))+IF(AH19="",0,VLOOKUP(AH19,Bausteine!$A$2:$AY$76,8,FALSE))+IF(AQ19="",0,VLOOKUP(AQ19,Bausteine!$A$2:$AY$76,8,FALSE))+AJ19</f>
        <v/>
      </c>
      <c r="U19">
        <f>IF(C19="",0,VLOOKUP(C19,Bausteine!$A$2:$AY$76,9,FALSE))+IF(D19="",0,VLOOKUP(D19,Bausteine!$A$2:$AY$76,9,FALSE))+IF(E19="",0,VLOOKUP(E19,Bausteine!$A$2:$AY$76,9,FALSE))+IF(F19="",0,VLOOKUP(F19,Bausteine!$A$2:$AY$76,9,FALSE))+IF(G19="",0,VLOOKUP(G19,Bausteine!$A$2:$AY$76,9,FALSE))+IF(H19="",0,VLOOKUP(H19,Bausteine!$A$2:$AY$76,9,FALSE))+IF(I19="",0,VLOOKUP(I19,Bausteine!$A$2:$AY$76,9,FALSE))+IF(J19="",0,VLOOKUP(J19,Bausteine!$A$2:$AY$76,9,FALSE))+IF(K19="",0,VLOOKUP(K19,Bausteine!$A$2:$AY$76,9,FALSE))+IF(L19="",0,VLOOKUP(L19,Bausteine!$A$2:$AY$76,9,FALSE))+IF(AC19="",0,VLOOKUP(AC19,Bausteine!$A$2:$AY$76,9,FALSE))+IF(AF19="",0,VLOOKUP(AF19,Bausteine!$A$2:$AY$76,9,FALSE))+IF(AG19="",0,VLOOKUP(AG19,Bausteine!$A$2:$AY$76,9,FALSE))+IF(AH19="",0,VLOOKUP(AH19,Bausteine!$A$2:$AY$76,9,FALSE))+IF(AQ19="",0,VLOOKUP(AQ19,Bausteine!$A$2:$AY$76,9,FALSE))</f>
        <v/>
      </c>
      <c r="V19">
        <f>IF(D19="",0,VLOOKUP(D19,Bausteine!$A$2:$AY$76,10,FALSE))-U19/IF(E19="",0,VLOOKUP(E19,Bausteine!$A$2:$AY$76,11,FALSE))</f>
        <v/>
      </c>
      <c r="W19">
        <f>IF(Y19&lt;&gt;"OK","",ROUND(MIN(IF(C19="",0,VLOOKUP(C19,Bausteine!$A$2:$AY$76,21,FALSE)),IF(AQ19="",0,VLOOKUP(AQ19,Bausteine!$A$2:$AY$76,21,FALSE)),IF(C19="",0,VLOOKUP(C19,Bausteine!$A$2:$AY$76,20,FALSE))*(V19/T19/(IF(C19="",0,VLOOKUP(C19,Bausteine!$A$2:$AY$76,19,FALSE))/IF(C19="",0,VLOOKUP(C19,Bausteine!$A$2:$AY$76,18,FALSE))))^Parameter!$B$3),0))</f>
        <v/>
      </c>
      <c r="X19">
        <f>IF(F19="",0,VLOOKUP(F19,Bausteine!$A$2:$AY$76,14,FALSE))</f>
        <v/>
      </c>
      <c r="Y19">
        <f>IFERROR(IF(OR(AD19&lt;=0,AD19&gt;1,R19&lt;=0,T19&lt;=0,V19&lt;=0,U19&gt;IF(E19="",0,VLOOKUP(E19,Bausteine!$A$2:$AY$76,12,FALSE)),T19&gt;MIN(IF(C19="",0,VLOOKUP(C19,Bausteine!$A$2:$AY$76,22,FALSE)),IF(AQ19="",0,VLOOKUP(AQ19,Bausteine!$A$2:$AY$76,22,FALSE))),IF(E19="",0,VLOOKUP(E19,Bausteine!$A$2:$AY$76,11,FALSE))&lt;=0,IF(E19="",0,VLOOKUP(E19,Bausteine!$A$2:$AY$76,11,FALSE))&gt;1),"UNGUELTIG","OK"),"FEHLER")</f>
        <v/>
      </c>
      <c r="Z19" t="n">
        <v>2250</v>
      </c>
      <c r="AA19" t="n">
        <v>55</v>
      </c>
      <c r="AB19" t="inlineStr">
        <is>
          <t>OFFLINE DRAFT: unverified roof artwork. Ordinary flame loadout already has lingering fire effects; no new ammunition compiler is implemented.</t>
        </is>
      </c>
      <c r="AC19" t="inlineStr"/>
      <c r="AD19">
        <f>IF(AC19="",1,IF(AC19="",0,VLOOKUP(AC19,Bausteine!$A$2:$AY$76,37,FALSE))/100)</f>
        <v/>
      </c>
      <c r="AE19">
        <f>P19*AD19</f>
        <v/>
      </c>
      <c r="AF19" t="inlineStr">
        <is>
          <t>flame-turret</t>
        </is>
      </c>
      <c r="AG19" t="inlineStr">
        <is>
          <t>dragon-flamer</t>
        </is>
      </c>
      <c r="AH19" t="inlineStr">
        <is>
          <t>flame-fuel</t>
        </is>
      </c>
      <c r="AI19">
        <f>SUMIF(Startbesatzung!$A$2:$A$7,A19,Startbesatzung!$D$2:$D$7)</f>
        <v/>
      </c>
      <c r="AJ19">
        <f>SUMIF(Startbesatzung!$A$2:$A$7,A19,Startbesatzung!$E$2:$E$7)</f>
        <v/>
      </c>
      <c r="AK19">
        <f>MAX(0,IF(Startbesatzung!A2=A19,Startbesatzung!G2,0),IF(Startbesatzung!A3=A19,Startbesatzung!G3,0),IF(Startbesatzung!A4=A19,Startbesatzung!G4,0),IF(Startbesatzung!A5=A19,Startbesatzung!G5,0),IF(Startbesatzung!A6=A19,Startbesatzung!G6,0),IF(Startbesatzung!A7=A19,Startbesatzung!G7,0))</f>
        <v/>
      </c>
      <c r="AL19">
        <f>IF(AF19="","",IF(IF(AH19="",0,VLOOKUP(AH19,Bausteine!$A$2:$AY$76,38,FALSE))&gt;0,IF(AH19="",0,VLOOKUP(AH19,Bausteine!$A$2:$AY$76,38,FALSE)),IF(AG19="",0,VLOOKUP(AG19,Bausteine!$A$2:$AY$76,28,FALSE))))</f>
        <v/>
      </c>
      <c r="AM19">
        <f>IF(AF19="","",IF(AG19="",0,VLOOKUP(AG19,Bausteine!$A$2:$AY$76,44,FALSE)))</f>
        <v/>
      </c>
      <c r="AN19">
        <f>IF(AF19="","",IF(AF19="",0,VLOOKUP(AF19,Bausteine!$A$2:$AY$76,27,FALSE)))</f>
        <v/>
      </c>
      <c r="AO19">
        <f>IF(AF19="","",IF(AF19="",0,VLOOKUP(AF19,Bausteine!$A$2:$AY$76,25,FALSE)))</f>
        <v/>
      </c>
      <c r="AP19">
        <f>IF(AF19="","",IF(AH19="",0,VLOOKUP(AH19,Bausteine!$A$2:$AY$76,29,FALSE)))</f>
        <v/>
      </c>
      <c r="AQ19" t="inlineStr">
        <is>
          <t>tracks-superheavy</t>
        </is>
      </c>
      <c r="AR19">
        <f>IF(AQ19="",0,VLOOKUP(AQ19,Bausteine!$A$2:$AY$76,48,FALSE))</f>
        <v/>
      </c>
      <c r="AS19">
        <f>MIN(IF(AQ19="",0,VLOOKUP(AQ19,Bausteine!$A$2:$AY$76,50,FALSE)),IF(C19="",0,VLOOKUP(C19,Bausteine!$A$2:$AY$76,51,FALSE)))</f>
        <v/>
      </c>
    </row>
    <row r="20">
      <c r="A20" t="inlineStr">
        <is>
          <t>Overlord Gatling</t>
        </is>
      </c>
      <c r="B20" t="inlineStr">
        <is>
          <t>china</t>
        </is>
      </c>
      <c r="C20" t="inlineStr">
        <is>
          <t>overlord-chassis</t>
        </is>
      </c>
      <c r="D20" t="inlineStr">
        <is>
          <t>diesel-heavy</t>
        </is>
      </c>
      <c r="E20" t="inlineStr">
        <is>
          <t>baseline-generator</t>
        </is>
      </c>
      <c r="F20" t="inlineStr">
        <is>
          <t>heavy</t>
        </is>
      </c>
      <c r="G20" t="inlineStr">
        <is>
          <t>heavy-twin-turret</t>
        </is>
      </c>
      <c r="H20" t="inlineStr">
        <is>
          <t>overlord-cannon</t>
        </is>
      </c>
      <c r="I20" t="inlineStr">
        <is>
          <t>heavy-shell</t>
        </is>
      </c>
      <c r="J20" t="inlineStr"/>
      <c r="K20" t="inlineStr"/>
      <c r="L20" t="inlineStr"/>
      <c r="M20">
        <f>IF(C20="",0,VLOOKUP(C20,Bausteine!$A$2:$AY$76,4,FALSE))+IF(D20="",0,VLOOKUP(D20,Bausteine!$A$2:$AY$76,4,FALSE))+IF(E20="",0,VLOOKUP(E20,Bausteine!$A$2:$AY$76,4,FALSE))+IF(F20="",0,VLOOKUP(F20,Bausteine!$A$2:$AY$76,4,FALSE))+IF(G20="",0,VLOOKUP(G20,Bausteine!$A$2:$AY$76,4,FALSE))+IF(H20="",0,VLOOKUP(H20,Bausteine!$A$2:$AY$76,4,FALSE))+IF(I20="",0,VLOOKUP(I20,Bausteine!$A$2:$AY$76,4,FALSE))+IF(J20="",0,VLOOKUP(J20,Bausteine!$A$2:$AY$76,4,FALSE))+IF(K20="",0,VLOOKUP(K20,Bausteine!$A$2:$AY$76,4,FALSE))+IF(L20="",0,VLOOKUP(L20,Bausteine!$A$2:$AY$76,4,FALSE))+IF(AC20="",0,VLOOKUP(AC20,Bausteine!$A$2:$AY$76,4,FALSE))+IF(AF20="",0,VLOOKUP(AF20,Bausteine!$A$2:$AY$76,4,FALSE))+IF(AG20="",0,VLOOKUP(AG20,Bausteine!$A$2:$AY$76,4,FALSE))+IF(AH20="",0,VLOOKUP(AH20,Bausteine!$A$2:$AY$76,4,FALSE))+IF(AQ20="",0,VLOOKUP(AQ20,Bausteine!$A$2:$AY$76,4,FALSE))</f>
        <v/>
      </c>
      <c r="N20">
        <f>IF(C20="",0,VLOOKUP(C20,Bausteine!$A$2:$AY$76,5,FALSE))+IF(D20="",0,VLOOKUP(D20,Bausteine!$A$2:$AY$76,5,FALSE))+IF(E20="",0,VLOOKUP(E20,Bausteine!$A$2:$AY$76,5,FALSE))+IF(F20="",0,VLOOKUP(F20,Bausteine!$A$2:$AY$76,5,FALSE))+IF(G20="",0,VLOOKUP(G20,Bausteine!$A$2:$AY$76,5,FALSE))+IF(H20="",0,VLOOKUP(H20,Bausteine!$A$2:$AY$76,5,FALSE))+IF(I20="",0,VLOOKUP(I20,Bausteine!$A$2:$AY$76,5,FALSE))+IF(J20="",0,VLOOKUP(J20,Bausteine!$A$2:$AY$76,5,FALSE))+IF(K20="",0,VLOOKUP(K20,Bausteine!$A$2:$AY$76,5,FALSE))+IF(L20="",0,VLOOKUP(L20,Bausteine!$A$2:$AY$76,5,FALSE))+IF(AC20="",0,VLOOKUP(AC20,Bausteine!$A$2:$AY$76,5,FALSE))+IF(AF20="",0,VLOOKUP(AF20,Bausteine!$A$2:$AY$76,5,FALSE))+IF(AG20="",0,VLOOKUP(AG20,Bausteine!$A$2:$AY$76,5,FALSE))+IF(AH20="",0,VLOOKUP(AH20,Bausteine!$A$2:$AY$76,5,FALSE))+IF(AQ20="",0,VLOOKUP(AQ20,Bausteine!$A$2:$AY$76,5,FALSE))</f>
        <v/>
      </c>
      <c r="O20">
        <f>MAX(IF(C20="",0,VLOOKUP(C20,Bausteine!$A$2:$AY$76,6,FALSE)),IF(D20="",0,VLOOKUP(D20,Bausteine!$A$2:$AY$76,6,FALSE)),IF(E20="",0,VLOOKUP(E20,Bausteine!$A$2:$AY$76,6,FALSE)),IF(F20="",0,VLOOKUP(F20,Bausteine!$A$2:$AY$76,6,FALSE)),IF(G20="",0,VLOOKUP(G20,Bausteine!$A$2:$AY$76,6,FALSE)),IF(H20="",0,VLOOKUP(H20,Bausteine!$A$2:$AY$76,6,FALSE)),IF(I20="",0,VLOOKUP(I20,Bausteine!$A$2:$AY$76,6,FALSE)),IF(J20="",0,VLOOKUP(J20,Bausteine!$A$2:$AY$76,6,FALSE)),IF(K20="",0,VLOOKUP(K20,Bausteine!$A$2:$AY$76,6,FALSE)),IF(L20="",0,VLOOKUP(L20,Bausteine!$A$2:$AY$76,6,FALSE)),IF(AC20="",0,VLOOKUP(AC20,Bausteine!$A$2:$AY$76,6,FALSE)),IF(AF20="",0,VLOOKUP(AF20,Bausteine!$A$2:$AY$76,6,FALSE)),IF(AG20="",0,VLOOKUP(AG20,Bausteine!$A$2:$AY$76,6,FALSE)),IF(AH20="",0,VLOOKUP(AH20,Bausteine!$A$2:$AY$76,6,FALSE)),IF(AQ20="",0,VLOOKUP(AQ20,Bausteine!$A$2:$AY$76,6,FALSE)),AK20)</f>
        <v/>
      </c>
      <c r="P20">
        <f>IF(C20="",0,VLOOKUP(C20,Bausteine!$A$2:$AY$76,7,FALSE))*IF(F20="",0,VLOOKUP(F20,Bausteine!$A$2:$AY$76,17,FALSE))/100+IF(D20="",0,VLOOKUP(D20,Bausteine!$A$2:$AY$76,7,FALSE))+IF(E20="",0,VLOOKUP(E20,Bausteine!$A$2:$AY$76,7,FALSE))+IF(G20="",0,VLOOKUP(G20,Bausteine!$A$2:$AY$76,7,FALSE))+IF(H20="",0,VLOOKUP(H20,Bausteine!$A$2:$AY$76,7,FALSE))+IF(I20="",0,VLOOKUP(I20,Bausteine!$A$2:$AY$76,7,FALSE))+IF(J20="",0,VLOOKUP(J20,Bausteine!$A$2:$AY$76,7,FALSE))+IF(K20="",0,VLOOKUP(K20,Bausteine!$A$2:$AY$76,7,FALSE))+IF(L20="",0,VLOOKUP(L20,Bausteine!$A$2:$AY$76,7,FALSE))+IF(AC20="",0,VLOOKUP(AC20,Bausteine!$A$2:$AY$76,7,FALSE))+IF(AF20="",0,VLOOKUP(AF20,Bausteine!$A$2:$AY$76,7,FALSE))+IF(AG20="",0,VLOOKUP(AG20,Bausteine!$A$2:$AY$76,7,FALSE))+IF(AH20="",0,VLOOKUP(AH20,Bausteine!$A$2:$AY$76,7,FALSE))+IF(AQ20="",0,VLOOKUP(AQ20,Bausteine!$A$2:$AY$76,7,FALSE))+AI20</f>
        <v/>
      </c>
      <c r="Q20">
        <f>N20*Parameter!$B$2</f>
        <v/>
      </c>
      <c r="R20">
        <f>AE20-Q20</f>
        <v/>
      </c>
      <c r="S20">
        <f>IF(C20="",0,VLOOKUP(C20,Bausteine!$A$2:$AY$76,13,FALSE))*IF(F20="",0,VLOOKUP(F20,Bausteine!$A$2:$AY$76,16,FALSE))/100</f>
        <v/>
      </c>
      <c r="T20">
        <f>IF(C20="",0,VLOOKUP(C20,Bausteine!$A$2:$AY$76,8,FALSE))*IF(F20="",0,VLOOKUP(F20,Bausteine!$A$2:$AY$76,15,FALSE))/100+IF(D20="",0,VLOOKUP(D20,Bausteine!$A$2:$AY$76,8,FALSE))+IF(E20="",0,VLOOKUP(E20,Bausteine!$A$2:$AY$76,8,FALSE))+IF(G20="",0,VLOOKUP(G20,Bausteine!$A$2:$AY$76,8,FALSE))+IF(H20="",0,VLOOKUP(H20,Bausteine!$A$2:$AY$76,8,FALSE))+IF(I20="",0,VLOOKUP(I20,Bausteine!$A$2:$AY$76,8,FALSE))+IF(J20="",0,VLOOKUP(J20,Bausteine!$A$2:$AY$76,8,FALSE))+IF(K20="",0,VLOOKUP(K20,Bausteine!$A$2:$AY$76,8,FALSE))+IF(L20="",0,VLOOKUP(L20,Bausteine!$A$2:$AY$76,8,FALSE))+IF(AC20="",0,VLOOKUP(AC20,Bausteine!$A$2:$AY$76,8,FALSE))+IF(AF20="",0,VLOOKUP(AF20,Bausteine!$A$2:$AY$76,8,FALSE))+IF(AG20="",0,VLOOKUP(AG20,Bausteine!$A$2:$AY$76,8,FALSE))+IF(AH20="",0,VLOOKUP(AH20,Bausteine!$A$2:$AY$76,8,FALSE))+IF(AQ20="",0,VLOOKUP(AQ20,Bausteine!$A$2:$AY$76,8,FALSE))+AJ20</f>
        <v/>
      </c>
      <c r="U20">
        <f>IF(C20="",0,VLOOKUP(C20,Bausteine!$A$2:$AY$76,9,FALSE))+IF(D20="",0,VLOOKUP(D20,Bausteine!$A$2:$AY$76,9,FALSE))+IF(E20="",0,VLOOKUP(E20,Bausteine!$A$2:$AY$76,9,FALSE))+IF(F20="",0,VLOOKUP(F20,Bausteine!$A$2:$AY$76,9,FALSE))+IF(G20="",0,VLOOKUP(G20,Bausteine!$A$2:$AY$76,9,FALSE))+IF(H20="",0,VLOOKUP(H20,Bausteine!$A$2:$AY$76,9,FALSE))+IF(I20="",0,VLOOKUP(I20,Bausteine!$A$2:$AY$76,9,FALSE))+IF(J20="",0,VLOOKUP(J20,Bausteine!$A$2:$AY$76,9,FALSE))+IF(K20="",0,VLOOKUP(K20,Bausteine!$A$2:$AY$76,9,FALSE))+IF(L20="",0,VLOOKUP(L20,Bausteine!$A$2:$AY$76,9,FALSE))+IF(AC20="",0,VLOOKUP(AC20,Bausteine!$A$2:$AY$76,9,FALSE))+IF(AF20="",0,VLOOKUP(AF20,Bausteine!$A$2:$AY$76,9,FALSE))+IF(AG20="",0,VLOOKUP(AG20,Bausteine!$A$2:$AY$76,9,FALSE))+IF(AH20="",0,VLOOKUP(AH20,Bausteine!$A$2:$AY$76,9,FALSE))+IF(AQ20="",0,VLOOKUP(AQ20,Bausteine!$A$2:$AY$76,9,FALSE))</f>
        <v/>
      </c>
      <c r="V20">
        <f>IF(D20="",0,VLOOKUP(D20,Bausteine!$A$2:$AY$76,10,FALSE))-U20/IF(E20="",0,VLOOKUP(E20,Bausteine!$A$2:$AY$76,11,FALSE))</f>
        <v/>
      </c>
      <c r="W20">
        <f>IF(Y20&lt;&gt;"OK","",ROUND(MIN(IF(C20="",0,VLOOKUP(C20,Bausteine!$A$2:$AY$76,21,FALSE)),IF(AQ20="",0,VLOOKUP(AQ20,Bausteine!$A$2:$AY$76,21,FALSE)),IF(C20="",0,VLOOKUP(C20,Bausteine!$A$2:$AY$76,20,FALSE))*(V20/T20/(IF(C20="",0,VLOOKUP(C20,Bausteine!$A$2:$AY$76,19,FALSE))/IF(C20="",0,VLOOKUP(C20,Bausteine!$A$2:$AY$76,18,FALSE))))^Parameter!$B$3),0))</f>
        <v/>
      </c>
      <c r="X20">
        <f>IF(F20="",0,VLOOKUP(F20,Bausteine!$A$2:$AY$76,14,FALSE))</f>
        <v/>
      </c>
      <c r="Y20">
        <f>IFERROR(IF(OR(AD20&lt;=0,AD20&gt;1,R20&lt;=0,T20&lt;=0,V20&lt;=0,U20&gt;IF(E20="",0,VLOOKUP(E20,Bausteine!$A$2:$AY$76,12,FALSE)),T20&gt;MIN(IF(C20="",0,VLOOKUP(C20,Bausteine!$A$2:$AY$76,22,FALSE)),IF(AQ20="",0,VLOOKUP(AQ20,Bausteine!$A$2:$AY$76,22,FALSE))),IF(E20="",0,VLOOKUP(E20,Bausteine!$A$2:$AY$76,11,FALSE))&lt;=0,IF(E20="",0,VLOOKUP(E20,Bausteine!$A$2:$AY$76,11,FALSE))&gt;1),"UNGUELTIG","OK"),"FEHLER")</f>
        <v/>
      </c>
      <c r="Z20" t="n">
        <v>2000</v>
      </c>
      <c r="AA20" t="n">
        <v>54</v>
      </c>
      <c r="AB20" t="inlineStr">
        <is>
          <t>Separate roof carrier; retains main cannon. Gatling spin-up and sensors reuse existing templates.</t>
        </is>
      </c>
      <c r="AC20" t="inlineStr"/>
      <c r="AD20">
        <f>IF(AC20="",1,IF(AC20="",0,VLOOKUP(AC20,Bausteine!$A$2:$AY$76,37,FALSE))/100)</f>
        <v/>
      </c>
      <c r="AE20">
        <f>P20*AD20</f>
        <v/>
      </c>
      <c r="AF20" t="inlineStr">
        <is>
          <t>gatling-roof-carrier</t>
        </is>
      </c>
      <c r="AG20" t="inlineStr">
        <is>
          <t>gatling-gun</t>
        </is>
      </c>
      <c r="AH20" t="inlineStr">
        <is>
          <t>gatling-rounds</t>
        </is>
      </c>
      <c r="AI20">
        <f>SUMIF(Startbesatzung!$A$2:$A$7,A20,Startbesatzung!$D$2:$D$7)</f>
        <v/>
      </c>
      <c r="AJ20">
        <f>SUMIF(Startbesatzung!$A$2:$A$7,A20,Startbesatzung!$E$2:$E$7)</f>
        <v/>
      </c>
      <c r="AK20">
        <f>MAX(0,IF(Startbesatzung!A2=A20,Startbesatzung!G2,0),IF(Startbesatzung!A3=A20,Startbesatzung!G3,0),IF(Startbesatzung!A4=A20,Startbesatzung!G4,0),IF(Startbesatzung!A5=A20,Startbesatzung!G5,0),IF(Startbesatzung!A6=A20,Startbesatzung!G6,0),IF(Startbesatzung!A7=A20,Startbesatzung!G7,0))</f>
        <v/>
      </c>
      <c r="AL20">
        <f>IF(AF20="","",IF(IF(AH20="",0,VLOOKUP(AH20,Bausteine!$A$2:$AY$76,38,FALSE))&gt;0,IF(AH20="",0,VLOOKUP(AH20,Bausteine!$A$2:$AY$76,38,FALSE)),IF(AG20="",0,VLOOKUP(AG20,Bausteine!$A$2:$AY$76,28,FALSE))))</f>
        <v/>
      </c>
      <c r="AM20">
        <f>IF(AF20="","",IF(AG20="",0,VLOOKUP(AG20,Bausteine!$A$2:$AY$76,44,FALSE)))</f>
        <v/>
      </c>
      <c r="AN20">
        <f>IF(AF20="","",IF(AF20="",0,VLOOKUP(AF20,Bausteine!$A$2:$AY$76,27,FALSE)))</f>
        <v/>
      </c>
      <c r="AO20">
        <f>IF(AF20="","",IF(AF20="",0,VLOOKUP(AF20,Bausteine!$A$2:$AY$76,25,FALSE)))</f>
        <v/>
      </c>
      <c r="AP20">
        <f>IF(AF20="","",IF(AH20="",0,VLOOKUP(AH20,Bausteine!$A$2:$AY$76,29,FALSE)))</f>
        <v/>
      </c>
      <c r="AQ20" t="inlineStr">
        <is>
          <t>tracks-superheavy</t>
        </is>
      </c>
      <c r="AR20">
        <f>IF(AQ20="",0,VLOOKUP(AQ20,Bausteine!$A$2:$AY$76,48,FALSE))</f>
        <v/>
      </c>
      <c r="AS20">
        <f>MIN(IF(AQ20="",0,VLOOKUP(AQ20,Bausteine!$A$2:$AY$76,50,FALSE)),IF(C20="",0,VLOOKUP(C20,Bausteine!$A$2:$AY$76,51,FALSE)))</f>
        <v/>
      </c>
    </row>
    <row r="21">
      <c r="A21" t="inlineStr">
        <is>
          <t>Overlord Gatling PDL</t>
        </is>
      </c>
      <c r="B21" t="inlineStr">
        <is>
          <t>china</t>
        </is>
      </c>
      <c r="C21" t="inlineStr">
        <is>
          <t>overlord-chassis</t>
        </is>
      </c>
      <c r="D21" t="inlineStr">
        <is>
          <t>diesel-heavy-boost</t>
        </is>
      </c>
      <c r="E21" t="inlineStr">
        <is>
          <t>efficient-generator</t>
        </is>
      </c>
      <c r="F21" t="inlineStr">
        <is>
          <t>heavy</t>
        </is>
      </c>
      <c r="G21" t="inlineStr">
        <is>
          <t>heavy-twin-turret</t>
        </is>
      </c>
      <c r="H21" t="inlineStr">
        <is>
          <t>overlord-cannon</t>
        </is>
      </c>
      <c r="I21" t="inlineStr">
        <is>
          <t>heavy-shell</t>
        </is>
      </c>
      <c r="J21" t="inlineStr">
        <is>
          <t>pdl</t>
        </is>
      </c>
      <c r="K21" t="inlineStr"/>
      <c r="L21" t="inlineStr"/>
      <c r="M21">
        <f>IF(C21="",0,VLOOKUP(C21,Bausteine!$A$2:$AY$76,4,FALSE))+IF(D21="",0,VLOOKUP(D21,Bausteine!$A$2:$AY$76,4,FALSE))+IF(E21="",0,VLOOKUP(E21,Bausteine!$A$2:$AY$76,4,FALSE))+IF(F21="",0,VLOOKUP(F21,Bausteine!$A$2:$AY$76,4,FALSE))+IF(G21="",0,VLOOKUP(G21,Bausteine!$A$2:$AY$76,4,FALSE))+IF(H21="",0,VLOOKUP(H21,Bausteine!$A$2:$AY$76,4,FALSE))+IF(I21="",0,VLOOKUP(I21,Bausteine!$A$2:$AY$76,4,FALSE))+IF(J21="",0,VLOOKUP(J21,Bausteine!$A$2:$AY$76,4,FALSE))+IF(K21="",0,VLOOKUP(K21,Bausteine!$A$2:$AY$76,4,FALSE))+IF(L21="",0,VLOOKUP(L21,Bausteine!$A$2:$AY$76,4,FALSE))+IF(AC21="",0,VLOOKUP(AC21,Bausteine!$A$2:$AY$76,4,FALSE))+IF(AF21="",0,VLOOKUP(AF21,Bausteine!$A$2:$AY$76,4,FALSE))+IF(AG21="",0,VLOOKUP(AG21,Bausteine!$A$2:$AY$76,4,FALSE))+IF(AH21="",0,VLOOKUP(AH21,Bausteine!$A$2:$AY$76,4,FALSE))+IF(AQ21="",0,VLOOKUP(AQ21,Bausteine!$A$2:$AY$76,4,FALSE))</f>
        <v/>
      </c>
      <c r="N21">
        <f>IF(C21="",0,VLOOKUP(C21,Bausteine!$A$2:$AY$76,5,FALSE))+IF(D21="",0,VLOOKUP(D21,Bausteine!$A$2:$AY$76,5,FALSE))+IF(E21="",0,VLOOKUP(E21,Bausteine!$A$2:$AY$76,5,FALSE))+IF(F21="",0,VLOOKUP(F21,Bausteine!$A$2:$AY$76,5,FALSE))+IF(G21="",0,VLOOKUP(G21,Bausteine!$A$2:$AY$76,5,FALSE))+IF(H21="",0,VLOOKUP(H21,Bausteine!$A$2:$AY$76,5,FALSE))+IF(I21="",0,VLOOKUP(I21,Bausteine!$A$2:$AY$76,5,FALSE))+IF(J21="",0,VLOOKUP(J21,Bausteine!$A$2:$AY$76,5,FALSE))+IF(K21="",0,VLOOKUP(K21,Bausteine!$A$2:$AY$76,5,FALSE))+IF(L21="",0,VLOOKUP(L21,Bausteine!$A$2:$AY$76,5,FALSE))+IF(AC21="",0,VLOOKUP(AC21,Bausteine!$A$2:$AY$76,5,FALSE))+IF(AF21="",0,VLOOKUP(AF21,Bausteine!$A$2:$AY$76,5,FALSE))+IF(AG21="",0,VLOOKUP(AG21,Bausteine!$A$2:$AY$76,5,FALSE))+IF(AH21="",0,VLOOKUP(AH21,Bausteine!$A$2:$AY$76,5,FALSE))+IF(AQ21="",0,VLOOKUP(AQ21,Bausteine!$A$2:$AY$76,5,FALSE))</f>
        <v/>
      </c>
      <c r="O21">
        <f>MAX(IF(C21="",0,VLOOKUP(C21,Bausteine!$A$2:$AY$76,6,FALSE)),IF(D21="",0,VLOOKUP(D21,Bausteine!$A$2:$AY$76,6,FALSE)),IF(E21="",0,VLOOKUP(E21,Bausteine!$A$2:$AY$76,6,FALSE)),IF(F21="",0,VLOOKUP(F21,Bausteine!$A$2:$AY$76,6,FALSE)),IF(G21="",0,VLOOKUP(G21,Bausteine!$A$2:$AY$76,6,FALSE)),IF(H21="",0,VLOOKUP(H21,Bausteine!$A$2:$AY$76,6,FALSE)),IF(I21="",0,VLOOKUP(I21,Bausteine!$A$2:$AY$76,6,FALSE)),IF(J21="",0,VLOOKUP(J21,Bausteine!$A$2:$AY$76,6,FALSE)),IF(K21="",0,VLOOKUP(K21,Bausteine!$A$2:$AY$76,6,FALSE)),IF(L21="",0,VLOOKUP(L21,Bausteine!$A$2:$AY$76,6,FALSE)),IF(AC21="",0,VLOOKUP(AC21,Bausteine!$A$2:$AY$76,6,FALSE)),IF(AF21="",0,VLOOKUP(AF21,Bausteine!$A$2:$AY$76,6,FALSE)),IF(AG21="",0,VLOOKUP(AG21,Bausteine!$A$2:$AY$76,6,FALSE)),IF(AH21="",0,VLOOKUP(AH21,Bausteine!$A$2:$AY$76,6,FALSE)),IF(AQ21="",0,VLOOKUP(AQ21,Bausteine!$A$2:$AY$76,6,FALSE)),AK21)</f>
        <v/>
      </c>
      <c r="P21">
        <f>IF(C21="",0,VLOOKUP(C21,Bausteine!$A$2:$AY$76,7,FALSE))*IF(F21="",0,VLOOKUP(F21,Bausteine!$A$2:$AY$76,17,FALSE))/100+IF(D21="",0,VLOOKUP(D21,Bausteine!$A$2:$AY$76,7,FALSE))+IF(E21="",0,VLOOKUP(E21,Bausteine!$A$2:$AY$76,7,FALSE))+IF(G21="",0,VLOOKUP(G21,Bausteine!$A$2:$AY$76,7,FALSE))+IF(H21="",0,VLOOKUP(H21,Bausteine!$A$2:$AY$76,7,FALSE))+IF(I21="",0,VLOOKUP(I21,Bausteine!$A$2:$AY$76,7,FALSE))+IF(J21="",0,VLOOKUP(J21,Bausteine!$A$2:$AY$76,7,FALSE))+IF(K21="",0,VLOOKUP(K21,Bausteine!$A$2:$AY$76,7,FALSE))+IF(L21="",0,VLOOKUP(L21,Bausteine!$A$2:$AY$76,7,FALSE))+IF(AC21="",0,VLOOKUP(AC21,Bausteine!$A$2:$AY$76,7,FALSE))+IF(AF21="",0,VLOOKUP(AF21,Bausteine!$A$2:$AY$76,7,FALSE))+IF(AG21="",0,VLOOKUP(AG21,Bausteine!$A$2:$AY$76,7,FALSE))+IF(AH21="",0,VLOOKUP(AH21,Bausteine!$A$2:$AY$76,7,FALSE))+IF(AQ21="",0,VLOOKUP(AQ21,Bausteine!$A$2:$AY$76,7,FALSE))+AI21</f>
        <v/>
      </c>
      <c r="Q21">
        <f>N21*Parameter!$B$2</f>
        <v/>
      </c>
      <c r="R21">
        <f>AE21-Q21</f>
        <v/>
      </c>
      <c r="S21">
        <f>IF(C21="",0,VLOOKUP(C21,Bausteine!$A$2:$AY$76,13,FALSE))*IF(F21="",0,VLOOKUP(F21,Bausteine!$A$2:$AY$76,16,FALSE))/100</f>
        <v/>
      </c>
      <c r="T21">
        <f>IF(C21="",0,VLOOKUP(C21,Bausteine!$A$2:$AY$76,8,FALSE))*IF(F21="",0,VLOOKUP(F21,Bausteine!$A$2:$AY$76,15,FALSE))/100+IF(D21="",0,VLOOKUP(D21,Bausteine!$A$2:$AY$76,8,FALSE))+IF(E21="",0,VLOOKUP(E21,Bausteine!$A$2:$AY$76,8,FALSE))+IF(G21="",0,VLOOKUP(G21,Bausteine!$A$2:$AY$76,8,FALSE))+IF(H21="",0,VLOOKUP(H21,Bausteine!$A$2:$AY$76,8,FALSE))+IF(I21="",0,VLOOKUP(I21,Bausteine!$A$2:$AY$76,8,FALSE))+IF(J21="",0,VLOOKUP(J21,Bausteine!$A$2:$AY$76,8,FALSE))+IF(K21="",0,VLOOKUP(K21,Bausteine!$A$2:$AY$76,8,FALSE))+IF(L21="",0,VLOOKUP(L21,Bausteine!$A$2:$AY$76,8,FALSE))+IF(AC21="",0,VLOOKUP(AC21,Bausteine!$A$2:$AY$76,8,FALSE))+IF(AF21="",0,VLOOKUP(AF21,Bausteine!$A$2:$AY$76,8,FALSE))+IF(AG21="",0,VLOOKUP(AG21,Bausteine!$A$2:$AY$76,8,FALSE))+IF(AH21="",0,VLOOKUP(AH21,Bausteine!$A$2:$AY$76,8,FALSE))+IF(AQ21="",0,VLOOKUP(AQ21,Bausteine!$A$2:$AY$76,8,FALSE))+AJ21</f>
        <v/>
      </c>
      <c r="U21">
        <f>IF(C21="",0,VLOOKUP(C21,Bausteine!$A$2:$AY$76,9,FALSE))+IF(D21="",0,VLOOKUP(D21,Bausteine!$A$2:$AY$76,9,FALSE))+IF(E21="",0,VLOOKUP(E21,Bausteine!$A$2:$AY$76,9,FALSE))+IF(F21="",0,VLOOKUP(F21,Bausteine!$A$2:$AY$76,9,FALSE))+IF(G21="",0,VLOOKUP(G21,Bausteine!$A$2:$AY$76,9,FALSE))+IF(H21="",0,VLOOKUP(H21,Bausteine!$A$2:$AY$76,9,FALSE))+IF(I21="",0,VLOOKUP(I21,Bausteine!$A$2:$AY$76,9,FALSE))+IF(J21="",0,VLOOKUP(J21,Bausteine!$A$2:$AY$76,9,FALSE))+IF(K21="",0,VLOOKUP(K21,Bausteine!$A$2:$AY$76,9,FALSE))+IF(L21="",0,VLOOKUP(L21,Bausteine!$A$2:$AY$76,9,FALSE))+IF(AC21="",0,VLOOKUP(AC21,Bausteine!$A$2:$AY$76,9,FALSE))+IF(AF21="",0,VLOOKUP(AF21,Bausteine!$A$2:$AY$76,9,FALSE))+IF(AG21="",0,VLOOKUP(AG21,Bausteine!$A$2:$AY$76,9,FALSE))+IF(AH21="",0,VLOOKUP(AH21,Bausteine!$A$2:$AY$76,9,FALSE))+IF(AQ21="",0,VLOOKUP(AQ21,Bausteine!$A$2:$AY$76,9,FALSE))</f>
        <v/>
      </c>
      <c r="V21">
        <f>IF(D21="",0,VLOOKUP(D21,Bausteine!$A$2:$AY$76,10,FALSE))-U21/IF(E21="",0,VLOOKUP(E21,Bausteine!$A$2:$AY$76,11,FALSE))</f>
        <v/>
      </c>
      <c r="W21">
        <f>IF(Y21&lt;&gt;"OK","",ROUND(MIN(IF(C21="",0,VLOOKUP(C21,Bausteine!$A$2:$AY$76,21,FALSE)),IF(AQ21="",0,VLOOKUP(AQ21,Bausteine!$A$2:$AY$76,21,FALSE)),IF(C21="",0,VLOOKUP(C21,Bausteine!$A$2:$AY$76,20,FALSE))*(V21/T21/(IF(C21="",0,VLOOKUP(C21,Bausteine!$A$2:$AY$76,19,FALSE))/IF(C21="",0,VLOOKUP(C21,Bausteine!$A$2:$AY$76,18,FALSE))))^Parameter!$B$3),0))</f>
        <v/>
      </c>
      <c r="X21">
        <f>IF(F21="",0,VLOOKUP(F21,Bausteine!$A$2:$AY$76,14,FALSE))</f>
        <v/>
      </c>
      <c r="Y21">
        <f>IFERROR(IF(OR(AD21&lt;=0,AD21&gt;1,R21&lt;=0,T21&lt;=0,V21&lt;=0,U21&gt;IF(E21="",0,VLOOKUP(E21,Bausteine!$A$2:$AY$76,12,FALSE)),T21&gt;MIN(IF(C21="",0,VLOOKUP(C21,Bausteine!$A$2:$AY$76,22,FALSE)),IF(AQ21="",0,VLOOKUP(AQ21,Bausteine!$A$2:$AY$76,22,FALSE))),IF(E21="",0,VLOOKUP(E21,Bausteine!$A$2:$AY$76,11,FALSE))&lt;=0,IF(E21="",0,VLOOKUP(E21,Bausteine!$A$2:$AY$76,11,FALSE))&gt;1),"UNGUELTIG","OK"),"FEHLER")</f>
        <v/>
      </c>
      <c r="Z21" t="n">
        <v>2650</v>
      </c>
      <c r="AA21" t="n">
        <v>55</v>
      </c>
      <c r="AB21" t="inlineStr"/>
      <c r="AC21" t="inlineStr"/>
      <c r="AD21">
        <f>IF(AC21="",1,IF(AC21="",0,VLOOKUP(AC21,Bausteine!$A$2:$AY$76,37,FALSE))/100)</f>
        <v/>
      </c>
      <c r="AE21">
        <f>P21*AD21</f>
        <v/>
      </c>
      <c r="AF21" t="inlineStr">
        <is>
          <t>gatling-roof-carrier</t>
        </is>
      </c>
      <c r="AG21" t="inlineStr">
        <is>
          <t>gatling-gun</t>
        </is>
      </c>
      <c r="AH21" t="inlineStr">
        <is>
          <t>gatling-rounds</t>
        </is>
      </c>
      <c r="AI21">
        <f>SUMIF(Startbesatzung!$A$2:$A$7,A21,Startbesatzung!$D$2:$D$7)</f>
        <v/>
      </c>
      <c r="AJ21">
        <f>SUMIF(Startbesatzung!$A$2:$A$7,A21,Startbesatzung!$E$2:$E$7)</f>
        <v/>
      </c>
      <c r="AK21">
        <f>MAX(0,IF(Startbesatzung!A2=A21,Startbesatzung!G2,0),IF(Startbesatzung!A3=A21,Startbesatzung!G3,0),IF(Startbesatzung!A4=A21,Startbesatzung!G4,0),IF(Startbesatzung!A5=A21,Startbesatzung!G5,0),IF(Startbesatzung!A6=A21,Startbesatzung!G6,0),IF(Startbesatzung!A7=A21,Startbesatzung!G7,0))</f>
        <v/>
      </c>
      <c r="AL21">
        <f>IF(AF21="","",IF(IF(AH21="",0,VLOOKUP(AH21,Bausteine!$A$2:$AY$76,38,FALSE))&gt;0,IF(AH21="",0,VLOOKUP(AH21,Bausteine!$A$2:$AY$76,38,FALSE)),IF(AG21="",0,VLOOKUP(AG21,Bausteine!$A$2:$AY$76,28,FALSE))))</f>
        <v/>
      </c>
      <c r="AM21">
        <f>IF(AF21="","",IF(AG21="",0,VLOOKUP(AG21,Bausteine!$A$2:$AY$76,44,FALSE)))</f>
        <v/>
      </c>
      <c r="AN21">
        <f>IF(AF21="","",IF(AF21="",0,VLOOKUP(AF21,Bausteine!$A$2:$AY$76,27,FALSE)))</f>
        <v/>
      </c>
      <c r="AO21">
        <f>IF(AF21="","",IF(AF21="",0,VLOOKUP(AF21,Bausteine!$A$2:$AY$76,25,FALSE)))</f>
        <v/>
      </c>
      <c r="AP21">
        <f>IF(AF21="","",IF(AH21="",0,VLOOKUP(AH21,Bausteine!$A$2:$AY$76,29,FALSE)))</f>
        <v/>
      </c>
      <c r="AQ21" t="inlineStr">
        <is>
          <t>tracks-superheavy</t>
        </is>
      </c>
      <c r="AR21">
        <f>IF(AQ21="",0,VLOOKUP(AQ21,Bausteine!$A$2:$AY$76,48,FALSE))</f>
        <v/>
      </c>
      <c r="AS21">
        <f>MIN(IF(AQ21="",0,VLOOKUP(AQ21,Bausteine!$A$2:$AY$76,50,FALSE)),IF(C21="",0,VLOOKUP(C21,Bausteine!$A$2:$AY$76,51,FALSE)))</f>
        <v/>
      </c>
    </row>
    <row r="22">
      <c r="A22" t="inlineStr">
        <is>
          <t>Overlord Gatling Reflector</t>
        </is>
      </c>
      <c r="B22" t="inlineStr">
        <is>
          <t>china</t>
        </is>
      </c>
      <c r="C22" t="inlineStr">
        <is>
          <t>overlord-chassis</t>
        </is>
      </c>
      <c r="D22" t="inlineStr">
        <is>
          <t>diesel-heavy-boost</t>
        </is>
      </c>
      <c r="E22" t="inlineStr">
        <is>
          <t>efficient-generator</t>
        </is>
      </c>
      <c r="F22" t="inlineStr">
        <is>
          <t>reflector</t>
        </is>
      </c>
      <c r="G22" t="inlineStr">
        <is>
          <t>heavy-twin-turret</t>
        </is>
      </c>
      <c r="H22" t="inlineStr">
        <is>
          <t>overlord-cannon</t>
        </is>
      </c>
      <c r="I22" t="inlineStr">
        <is>
          <t>heavy-shell</t>
        </is>
      </c>
      <c r="J22" t="inlineStr"/>
      <c r="K22" t="inlineStr"/>
      <c r="L22" t="inlineStr"/>
      <c r="M22">
        <f>IF(C22="",0,VLOOKUP(C22,Bausteine!$A$2:$AY$76,4,FALSE))+IF(D22="",0,VLOOKUP(D22,Bausteine!$A$2:$AY$76,4,FALSE))+IF(E22="",0,VLOOKUP(E22,Bausteine!$A$2:$AY$76,4,FALSE))+IF(F22="",0,VLOOKUP(F22,Bausteine!$A$2:$AY$76,4,FALSE))+IF(G22="",0,VLOOKUP(G22,Bausteine!$A$2:$AY$76,4,FALSE))+IF(H22="",0,VLOOKUP(H22,Bausteine!$A$2:$AY$76,4,FALSE))+IF(I22="",0,VLOOKUP(I22,Bausteine!$A$2:$AY$76,4,FALSE))+IF(J22="",0,VLOOKUP(J22,Bausteine!$A$2:$AY$76,4,FALSE))+IF(K22="",0,VLOOKUP(K22,Bausteine!$A$2:$AY$76,4,FALSE))+IF(L22="",0,VLOOKUP(L22,Bausteine!$A$2:$AY$76,4,FALSE))+IF(AC22="",0,VLOOKUP(AC22,Bausteine!$A$2:$AY$76,4,FALSE))+IF(AF22="",0,VLOOKUP(AF22,Bausteine!$A$2:$AY$76,4,FALSE))+IF(AG22="",0,VLOOKUP(AG22,Bausteine!$A$2:$AY$76,4,FALSE))+IF(AH22="",0,VLOOKUP(AH22,Bausteine!$A$2:$AY$76,4,FALSE))+IF(AQ22="",0,VLOOKUP(AQ22,Bausteine!$A$2:$AY$76,4,FALSE))</f>
        <v/>
      </c>
      <c r="N22">
        <f>IF(C22="",0,VLOOKUP(C22,Bausteine!$A$2:$AY$76,5,FALSE))+IF(D22="",0,VLOOKUP(D22,Bausteine!$A$2:$AY$76,5,FALSE))+IF(E22="",0,VLOOKUP(E22,Bausteine!$A$2:$AY$76,5,FALSE))+IF(F22="",0,VLOOKUP(F22,Bausteine!$A$2:$AY$76,5,FALSE))+IF(G22="",0,VLOOKUP(G22,Bausteine!$A$2:$AY$76,5,FALSE))+IF(H22="",0,VLOOKUP(H22,Bausteine!$A$2:$AY$76,5,FALSE))+IF(I22="",0,VLOOKUP(I22,Bausteine!$A$2:$AY$76,5,FALSE))+IF(J22="",0,VLOOKUP(J22,Bausteine!$A$2:$AY$76,5,FALSE))+IF(K22="",0,VLOOKUP(K22,Bausteine!$A$2:$AY$76,5,FALSE))+IF(L22="",0,VLOOKUP(L22,Bausteine!$A$2:$AY$76,5,FALSE))+IF(AC22="",0,VLOOKUP(AC22,Bausteine!$A$2:$AY$76,5,FALSE))+IF(AF22="",0,VLOOKUP(AF22,Bausteine!$A$2:$AY$76,5,FALSE))+IF(AG22="",0,VLOOKUP(AG22,Bausteine!$A$2:$AY$76,5,FALSE))+IF(AH22="",0,VLOOKUP(AH22,Bausteine!$A$2:$AY$76,5,FALSE))+IF(AQ22="",0,VLOOKUP(AQ22,Bausteine!$A$2:$AY$76,5,FALSE))</f>
        <v/>
      </c>
      <c r="O22">
        <f>MAX(IF(C22="",0,VLOOKUP(C22,Bausteine!$A$2:$AY$76,6,FALSE)),IF(D22="",0,VLOOKUP(D22,Bausteine!$A$2:$AY$76,6,FALSE)),IF(E22="",0,VLOOKUP(E22,Bausteine!$A$2:$AY$76,6,FALSE)),IF(F22="",0,VLOOKUP(F22,Bausteine!$A$2:$AY$76,6,FALSE)),IF(G22="",0,VLOOKUP(G22,Bausteine!$A$2:$AY$76,6,FALSE)),IF(H22="",0,VLOOKUP(H22,Bausteine!$A$2:$AY$76,6,FALSE)),IF(I22="",0,VLOOKUP(I22,Bausteine!$A$2:$AY$76,6,FALSE)),IF(J22="",0,VLOOKUP(J22,Bausteine!$A$2:$AY$76,6,FALSE)),IF(K22="",0,VLOOKUP(K22,Bausteine!$A$2:$AY$76,6,FALSE)),IF(L22="",0,VLOOKUP(L22,Bausteine!$A$2:$AY$76,6,FALSE)),IF(AC22="",0,VLOOKUP(AC22,Bausteine!$A$2:$AY$76,6,FALSE)),IF(AF22="",0,VLOOKUP(AF22,Bausteine!$A$2:$AY$76,6,FALSE)),IF(AG22="",0,VLOOKUP(AG22,Bausteine!$A$2:$AY$76,6,FALSE)),IF(AH22="",0,VLOOKUP(AH22,Bausteine!$A$2:$AY$76,6,FALSE)),IF(AQ22="",0,VLOOKUP(AQ22,Bausteine!$A$2:$AY$76,6,FALSE)),AK22)</f>
        <v/>
      </c>
      <c r="P22">
        <f>IF(C22="",0,VLOOKUP(C22,Bausteine!$A$2:$AY$76,7,FALSE))*IF(F22="",0,VLOOKUP(F22,Bausteine!$A$2:$AY$76,17,FALSE))/100+IF(D22="",0,VLOOKUP(D22,Bausteine!$A$2:$AY$76,7,FALSE))+IF(E22="",0,VLOOKUP(E22,Bausteine!$A$2:$AY$76,7,FALSE))+IF(G22="",0,VLOOKUP(G22,Bausteine!$A$2:$AY$76,7,FALSE))+IF(H22="",0,VLOOKUP(H22,Bausteine!$A$2:$AY$76,7,FALSE))+IF(I22="",0,VLOOKUP(I22,Bausteine!$A$2:$AY$76,7,FALSE))+IF(J22="",0,VLOOKUP(J22,Bausteine!$A$2:$AY$76,7,FALSE))+IF(K22="",0,VLOOKUP(K22,Bausteine!$A$2:$AY$76,7,FALSE))+IF(L22="",0,VLOOKUP(L22,Bausteine!$A$2:$AY$76,7,FALSE))+IF(AC22="",0,VLOOKUP(AC22,Bausteine!$A$2:$AY$76,7,FALSE))+IF(AF22="",0,VLOOKUP(AF22,Bausteine!$A$2:$AY$76,7,FALSE))+IF(AG22="",0,VLOOKUP(AG22,Bausteine!$A$2:$AY$76,7,FALSE))+IF(AH22="",0,VLOOKUP(AH22,Bausteine!$A$2:$AY$76,7,FALSE))+IF(AQ22="",0,VLOOKUP(AQ22,Bausteine!$A$2:$AY$76,7,FALSE))+AI22</f>
        <v/>
      </c>
      <c r="Q22">
        <f>N22*Parameter!$B$2</f>
        <v/>
      </c>
      <c r="R22">
        <f>AE22-Q22</f>
        <v/>
      </c>
      <c r="S22">
        <f>IF(C22="",0,VLOOKUP(C22,Bausteine!$A$2:$AY$76,13,FALSE))*IF(F22="",0,VLOOKUP(F22,Bausteine!$A$2:$AY$76,16,FALSE))/100</f>
        <v/>
      </c>
      <c r="T22">
        <f>IF(C22="",0,VLOOKUP(C22,Bausteine!$A$2:$AY$76,8,FALSE))*IF(F22="",0,VLOOKUP(F22,Bausteine!$A$2:$AY$76,15,FALSE))/100+IF(D22="",0,VLOOKUP(D22,Bausteine!$A$2:$AY$76,8,FALSE))+IF(E22="",0,VLOOKUP(E22,Bausteine!$A$2:$AY$76,8,FALSE))+IF(G22="",0,VLOOKUP(G22,Bausteine!$A$2:$AY$76,8,FALSE))+IF(H22="",0,VLOOKUP(H22,Bausteine!$A$2:$AY$76,8,FALSE))+IF(I22="",0,VLOOKUP(I22,Bausteine!$A$2:$AY$76,8,FALSE))+IF(J22="",0,VLOOKUP(J22,Bausteine!$A$2:$AY$76,8,FALSE))+IF(K22="",0,VLOOKUP(K22,Bausteine!$A$2:$AY$76,8,FALSE))+IF(L22="",0,VLOOKUP(L22,Bausteine!$A$2:$AY$76,8,FALSE))+IF(AC22="",0,VLOOKUP(AC22,Bausteine!$A$2:$AY$76,8,FALSE))+IF(AF22="",0,VLOOKUP(AF22,Bausteine!$A$2:$AY$76,8,FALSE))+IF(AG22="",0,VLOOKUP(AG22,Bausteine!$A$2:$AY$76,8,FALSE))+IF(AH22="",0,VLOOKUP(AH22,Bausteine!$A$2:$AY$76,8,FALSE))+IF(AQ22="",0,VLOOKUP(AQ22,Bausteine!$A$2:$AY$76,8,FALSE))+AJ22</f>
        <v/>
      </c>
      <c r="U22">
        <f>IF(C22="",0,VLOOKUP(C22,Bausteine!$A$2:$AY$76,9,FALSE))+IF(D22="",0,VLOOKUP(D22,Bausteine!$A$2:$AY$76,9,FALSE))+IF(E22="",0,VLOOKUP(E22,Bausteine!$A$2:$AY$76,9,FALSE))+IF(F22="",0,VLOOKUP(F22,Bausteine!$A$2:$AY$76,9,FALSE))+IF(G22="",0,VLOOKUP(G22,Bausteine!$A$2:$AY$76,9,FALSE))+IF(H22="",0,VLOOKUP(H22,Bausteine!$A$2:$AY$76,9,FALSE))+IF(I22="",0,VLOOKUP(I22,Bausteine!$A$2:$AY$76,9,FALSE))+IF(J22="",0,VLOOKUP(J22,Bausteine!$A$2:$AY$76,9,FALSE))+IF(K22="",0,VLOOKUP(K22,Bausteine!$A$2:$AY$76,9,FALSE))+IF(L22="",0,VLOOKUP(L22,Bausteine!$A$2:$AY$76,9,FALSE))+IF(AC22="",0,VLOOKUP(AC22,Bausteine!$A$2:$AY$76,9,FALSE))+IF(AF22="",0,VLOOKUP(AF22,Bausteine!$A$2:$AY$76,9,FALSE))+IF(AG22="",0,VLOOKUP(AG22,Bausteine!$A$2:$AY$76,9,FALSE))+IF(AH22="",0,VLOOKUP(AH22,Bausteine!$A$2:$AY$76,9,FALSE))+IF(AQ22="",0,VLOOKUP(AQ22,Bausteine!$A$2:$AY$76,9,FALSE))</f>
        <v/>
      </c>
      <c r="V22">
        <f>IF(D22="",0,VLOOKUP(D22,Bausteine!$A$2:$AY$76,10,FALSE))-U22/IF(E22="",0,VLOOKUP(E22,Bausteine!$A$2:$AY$76,11,FALSE))</f>
        <v/>
      </c>
      <c r="W22">
        <f>IF(Y22&lt;&gt;"OK","",ROUND(MIN(IF(C22="",0,VLOOKUP(C22,Bausteine!$A$2:$AY$76,21,FALSE)),IF(AQ22="",0,VLOOKUP(AQ22,Bausteine!$A$2:$AY$76,21,FALSE)),IF(C22="",0,VLOOKUP(C22,Bausteine!$A$2:$AY$76,20,FALSE))*(V22/T22/(IF(C22="",0,VLOOKUP(C22,Bausteine!$A$2:$AY$76,19,FALSE))/IF(C22="",0,VLOOKUP(C22,Bausteine!$A$2:$AY$76,18,FALSE))))^Parameter!$B$3),0))</f>
        <v/>
      </c>
      <c r="X22">
        <f>IF(F22="",0,VLOOKUP(F22,Bausteine!$A$2:$AY$76,14,FALSE))</f>
        <v/>
      </c>
      <c r="Y22">
        <f>IFERROR(IF(OR(AD22&lt;=0,AD22&gt;1,R22&lt;=0,T22&lt;=0,V22&lt;=0,U22&gt;IF(E22="",0,VLOOKUP(E22,Bausteine!$A$2:$AY$76,12,FALSE)),T22&gt;MIN(IF(C22="",0,VLOOKUP(C22,Bausteine!$A$2:$AY$76,22,FALSE)),IF(AQ22="",0,VLOOKUP(AQ22,Bausteine!$A$2:$AY$76,22,FALSE))),IF(E22="",0,VLOOKUP(E22,Bausteine!$A$2:$AY$76,11,FALSE))&lt;=0,IF(E22="",0,VLOOKUP(E22,Bausteine!$A$2:$AY$76,11,FALSE))&gt;1),"UNGUELTIG","OK"),"FEHLER")</f>
        <v/>
      </c>
      <c r="Z22" t="n">
        <v>2000</v>
      </c>
      <c r="AA22" t="n">
        <v>55</v>
      </c>
      <c r="AB22" t="inlineStr"/>
      <c r="AC22" t="inlineStr"/>
      <c r="AD22">
        <f>IF(AC22="",1,IF(AC22="",0,VLOOKUP(AC22,Bausteine!$A$2:$AY$76,37,FALSE))/100)</f>
        <v/>
      </c>
      <c r="AE22">
        <f>P22*AD22</f>
        <v/>
      </c>
      <c r="AF22" t="inlineStr">
        <is>
          <t>gatling-roof-carrier</t>
        </is>
      </c>
      <c r="AG22" t="inlineStr">
        <is>
          <t>gatling-gun</t>
        </is>
      </c>
      <c r="AH22" t="inlineStr">
        <is>
          <t>gatling-rounds</t>
        </is>
      </c>
      <c r="AI22">
        <f>SUMIF(Startbesatzung!$A$2:$A$7,A22,Startbesatzung!$D$2:$D$7)</f>
        <v/>
      </c>
      <c r="AJ22">
        <f>SUMIF(Startbesatzung!$A$2:$A$7,A22,Startbesatzung!$E$2:$E$7)</f>
        <v/>
      </c>
      <c r="AK22">
        <f>MAX(0,IF(Startbesatzung!A2=A22,Startbesatzung!G2,0),IF(Startbesatzung!A3=A22,Startbesatzung!G3,0),IF(Startbesatzung!A4=A22,Startbesatzung!G4,0),IF(Startbesatzung!A5=A22,Startbesatzung!G5,0),IF(Startbesatzung!A6=A22,Startbesatzung!G6,0),IF(Startbesatzung!A7=A22,Startbesatzung!G7,0))</f>
        <v/>
      </c>
      <c r="AL22">
        <f>IF(AF22="","",IF(IF(AH22="",0,VLOOKUP(AH22,Bausteine!$A$2:$AY$76,38,FALSE))&gt;0,IF(AH22="",0,VLOOKUP(AH22,Bausteine!$A$2:$AY$76,38,FALSE)),IF(AG22="",0,VLOOKUP(AG22,Bausteine!$A$2:$AY$76,28,FALSE))))</f>
        <v/>
      </c>
      <c r="AM22">
        <f>IF(AF22="","",IF(AG22="",0,VLOOKUP(AG22,Bausteine!$A$2:$AY$76,44,FALSE)))</f>
        <v/>
      </c>
      <c r="AN22">
        <f>IF(AF22="","",IF(AF22="",0,VLOOKUP(AF22,Bausteine!$A$2:$AY$76,27,FALSE)))</f>
        <v/>
      </c>
      <c r="AO22">
        <f>IF(AF22="","",IF(AF22="",0,VLOOKUP(AF22,Bausteine!$A$2:$AY$76,25,FALSE)))</f>
        <v/>
      </c>
      <c r="AP22">
        <f>IF(AF22="","",IF(AH22="",0,VLOOKUP(AH22,Bausteine!$A$2:$AY$76,29,FALSE)))</f>
        <v/>
      </c>
      <c r="AQ22" t="inlineStr">
        <is>
          <t>tracks-superheavy</t>
        </is>
      </c>
      <c r="AR22">
        <f>IF(AQ22="",0,VLOOKUP(AQ22,Bausteine!$A$2:$AY$76,48,FALSE))</f>
        <v/>
      </c>
      <c r="AS22">
        <f>MIN(IF(AQ22="",0,VLOOKUP(AQ22,Bausteine!$A$2:$AY$76,50,FALSE)),IF(C22="",0,VLOOKUP(C22,Bausteine!$A$2:$AY$76,51,FALSE)))</f>
        <v/>
      </c>
    </row>
    <row r="23">
      <c r="A23" t="inlineStr">
        <is>
          <t>Overlord Bunker / mixed crew</t>
        </is>
      </c>
      <c r="B23" t="inlineStr">
        <is>
          <t>china</t>
        </is>
      </c>
      <c r="C23" t="inlineStr">
        <is>
          <t>overlord-chassis</t>
        </is>
      </c>
      <c r="D23" t="inlineStr">
        <is>
          <t>diesel-heavy</t>
        </is>
      </c>
      <c r="E23" t="inlineStr">
        <is>
          <t>baseline-generator</t>
        </is>
      </c>
      <c r="F23" t="inlineStr">
        <is>
          <t>heavy</t>
        </is>
      </c>
      <c r="G23" t="inlineStr">
        <is>
          <t>heavy-twin-turret</t>
        </is>
      </c>
      <c r="H23" t="inlineStr">
        <is>
          <t>overlord-cannon</t>
        </is>
      </c>
      <c r="I23" t="inlineStr">
        <is>
          <t>heavy-shell</t>
        </is>
      </c>
      <c r="J23" t="inlineStr">
        <is>
          <t>firing-bunker</t>
        </is>
      </c>
      <c r="K23" t="inlineStr"/>
      <c r="L23" t="inlineStr"/>
      <c r="M23">
        <f>IF(C23="",0,VLOOKUP(C23,Bausteine!$A$2:$AY$76,4,FALSE))+IF(D23="",0,VLOOKUP(D23,Bausteine!$A$2:$AY$76,4,FALSE))+IF(E23="",0,VLOOKUP(E23,Bausteine!$A$2:$AY$76,4,FALSE))+IF(F23="",0,VLOOKUP(F23,Bausteine!$A$2:$AY$76,4,FALSE))+IF(G23="",0,VLOOKUP(G23,Bausteine!$A$2:$AY$76,4,FALSE))+IF(H23="",0,VLOOKUP(H23,Bausteine!$A$2:$AY$76,4,FALSE))+IF(I23="",0,VLOOKUP(I23,Bausteine!$A$2:$AY$76,4,FALSE))+IF(J23="",0,VLOOKUP(J23,Bausteine!$A$2:$AY$76,4,FALSE))+IF(K23="",0,VLOOKUP(K23,Bausteine!$A$2:$AY$76,4,FALSE))+IF(L23="",0,VLOOKUP(L23,Bausteine!$A$2:$AY$76,4,FALSE))+IF(AC23="",0,VLOOKUP(AC23,Bausteine!$A$2:$AY$76,4,FALSE))+IF(AF23="",0,VLOOKUP(AF23,Bausteine!$A$2:$AY$76,4,FALSE))+IF(AG23="",0,VLOOKUP(AG23,Bausteine!$A$2:$AY$76,4,FALSE))+IF(AH23="",0,VLOOKUP(AH23,Bausteine!$A$2:$AY$76,4,FALSE))+IF(AQ23="",0,VLOOKUP(AQ23,Bausteine!$A$2:$AY$76,4,FALSE))</f>
        <v/>
      </c>
      <c r="N23">
        <f>IF(C23="",0,VLOOKUP(C23,Bausteine!$A$2:$AY$76,5,FALSE))+IF(D23="",0,VLOOKUP(D23,Bausteine!$A$2:$AY$76,5,FALSE))+IF(E23="",0,VLOOKUP(E23,Bausteine!$A$2:$AY$76,5,FALSE))+IF(F23="",0,VLOOKUP(F23,Bausteine!$A$2:$AY$76,5,FALSE))+IF(G23="",0,VLOOKUP(G23,Bausteine!$A$2:$AY$76,5,FALSE))+IF(H23="",0,VLOOKUP(H23,Bausteine!$A$2:$AY$76,5,FALSE))+IF(I23="",0,VLOOKUP(I23,Bausteine!$A$2:$AY$76,5,FALSE))+IF(J23="",0,VLOOKUP(J23,Bausteine!$A$2:$AY$76,5,FALSE))+IF(K23="",0,VLOOKUP(K23,Bausteine!$A$2:$AY$76,5,FALSE))+IF(L23="",0,VLOOKUP(L23,Bausteine!$A$2:$AY$76,5,FALSE))+IF(AC23="",0,VLOOKUP(AC23,Bausteine!$A$2:$AY$76,5,FALSE))+IF(AF23="",0,VLOOKUP(AF23,Bausteine!$A$2:$AY$76,5,FALSE))+IF(AG23="",0,VLOOKUP(AG23,Bausteine!$A$2:$AY$76,5,FALSE))+IF(AH23="",0,VLOOKUP(AH23,Bausteine!$A$2:$AY$76,5,FALSE))+IF(AQ23="",0,VLOOKUP(AQ23,Bausteine!$A$2:$AY$76,5,FALSE))</f>
        <v/>
      </c>
      <c r="O23">
        <f>MAX(IF(C23="",0,VLOOKUP(C23,Bausteine!$A$2:$AY$76,6,FALSE)),IF(D23="",0,VLOOKUP(D23,Bausteine!$A$2:$AY$76,6,FALSE)),IF(E23="",0,VLOOKUP(E23,Bausteine!$A$2:$AY$76,6,FALSE)),IF(F23="",0,VLOOKUP(F23,Bausteine!$A$2:$AY$76,6,FALSE)),IF(G23="",0,VLOOKUP(G23,Bausteine!$A$2:$AY$76,6,FALSE)),IF(H23="",0,VLOOKUP(H23,Bausteine!$A$2:$AY$76,6,FALSE)),IF(I23="",0,VLOOKUP(I23,Bausteine!$A$2:$AY$76,6,FALSE)),IF(J23="",0,VLOOKUP(J23,Bausteine!$A$2:$AY$76,6,FALSE)),IF(K23="",0,VLOOKUP(K23,Bausteine!$A$2:$AY$76,6,FALSE)),IF(L23="",0,VLOOKUP(L23,Bausteine!$A$2:$AY$76,6,FALSE)),IF(AC23="",0,VLOOKUP(AC23,Bausteine!$A$2:$AY$76,6,FALSE)),IF(AF23="",0,VLOOKUP(AF23,Bausteine!$A$2:$AY$76,6,FALSE)),IF(AG23="",0,VLOOKUP(AG23,Bausteine!$A$2:$AY$76,6,FALSE)),IF(AH23="",0,VLOOKUP(AH23,Bausteine!$A$2:$AY$76,6,FALSE)),IF(AQ23="",0,VLOOKUP(AQ23,Bausteine!$A$2:$AY$76,6,FALSE)),AK23)</f>
        <v/>
      </c>
      <c r="P23">
        <f>IF(C23="",0,VLOOKUP(C23,Bausteine!$A$2:$AY$76,7,FALSE))*IF(F23="",0,VLOOKUP(F23,Bausteine!$A$2:$AY$76,17,FALSE))/100+IF(D23="",0,VLOOKUP(D23,Bausteine!$A$2:$AY$76,7,FALSE))+IF(E23="",0,VLOOKUP(E23,Bausteine!$A$2:$AY$76,7,FALSE))+IF(G23="",0,VLOOKUP(G23,Bausteine!$A$2:$AY$76,7,FALSE))+IF(H23="",0,VLOOKUP(H23,Bausteine!$A$2:$AY$76,7,FALSE))+IF(I23="",0,VLOOKUP(I23,Bausteine!$A$2:$AY$76,7,FALSE))+IF(J23="",0,VLOOKUP(J23,Bausteine!$A$2:$AY$76,7,FALSE))+IF(K23="",0,VLOOKUP(K23,Bausteine!$A$2:$AY$76,7,FALSE))+IF(L23="",0,VLOOKUP(L23,Bausteine!$A$2:$AY$76,7,FALSE))+IF(AC23="",0,VLOOKUP(AC23,Bausteine!$A$2:$AY$76,7,FALSE))+IF(AF23="",0,VLOOKUP(AF23,Bausteine!$A$2:$AY$76,7,FALSE))+IF(AG23="",0,VLOOKUP(AG23,Bausteine!$A$2:$AY$76,7,FALSE))+IF(AH23="",0,VLOOKUP(AH23,Bausteine!$A$2:$AY$76,7,FALSE))+IF(AQ23="",0,VLOOKUP(AQ23,Bausteine!$A$2:$AY$76,7,FALSE))+AI23</f>
        <v/>
      </c>
      <c r="Q23">
        <f>N23*Parameter!$B$2</f>
        <v/>
      </c>
      <c r="R23">
        <f>AE23-Q23</f>
        <v/>
      </c>
      <c r="S23">
        <f>IF(C23="",0,VLOOKUP(C23,Bausteine!$A$2:$AY$76,13,FALSE))*IF(F23="",0,VLOOKUP(F23,Bausteine!$A$2:$AY$76,16,FALSE))/100</f>
        <v/>
      </c>
      <c r="T23">
        <f>IF(C23="",0,VLOOKUP(C23,Bausteine!$A$2:$AY$76,8,FALSE))*IF(F23="",0,VLOOKUP(F23,Bausteine!$A$2:$AY$76,15,FALSE))/100+IF(D23="",0,VLOOKUP(D23,Bausteine!$A$2:$AY$76,8,FALSE))+IF(E23="",0,VLOOKUP(E23,Bausteine!$A$2:$AY$76,8,FALSE))+IF(G23="",0,VLOOKUP(G23,Bausteine!$A$2:$AY$76,8,FALSE))+IF(H23="",0,VLOOKUP(H23,Bausteine!$A$2:$AY$76,8,FALSE))+IF(I23="",0,VLOOKUP(I23,Bausteine!$A$2:$AY$76,8,FALSE))+IF(J23="",0,VLOOKUP(J23,Bausteine!$A$2:$AY$76,8,FALSE))+IF(K23="",0,VLOOKUP(K23,Bausteine!$A$2:$AY$76,8,FALSE))+IF(L23="",0,VLOOKUP(L23,Bausteine!$A$2:$AY$76,8,FALSE))+IF(AC23="",0,VLOOKUP(AC23,Bausteine!$A$2:$AY$76,8,FALSE))+IF(AF23="",0,VLOOKUP(AF23,Bausteine!$A$2:$AY$76,8,FALSE))+IF(AG23="",0,VLOOKUP(AG23,Bausteine!$A$2:$AY$76,8,FALSE))+IF(AH23="",0,VLOOKUP(AH23,Bausteine!$A$2:$AY$76,8,FALSE))+IF(AQ23="",0,VLOOKUP(AQ23,Bausteine!$A$2:$AY$76,8,FALSE))+AJ23</f>
        <v/>
      </c>
      <c r="U23">
        <f>IF(C23="",0,VLOOKUP(C23,Bausteine!$A$2:$AY$76,9,FALSE))+IF(D23="",0,VLOOKUP(D23,Bausteine!$A$2:$AY$76,9,FALSE))+IF(E23="",0,VLOOKUP(E23,Bausteine!$A$2:$AY$76,9,FALSE))+IF(F23="",0,VLOOKUP(F23,Bausteine!$A$2:$AY$76,9,FALSE))+IF(G23="",0,VLOOKUP(G23,Bausteine!$A$2:$AY$76,9,FALSE))+IF(H23="",0,VLOOKUP(H23,Bausteine!$A$2:$AY$76,9,FALSE))+IF(I23="",0,VLOOKUP(I23,Bausteine!$A$2:$AY$76,9,FALSE))+IF(J23="",0,VLOOKUP(J23,Bausteine!$A$2:$AY$76,9,FALSE))+IF(K23="",0,VLOOKUP(K23,Bausteine!$A$2:$AY$76,9,FALSE))+IF(L23="",0,VLOOKUP(L23,Bausteine!$A$2:$AY$76,9,FALSE))+IF(AC23="",0,VLOOKUP(AC23,Bausteine!$A$2:$AY$76,9,FALSE))+IF(AF23="",0,VLOOKUP(AF23,Bausteine!$A$2:$AY$76,9,FALSE))+IF(AG23="",0,VLOOKUP(AG23,Bausteine!$A$2:$AY$76,9,FALSE))+IF(AH23="",0,VLOOKUP(AH23,Bausteine!$A$2:$AY$76,9,FALSE))+IF(AQ23="",0,VLOOKUP(AQ23,Bausteine!$A$2:$AY$76,9,FALSE))</f>
        <v/>
      </c>
      <c r="V23">
        <f>IF(D23="",0,VLOOKUP(D23,Bausteine!$A$2:$AY$76,10,FALSE))-U23/IF(E23="",0,VLOOKUP(E23,Bausteine!$A$2:$AY$76,11,FALSE))</f>
        <v/>
      </c>
      <c r="W23">
        <f>IF(Y23&lt;&gt;"OK","",ROUND(MIN(IF(C23="",0,VLOOKUP(C23,Bausteine!$A$2:$AY$76,21,FALSE)),IF(AQ23="",0,VLOOKUP(AQ23,Bausteine!$A$2:$AY$76,21,FALSE)),IF(C23="",0,VLOOKUP(C23,Bausteine!$A$2:$AY$76,20,FALSE))*(V23/T23/(IF(C23="",0,VLOOKUP(C23,Bausteine!$A$2:$AY$76,19,FALSE))/IF(C23="",0,VLOOKUP(C23,Bausteine!$A$2:$AY$76,18,FALSE))))^Parameter!$B$3),0))</f>
        <v/>
      </c>
      <c r="X23">
        <f>IF(F23="",0,VLOOKUP(F23,Bausteine!$A$2:$AY$76,14,FALSE))</f>
        <v/>
      </c>
      <c r="Y23">
        <f>IFERROR(IF(OR(AD23&lt;=0,AD23&gt;1,R23&lt;=0,T23&lt;=0,V23&lt;=0,U23&gt;IF(E23="",0,VLOOKUP(E23,Bausteine!$A$2:$AY$76,12,FALSE)),T23&gt;MIN(IF(C23="",0,VLOOKUP(C23,Bausteine!$A$2:$AY$76,22,FALSE)),IF(AQ23="",0,VLOOKUP(AQ23,Bausteine!$A$2:$AY$76,22,FALSE))),IF(E23="",0,VLOOKUP(E23,Bausteine!$A$2:$AY$76,11,FALSE))&lt;=0,IF(E23="",0,VLOOKUP(E23,Bausteine!$A$2:$AY$76,11,FALSE))&gt;1),"UNGUELTIG","OK"),"FEHLER")</f>
        <v/>
      </c>
      <c r="Z23" t="n">
        <v>2560</v>
      </c>
      <c r="AA23" t="n">
        <v>55</v>
      </c>
      <c r="AB23" t="inlineStr">
        <is>
          <t>New combination, not a legacy reference.</t>
        </is>
      </c>
      <c r="AC23" t="inlineStr"/>
      <c r="AD23">
        <f>IF(AC23="",1,IF(AC23="",0,VLOOKUP(AC23,Bausteine!$A$2:$AY$76,37,FALSE))/100)</f>
        <v/>
      </c>
      <c r="AE23">
        <f>P23*AD23</f>
        <v/>
      </c>
      <c r="AF23" t="inlineStr"/>
      <c r="AG23" t="inlineStr"/>
      <c r="AH23" t="inlineStr"/>
      <c r="AI23">
        <f>SUMIF(Startbesatzung!$A$2:$A$7,A23,Startbesatzung!$D$2:$D$7)</f>
        <v/>
      </c>
      <c r="AJ23">
        <f>SUMIF(Startbesatzung!$A$2:$A$7,A23,Startbesatzung!$E$2:$E$7)</f>
        <v/>
      </c>
      <c r="AK23">
        <f>MAX(0,IF(Startbesatzung!A2=A23,Startbesatzung!G2,0),IF(Startbesatzung!A3=A23,Startbesatzung!G3,0),IF(Startbesatzung!A4=A23,Startbesatzung!G4,0),IF(Startbesatzung!A5=A23,Startbesatzung!G5,0),IF(Startbesatzung!A6=A23,Startbesatzung!G6,0),IF(Startbesatzung!A7=A23,Startbesatzung!G7,0))</f>
        <v/>
      </c>
      <c r="AL23">
        <f>IF(AF23="","",IF(IF(AH23="",0,VLOOKUP(AH23,Bausteine!$A$2:$AY$76,38,FALSE))&gt;0,IF(AH23="",0,VLOOKUP(AH23,Bausteine!$A$2:$AY$76,38,FALSE)),IF(AG23="",0,VLOOKUP(AG23,Bausteine!$A$2:$AY$76,28,FALSE))))</f>
        <v/>
      </c>
      <c r="AM23">
        <f>IF(AF23="","",IF(AG23="",0,VLOOKUP(AG23,Bausteine!$A$2:$AY$76,44,FALSE)))</f>
        <v/>
      </c>
      <c r="AN23">
        <f>IF(AF23="","",IF(AF23="",0,VLOOKUP(AF23,Bausteine!$A$2:$AY$76,27,FALSE)))</f>
        <v/>
      </c>
      <c r="AO23">
        <f>IF(AF23="","",IF(AF23="",0,VLOOKUP(AF23,Bausteine!$A$2:$AY$76,25,FALSE)))</f>
        <v/>
      </c>
      <c r="AP23">
        <f>IF(AF23="","",IF(AH23="",0,VLOOKUP(AH23,Bausteine!$A$2:$AY$76,29,FALSE)))</f>
        <v/>
      </c>
      <c r="AQ23" t="inlineStr">
        <is>
          <t>tracks-superheavy</t>
        </is>
      </c>
      <c r="AR23">
        <f>IF(AQ23="",0,VLOOKUP(AQ23,Bausteine!$A$2:$AY$76,48,FALSE))</f>
        <v/>
      </c>
      <c r="AS23">
        <f>MIN(IF(AQ23="",0,VLOOKUP(AQ23,Bausteine!$A$2:$AY$76,50,FALSE)),IF(C23="",0,VLOOKUP(C23,Bausteine!$A$2:$AY$76,51,FALSE)))</f>
        <v/>
      </c>
    </row>
    <row r="24">
      <c r="A24" t="inlineStr">
        <is>
          <t>Overlord Bunker / empty</t>
        </is>
      </c>
      <c r="B24" t="inlineStr">
        <is>
          <t>china</t>
        </is>
      </c>
      <c r="C24" t="inlineStr">
        <is>
          <t>overlord-chassis</t>
        </is>
      </c>
      <c r="D24" t="inlineStr">
        <is>
          <t>diesel-heavy</t>
        </is>
      </c>
      <c r="E24" t="inlineStr">
        <is>
          <t>baseline-generator</t>
        </is>
      </c>
      <c r="F24" t="inlineStr">
        <is>
          <t>heavy</t>
        </is>
      </c>
      <c r="G24" t="inlineStr">
        <is>
          <t>heavy-twin-turret</t>
        </is>
      </c>
      <c r="H24" t="inlineStr">
        <is>
          <t>overlord-cannon</t>
        </is>
      </c>
      <c r="I24" t="inlineStr">
        <is>
          <t>heavy-shell</t>
        </is>
      </c>
      <c r="J24" t="inlineStr">
        <is>
          <t>firing-bunker</t>
        </is>
      </c>
      <c r="K24" t="inlineStr"/>
      <c r="L24" t="inlineStr"/>
      <c r="M24">
        <f>IF(C24="",0,VLOOKUP(C24,Bausteine!$A$2:$AY$76,4,FALSE))+IF(D24="",0,VLOOKUP(D24,Bausteine!$A$2:$AY$76,4,FALSE))+IF(E24="",0,VLOOKUP(E24,Bausteine!$A$2:$AY$76,4,FALSE))+IF(F24="",0,VLOOKUP(F24,Bausteine!$A$2:$AY$76,4,FALSE))+IF(G24="",0,VLOOKUP(G24,Bausteine!$A$2:$AY$76,4,FALSE))+IF(H24="",0,VLOOKUP(H24,Bausteine!$A$2:$AY$76,4,FALSE))+IF(I24="",0,VLOOKUP(I24,Bausteine!$A$2:$AY$76,4,FALSE))+IF(J24="",0,VLOOKUP(J24,Bausteine!$A$2:$AY$76,4,FALSE))+IF(K24="",0,VLOOKUP(K24,Bausteine!$A$2:$AY$76,4,FALSE))+IF(L24="",0,VLOOKUP(L24,Bausteine!$A$2:$AY$76,4,FALSE))+IF(AC24="",0,VLOOKUP(AC24,Bausteine!$A$2:$AY$76,4,FALSE))+IF(AF24="",0,VLOOKUP(AF24,Bausteine!$A$2:$AY$76,4,FALSE))+IF(AG24="",0,VLOOKUP(AG24,Bausteine!$A$2:$AY$76,4,FALSE))+IF(AH24="",0,VLOOKUP(AH24,Bausteine!$A$2:$AY$76,4,FALSE))+IF(AQ24="",0,VLOOKUP(AQ24,Bausteine!$A$2:$AY$76,4,FALSE))</f>
        <v/>
      </c>
      <c r="N24">
        <f>IF(C24="",0,VLOOKUP(C24,Bausteine!$A$2:$AY$76,5,FALSE))+IF(D24="",0,VLOOKUP(D24,Bausteine!$A$2:$AY$76,5,FALSE))+IF(E24="",0,VLOOKUP(E24,Bausteine!$A$2:$AY$76,5,FALSE))+IF(F24="",0,VLOOKUP(F24,Bausteine!$A$2:$AY$76,5,FALSE))+IF(G24="",0,VLOOKUP(G24,Bausteine!$A$2:$AY$76,5,FALSE))+IF(H24="",0,VLOOKUP(H24,Bausteine!$A$2:$AY$76,5,FALSE))+IF(I24="",0,VLOOKUP(I24,Bausteine!$A$2:$AY$76,5,FALSE))+IF(J24="",0,VLOOKUP(J24,Bausteine!$A$2:$AY$76,5,FALSE))+IF(K24="",0,VLOOKUP(K24,Bausteine!$A$2:$AY$76,5,FALSE))+IF(L24="",0,VLOOKUP(L24,Bausteine!$A$2:$AY$76,5,FALSE))+IF(AC24="",0,VLOOKUP(AC24,Bausteine!$A$2:$AY$76,5,FALSE))+IF(AF24="",0,VLOOKUP(AF24,Bausteine!$A$2:$AY$76,5,FALSE))+IF(AG24="",0,VLOOKUP(AG24,Bausteine!$A$2:$AY$76,5,FALSE))+IF(AH24="",0,VLOOKUP(AH24,Bausteine!$A$2:$AY$76,5,FALSE))+IF(AQ24="",0,VLOOKUP(AQ24,Bausteine!$A$2:$AY$76,5,FALSE))</f>
        <v/>
      </c>
      <c r="O24">
        <f>MAX(IF(C24="",0,VLOOKUP(C24,Bausteine!$A$2:$AY$76,6,FALSE)),IF(D24="",0,VLOOKUP(D24,Bausteine!$A$2:$AY$76,6,FALSE)),IF(E24="",0,VLOOKUP(E24,Bausteine!$A$2:$AY$76,6,FALSE)),IF(F24="",0,VLOOKUP(F24,Bausteine!$A$2:$AY$76,6,FALSE)),IF(G24="",0,VLOOKUP(G24,Bausteine!$A$2:$AY$76,6,FALSE)),IF(H24="",0,VLOOKUP(H24,Bausteine!$A$2:$AY$76,6,FALSE)),IF(I24="",0,VLOOKUP(I24,Bausteine!$A$2:$AY$76,6,FALSE)),IF(J24="",0,VLOOKUP(J24,Bausteine!$A$2:$AY$76,6,FALSE)),IF(K24="",0,VLOOKUP(K24,Bausteine!$A$2:$AY$76,6,FALSE)),IF(L24="",0,VLOOKUP(L24,Bausteine!$A$2:$AY$76,6,FALSE)),IF(AC24="",0,VLOOKUP(AC24,Bausteine!$A$2:$AY$76,6,FALSE)),IF(AF24="",0,VLOOKUP(AF24,Bausteine!$A$2:$AY$76,6,FALSE)),IF(AG24="",0,VLOOKUP(AG24,Bausteine!$A$2:$AY$76,6,FALSE)),IF(AH24="",0,VLOOKUP(AH24,Bausteine!$A$2:$AY$76,6,FALSE)),IF(AQ24="",0,VLOOKUP(AQ24,Bausteine!$A$2:$AY$76,6,FALSE)),AK24)</f>
        <v/>
      </c>
      <c r="P24">
        <f>IF(C24="",0,VLOOKUP(C24,Bausteine!$A$2:$AY$76,7,FALSE))*IF(F24="",0,VLOOKUP(F24,Bausteine!$A$2:$AY$76,17,FALSE))/100+IF(D24="",0,VLOOKUP(D24,Bausteine!$A$2:$AY$76,7,FALSE))+IF(E24="",0,VLOOKUP(E24,Bausteine!$A$2:$AY$76,7,FALSE))+IF(G24="",0,VLOOKUP(G24,Bausteine!$A$2:$AY$76,7,FALSE))+IF(H24="",0,VLOOKUP(H24,Bausteine!$A$2:$AY$76,7,FALSE))+IF(I24="",0,VLOOKUP(I24,Bausteine!$A$2:$AY$76,7,FALSE))+IF(J24="",0,VLOOKUP(J24,Bausteine!$A$2:$AY$76,7,FALSE))+IF(K24="",0,VLOOKUP(K24,Bausteine!$A$2:$AY$76,7,FALSE))+IF(L24="",0,VLOOKUP(L24,Bausteine!$A$2:$AY$76,7,FALSE))+IF(AC24="",0,VLOOKUP(AC24,Bausteine!$A$2:$AY$76,7,FALSE))+IF(AF24="",0,VLOOKUP(AF24,Bausteine!$A$2:$AY$76,7,FALSE))+IF(AG24="",0,VLOOKUP(AG24,Bausteine!$A$2:$AY$76,7,FALSE))+IF(AH24="",0,VLOOKUP(AH24,Bausteine!$A$2:$AY$76,7,FALSE))+IF(AQ24="",0,VLOOKUP(AQ24,Bausteine!$A$2:$AY$76,7,FALSE))+AI24</f>
        <v/>
      </c>
      <c r="Q24">
        <f>N24*Parameter!$B$2</f>
        <v/>
      </c>
      <c r="R24">
        <f>AE24-Q24</f>
        <v/>
      </c>
      <c r="S24">
        <f>IF(C24="",0,VLOOKUP(C24,Bausteine!$A$2:$AY$76,13,FALSE))*IF(F24="",0,VLOOKUP(F24,Bausteine!$A$2:$AY$76,16,FALSE))/100</f>
        <v/>
      </c>
      <c r="T24">
        <f>IF(C24="",0,VLOOKUP(C24,Bausteine!$A$2:$AY$76,8,FALSE))*IF(F24="",0,VLOOKUP(F24,Bausteine!$A$2:$AY$76,15,FALSE))/100+IF(D24="",0,VLOOKUP(D24,Bausteine!$A$2:$AY$76,8,FALSE))+IF(E24="",0,VLOOKUP(E24,Bausteine!$A$2:$AY$76,8,FALSE))+IF(G24="",0,VLOOKUP(G24,Bausteine!$A$2:$AY$76,8,FALSE))+IF(H24="",0,VLOOKUP(H24,Bausteine!$A$2:$AY$76,8,FALSE))+IF(I24="",0,VLOOKUP(I24,Bausteine!$A$2:$AY$76,8,FALSE))+IF(J24="",0,VLOOKUP(J24,Bausteine!$A$2:$AY$76,8,FALSE))+IF(K24="",0,VLOOKUP(K24,Bausteine!$A$2:$AY$76,8,FALSE))+IF(L24="",0,VLOOKUP(L24,Bausteine!$A$2:$AY$76,8,FALSE))+IF(AC24="",0,VLOOKUP(AC24,Bausteine!$A$2:$AY$76,8,FALSE))+IF(AF24="",0,VLOOKUP(AF24,Bausteine!$A$2:$AY$76,8,FALSE))+IF(AG24="",0,VLOOKUP(AG24,Bausteine!$A$2:$AY$76,8,FALSE))+IF(AH24="",0,VLOOKUP(AH24,Bausteine!$A$2:$AY$76,8,FALSE))+IF(AQ24="",0,VLOOKUP(AQ24,Bausteine!$A$2:$AY$76,8,FALSE))+AJ24</f>
        <v/>
      </c>
      <c r="U24">
        <f>IF(C24="",0,VLOOKUP(C24,Bausteine!$A$2:$AY$76,9,FALSE))+IF(D24="",0,VLOOKUP(D24,Bausteine!$A$2:$AY$76,9,FALSE))+IF(E24="",0,VLOOKUP(E24,Bausteine!$A$2:$AY$76,9,FALSE))+IF(F24="",0,VLOOKUP(F24,Bausteine!$A$2:$AY$76,9,FALSE))+IF(G24="",0,VLOOKUP(G24,Bausteine!$A$2:$AY$76,9,FALSE))+IF(H24="",0,VLOOKUP(H24,Bausteine!$A$2:$AY$76,9,FALSE))+IF(I24="",0,VLOOKUP(I24,Bausteine!$A$2:$AY$76,9,FALSE))+IF(J24="",0,VLOOKUP(J24,Bausteine!$A$2:$AY$76,9,FALSE))+IF(K24="",0,VLOOKUP(K24,Bausteine!$A$2:$AY$76,9,FALSE))+IF(L24="",0,VLOOKUP(L24,Bausteine!$A$2:$AY$76,9,FALSE))+IF(AC24="",0,VLOOKUP(AC24,Bausteine!$A$2:$AY$76,9,FALSE))+IF(AF24="",0,VLOOKUP(AF24,Bausteine!$A$2:$AY$76,9,FALSE))+IF(AG24="",0,VLOOKUP(AG24,Bausteine!$A$2:$AY$76,9,FALSE))+IF(AH24="",0,VLOOKUP(AH24,Bausteine!$A$2:$AY$76,9,FALSE))+IF(AQ24="",0,VLOOKUP(AQ24,Bausteine!$A$2:$AY$76,9,FALSE))</f>
        <v/>
      </c>
      <c r="V24">
        <f>IF(D24="",0,VLOOKUP(D24,Bausteine!$A$2:$AY$76,10,FALSE))-U24/IF(E24="",0,VLOOKUP(E24,Bausteine!$A$2:$AY$76,11,FALSE))</f>
        <v/>
      </c>
      <c r="W24">
        <f>IF(Y24&lt;&gt;"OK","",ROUND(MIN(IF(C24="",0,VLOOKUP(C24,Bausteine!$A$2:$AY$76,21,FALSE)),IF(AQ24="",0,VLOOKUP(AQ24,Bausteine!$A$2:$AY$76,21,FALSE)),IF(C24="",0,VLOOKUP(C24,Bausteine!$A$2:$AY$76,20,FALSE))*(V24/T24/(IF(C24="",0,VLOOKUP(C24,Bausteine!$A$2:$AY$76,19,FALSE))/IF(C24="",0,VLOOKUP(C24,Bausteine!$A$2:$AY$76,18,FALSE))))^Parameter!$B$3),0))</f>
        <v/>
      </c>
      <c r="X24">
        <f>IF(F24="",0,VLOOKUP(F24,Bausteine!$A$2:$AY$76,14,FALSE))</f>
        <v/>
      </c>
      <c r="Y24">
        <f>IFERROR(IF(OR(AD24&lt;=0,AD24&gt;1,R24&lt;=0,T24&lt;=0,V24&lt;=0,U24&gt;IF(E24="",0,VLOOKUP(E24,Bausteine!$A$2:$AY$76,12,FALSE)),T24&gt;MIN(IF(C24="",0,VLOOKUP(C24,Bausteine!$A$2:$AY$76,22,FALSE)),IF(AQ24="",0,VLOOKUP(AQ24,Bausteine!$A$2:$AY$76,22,FALSE))),IF(E24="",0,VLOOKUP(E24,Bausteine!$A$2:$AY$76,11,FALSE))&lt;=0,IF(E24="",0,VLOOKUP(E24,Bausteine!$A$2:$AY$76,11,FALSE))&gt;1),"UNGUELTIG","OK"),"FEHLER")</f>
        <v/>
      </c>
      <c r="Z24" t="n">
        <v>1800</v>
      </c>
      <c r="AA24" t="n">
        <v>55</v>
      </c>
      <c r="AB24" t="inlineStr">
        <is>
          <t>Empty module, new combination. CP cost remains even with no starting passengers.</t>
        </is>
      </c>
      <c r="AC24" t="inlineStr"/>
      <c r="AD24">
        <f>IF(AC24="",1,IF(AC24="",0,VLOOKUP(AC24,Bausteine!$A$2:$AY$76,37,FALSE))/100)</f>
        <v/>
      </c>
      <c r="AE24">
        <f>P24*AD24</f>
        <v/>
      </c>
      <c r="AF24" t="inlineStr"/>
      <c r="AG24" t="inlineStr"/>
      <c r="AH24" t="inlineStr"/>
      <c r="AI24">
        <f>SUMIF(Startbesatzung!$A$2:$A$7,A24,Startbesatzung!$D$2:$D$7)</f>
        <v/>
      </c>
      <c r="AJ24">
        <f>SUMIF(Startbesatzung!$A$2:$A$7,A24,Startbesatzung!$E$2:$E$7)</f>
        <v/>
      </c>
      <c r="AK24">
        <f>MAX(0,IF(Startbesatzung!A2=A24,Startbesatzung!G2,0),IF(Startbesatzung!A3=A24,Startbesatzung!G3,0),IF(Startbesatzung!A4=A24,Startbesatzung!G4,0),IF(Startbesatzung!A5=A24,Startbesatzung!G5,0),IF(Startbesatzung!A6=A24,Startbesatzung!G6,0),IF(Startbesatzung!A7=A24,Startbesatzung!G7,0))</f>
        <v/>
      </c>
      <c r="AL24">
        <f>IF(AF24="","",IF(IF(AH24="",0,VLOOKUP(AH24,Bausteine!$A$2:$AY$76,38,FALSE))&gt;0,IF(AH24="",0,VLOOKUP(AH24,Bausteine!$A$2:$AY$76,38,FALSE)),IF(AG24="",0,VLOOKUP(AG24,Bausteine!$A$2:$AY$76,28,FALSE))))</f>
        <v/>
      </c>
      <c r="AM24">
        <f>IF(AF24="","",IF(AG24="",0,VLOOKUP(AG24,Bausteine!$A$2:$AY$76,44,FALSE)))</f>
        <v/>
      </c>
      <c r="AN24">
        <f>IF(AF24="","",IF(AF24="",0,VLOOKUP(AF24,Bausteine!$A$2:$AY$76,27,FALSE)))</f>
        <v/>
      </c>
      <c r="AO24">
        <f>IF(AF24="","",IF(AF24="",0,VLOOKUP(AF24,Bausteine!$A$2:$AY$76,25,FALSE)))</f>
        <v/>
      </c>
      <c r="AP24">
        <f>IF(AF24="","",IF(AH24="",0,VLOOKUP(AH24,Bausteine!$A$2:$AY$76,29,FALSE)))</f>
        <v/>
      </c>
      <c r="AQ24" t="inlineStr">
        <is>
          <t>tracks-superheavy</t>
        </is>
      </c>
      <c r="AR24">
        <f>IF(AQ24="",0,VLOOKUP(AQ24,Bausteine!$A$2:$AY$76,48,FALSE))</f>
        <v/>
      </c>
      <c r="AS24">
        <f>MIN(IF(AQ24="",0,VLOOKUP(AQ24,Bausteine!$A$2:$AY$76,50,FALSE)),IF(C24="",0,VLOOKUP(C24,Bausteine!$A$2:$AY$76,51,FALSE)))</f>
        <v/>
      </c>
    </row>
    <row r="25">
      <c r="A25" t="inlineStr">
        <is>
          <t>Overlord Bunker / partial crew</t>
        </is>
      </c>
      <c r="B25" t="inlineStr">
        <is>
          <t>china</t>
        </is>
      </c>
      <c r="C25" t="inlineStr">
        <is>
          <t>overlord-chassis</t>
        </is>
      </c>
      <c r="D25" t="inlineStr">
        <is>
          <t>diesel-heavy</t>
        </is>
      </c>
      <c r="E25" t="inlineStr">
        <is>
          <t>baseline-generator</t>
        </is>
      </c>
      <c r="F25" t="inlineStr">
        <is>
          <t>heavy</t>
        </is>
      </c>
      <c r="G25" t="inlineStr">
        <is>
          <t>heavy-twin-turret</t>
        </is>
      </c>
      <c r="H25" t="inlineStr">
        <is>
          <t>overlord-cannon</t>
        </is>
      </c>
      <c r="I25" t="inlineStr">
        <is>
          <t>heavy-shell</t>
        </is>
      </c>
      <c r="J25" t="inlineStr">
        <is>
          <t>firing-bunker</t>
        </is>
      </c>
      <c r="K25" t="inlineStr"/>
      <c r="L25" t="inlineStr"/>
      <c r="M25">
        <f>IF(C25="",0,VLOOKUP(C25,Bausteine!$A$2:$AY$76,4,FALSE))+IF(D25="",0,VLOOKUP(D25,Bausteine!$A$2:$AY$76,4,FALSE))+IF(E25="",0,VLOOKUP(E25,Bausteine!$A$2:$AY$76,4,FALSE))+IF(F25="",0,VLOOKUP(F25,Bausteine!$A$2:$AY$76,4,FALSE))+IF(G25="",0,VLOOKUP(G25,Bausteine!$A$2:$AY$76,4,FALSE))+IF(H25="",0,VLOOKUP(H25,Bausteine!$A$2:$AY$76,4,FALSE))+IF(I25="",0,VLOOKUP(I25,Bausteine!$A$2:$AY$76,4,FALSE))+IF(J25="",0,VLOOKUP(J25,Bausteine!$A$2:$AY$76,4,FALSE))+IF(K25="",0,VLOOKUP(K25,Bausteine!$A$2:$AY$76,4,FALSE))+IF(L25="",0,VLOOKUP(L25,Bausteine!$A$2:$AY$76,4,FALSE))+IF(AC25="",0,VLOOKUP(AC25,Bausteine!$A$2:$AY$76,4,FALSE))+IF(AF25="",0,VLOOKUP(AF25,Bausteine!$A$2:$AY$76,4,FALSE))+IF(AG25="",0,VLOOKUP(AG25,Bausteine!$A$2:$AY$76,4,FALSE))+IF(AH25="",0,VLOOKUP(AH25,Bausteine!$A$2:$AY$76,4,FALSE))+IF(AQ25="",0,VLOOKUP(AQ25,Bausteine!$A$2:$AY$76,4,FALSE))</f>
        <v/>
      </c>
      <c r="N25">
        <f>IF(C25="",0,VLOOKUP(C25,Bausteine!$A$2:$AY$76,5,FALSE))+IF(D25="",0,VLOOKUP(D25,Bausteine!$A$2:$AY$76,5,FALSE))+IF(E25="",0,VLOOKUP(E25,Bausteine!$A$2:$AY$76,5,FALSE))+IF(F25="",0,VLOOKUP(F25,Bausteine!$A$2:$AY$76,5,FALSE))+IF(G25="",0,VLOOKUP(G25,Bausteine!$A$2:$AY$76,5,FALSE))+IF(H25="",0,VLOOKUP(H25,Bausteine!$A$2:$AY$76,5,FALSE))+IF(I25="",0,VLOOKUP(I25,Bausteine!$A$2:$AY$76,5,FALSE))+IF(J25="",0,VLOOKUP(J25,Bausteine!$A$2:$AY$76,5,FALSE))+IF(K25="",0,VLOOKUP(K25,Bausteine!$A$2:$AY$76,5,FALSE))+IF(L25="",0,VLOOKUP(L25,Bausteine!$A$2:$AY$76,5,FALSE))+IF(AC25="",0,VLOOKUP(AC25,Bausteine!$A$2:$AY$76,5,FALSE))+IF(AF25="",0,VLOOKUP(AF25,Bausteine!$A$2:$AY$76,5,FALSE))+IF(AG25="",0,VLOOKUP(AG25,Bausteine!$A$2:$AY$76,5,FALSE))+IF(AH25="",0,VLOOKUP(AH25,Bausteine!$A$2:$AY$76,5,FALSE))+IF(AQ25="",0,VLOOKUP(AQ25,Bausteine!$A$2:$AY$76,5,FALSE))</f>
        <v/>
      </c>
      <c r="O25">
        <f>MAX(IF(C25="",0,VLOOKUP(C25,Bausteine!$A$2:$AY$76,6,FALSE)),IF(D25="",0,VLOOKUP(D25,Bausteine!$A$2:$AY$76,6,FALSE)),IF(E25="",0,VLOOKUP(E25,Bausteine!$A$2:$AY$76,6,FALSE)),IF(F25="",0,VLOOKUP(F25,Bausteine!$A$2:$AY$76,6,FALSE)),IF(G25="",0,VLOOKUP(G25,Bausteine!$A$2:$AY$76,6,FALSE)),IF(H25="",0,VLOOKUP(H25,Bausteine!$A$2:$AY$76,6,FALSE)),IF(I25="",0,VLOOKUP(I25,Bausteine!$A$2:$AY$76,6,FALSE)),IF(J25="",0,VLOOKUP(J25,Bausteine!$A$2:$AY$76,6,FALSE)),IF(K25="",0,VLOOKUP(K25,Bausteine!$A$2:$AY$76,6,FALSE)),IF(L25="",0,VLOOKUP(L25,Bausteine!$A$2:$AY$76,6,FALSE)),IF(AC25="",0,VLOOKUP(AC25,Bausteine!$A$2:$AY$76,6,FALSE)),IF(AF25="",0,VLOOKUP(AF25,Bausteine!$A$2:$AY$76,6,FALSE)),IF(AG25="",0,VLOOKUP(AG25,Bausteine!$A$2:$AY$76,6,FALSE)),IF(AH25="",0,VLOOKUP(AH25,Bausteine!$A$2:$AY$76,6,FALSE)),IF(AQ25="",0,VLOOKUP(AQ25,Bausteine!$A$2:$AY$76,6,FALSE)),AK25)</f>
        <v/>
      </c>
      <c r="P25">
        <f>IF(C25="",0,VLOOKUP(C25,Bausteine!$A$2:$AY$76,7,FALSE))*IF(F25="",0,VLOOKUP(F25,Bausteine!$A$2:$AY$76,17,FALSE))/100+IF(D25="",0,VLOOKUP(D25,Bausteine!$A$2:$AY$76,7,FALSE))+IF(E25="",0,VLOOKUP(E25,Bausteine!$A$2:$AY$76,7,FALSE))+IF(G25="",0,VLOOKUP(G25,Bausteine!$A$2:$AY$76,7,FALSE))+IF(H25="",0,VLOOKUP(H25,Bausteine!$A$2:$AY$76,7,FALSE))+IF(I25="",0,VLOOKUP(I25,Bausteine!$A$2:$AY$76,7,FALSE))+IF(J25="",0,VLOOKUP(J25,Bausteine!$A$2:$AY$76,7,FALSE))+IF(K25="",0,VLOOKUP(K25,Bausteine!$A$2:$AY$76,7,FALSE))+IF(L25="",0,VLOOKUP(L25,Bausteine!$A$2:$AY$76,7,FALSE))+IF(AC25="",0,VLOOKUP(AC25,Bausteine!$A$2:$AY$76,7,FALSE))+IF(AF25="",0,VLOOKUP(AF25,Bausteine!$A$2:$AY$76,7,FALSE))+IF(AG25="",0,VLOOKUP(AG25,Bausteine!$A$2:$AY$76,7,FALSE))+IF(AH25="",0,VLOOKUP(AH25,Bausteine!$A$2:$AY$76,7,FALSE))+IF(AQ25="",0,VLOOKUP(AQ25,Bausteine!$A$2:$AY$76,7,FALSE))+AI25</f>
        <v/>
      </c>
      <c r="Q25">
        <f>N25*Parameter!$B$2</f>
        <v/>
      </c>
      <c r="R25">
        <f>AE25-Q25</f>
        <v/>
      </c>
      <c r="S25">
        <f>IF(C25="",0,VLOOKUP(C25,Bausteine!$A$2:$AY$76,13,FALSE))*IF(F25="",0,VLOOKUP(F25,Bausteine!$A$2:$AY$76,16,FALSE))/100</f>
        <v/>
      </c>
      <c r="T25">
        <f>IF(C25="",0,VLOOKUP(C25,Bausteine!$A$2:$AY$76,8,FALSE))*IF(F25="",0,VLOOKUP(F25,Bausteine!$A$2:$AY$76,15,FALSE))/100+IF(D25="",0,VLOOKUP(D25,Bausteine!$A$2:$AY$76,8,FALSE))+IF(E25="",0,VLOOKUP(E25,Bausteine!$A$2:$AY$76,8,FALSE))+IF(G25="",0,VLOOKUP(G25,Bausteine!$A$2:$AY$76,8,FALSE))+IF(H25="",0,VLOOKUP(H25,Bausteine!$A$2:$AY$76,8,FALSE))+IF(I25="",0,VLOOKUP(I25,Bausteine!$A$2:$AY$76,8,FALSE))+IF(J25="",0,VLOOKUP(J25,Bausteine!$A$2:$AY$76,8,FALSE))+IF(K25="",0,VLOOKUP(K25,Bausteine!$A$2:$AY$76,8,FALSE))+IF(L25="",0,VLOOKUP(L25,Bausteine!$A$2:$AY$76,8,FALSE))+IF(AC25="",0,VLOOKUP(AC25,Bausteine!$A$2:$AY$76,8,FALSE))+IF(AF25="",0,VLOOKUP(AF25,Bausteine!$A$2:$AY$76,8,FALSE))+IF(AG25="",0,VLOOKUP(AG25,Bausteine!$A$2:$AY$76,8,FALSE))+IF(AH25="",0,VLOOKUP(AH25,Bausteine!$A$2:$AY$76,8,FALSE))+IF(AQ25="",0,VLOOKUP(AQ25,Bausteine!$A$2:$AY$76,8,FALSE))+AJ25</f>
        <v/>
      </c>
      <c r="U25">
        <f>IF(C25="",0,VLOOKUP(C25,Bausteine!$A$2:$AY$76,9,FALSE))+IF(D25="",0,VLOOKUP(D25,Bausteine!$A$2:$AY$76,9,FALSE))+IF(E25="",0,VLOOKUP(E25,Bausteine!$A$2:$AY$76,9,FALSE))+IF(F25="",0,VLOOKUP(F25,Bausteine!$A$2:$AY$76,9,FALSE))+IF(G25="",0,VLOOKUP(G25,Bausteine!$A$2:$AY$76,9,FALSE))+IF(H25="",0,VLOOKUP(H25,Bausteine!$A$2:$AY$76,9,FALSE))+IF(I25="",0,VLOOKUP(I25,Bausteine!$A$2:$AY$76,9,FALSE))+IF(J25="",0,VLOOKUP(J25,Bausteine!$A$2:$AY$76,9,FALSE))+IF(K25="",0,VLOOKUP(K25,Bausteine!$A$2:$AY$76,9,FALSE))+IF(L25="",0,VLOOKUP(L25,Bausteine!$A$2:$AY$76,9,FALSE))+IF(AC25="",0,VLOOKUP(AC25,Bausteine!$A$2:$AY$76,9,FALSE))+IF(AF25="",0,VLOOKUP(AF25,Bausteine!$A$2:$AY$76,9,FALSE))+IF(AG25="",0,VLOOKUP(AG25,Bausteine!$A$2:$AY$76,9,FALSE))+IF(AH25="",0,VLOOKUP(AH25,Bausteine!$A$2:$AY$76,9,FALSE))+IF(AQ25="",0,VLOOKUP(AQ25,Bausteine!$A$2:$AY$76,9,FALSE))</f>
        <v/>
      </c>
      <c r="V25">
        <f>IF(D25="",0,VLOOKUP(D25,Bausteine!$A$2:$AY$76,10,FALSE))-U25/IF(E25="",0,VLOOKUP(E25,Bausteine!$A$2:$AY$76,11,FALSE))</f>
        <v/>
      </c>
      <c r="W25">
        <f>IF(Y25&lt;&gt;"OK","",ROUND(MIN(IF(C25="",0,VLOOKUP(C25,Bausteine!$A$2:$AY$76,21,FALSE)),IF(AQ25="",0,VLOOKUP(AQ25,Bausteine!$A$2:$AY$76,21,FALSE)),IF(C25="",0,VLOOKUP(C25,Bausteine!$A$2:$AY$76,20,FALSE))*(V25/T25/(IF(C25="",0,VLOOKUP(C25,Bausteine!$A$2:$AY$76,19,FALSE))/IF(C25="",0,VLOOKUP(C25,Bausteine!$A$2:$AY$76,18,FALSE))))^Parameter!$B$3),0))</f>
        <v/>
      </c>
      <c r="X25">
        <f>IF(F25="",0,VLOOKUP(F25,Bausteine!$A$2:$AY$76,14,FALSE))</f>
        <v/>
      </c>
      <c r="Y25">
        <f>IFERROR(IF(OR(AD25&lt;=0,AD25&gt;1,R25&lt;=0,T25&lt;=0,V25&lt;=0,U25&gt;IF(E25="",0,VLOOKUP(E25,Bausteine!$A$2:$AY$76,12,FALSE)),T25&gt;MIN(IF(C25="",0,VLOOKUP(C25,Bausteine!$A$2:$AY$76,22,FALSE)),IF(AQ25="",0,VLOOKUP(AQ25,Bausteine!$A$2:$AY$76,22,FALSE))),IF(E25="",0,VLOOKUP(E25,Bausteine!$A$2:$AY$76,11,FALSE))&lt;=0,IF(E25="",0,VLOOKUP(E25,Bausteine!$A$2:$AY$76,11,FALSE))&gt;1),"UNGUELTIG","OK"),"FEHLER")</f>
        <v/>
      </c>
      <c r="Z25" t="n">
        <v>2200</v>
      </c>
      <c r="AA25" t="n">
        <v>55</v>
      </c>
      <c r="AB25" t="inlineStr">
        <is>
          <t>Half-filled bunker; base-faction catalog intentionally ignores old Infantry-General restriction.</t>
        </is>
      </c>
      <c r="AC25" t="inlineStr"/>
      <c r="AD25">
        <f>IF(AC25="",1,IF(AC25="",0,VLOOKUP(AC25,Bausteine!$A$2:$AY$76,37,FALSE))/100)</f>
        <v/>
      </c>
      <c r="AE25">
        <f>P25*AD25</f>
        <v/>
      </c>
      <c r="AF25" t="inlineStr"/>
      <c r="AG25" t="inlineStr"/>
      <c r="AH25" t="inlineStr"/>
      <c r="AI25">
        <f>SUMIF(Startbesatzung!$A$2:$A$7,A25,Startbesatzung!$D$2:$D$7)</f>
        <v/>
      </c>
      <c r="AJ25">
        <f>SUMIF(Startbesatzung!$A$2:$A$7,A25,Startbesatzung!$E$2:$E$7)</f>
        <v/>
      </c>
      <c r="AK25">
        <f>MAX(0,IF(Startbesatzung!A2=A25,Startbesatzung!G2,0),IF(Startbesatzung!A3=A25,Startbesatzung!G3,0),IF(Startbesatzung!A4=A25,Startbesatzung!G4,0),IF(Startbesatzung!A5=A25,Startbesatzung!G5,0),IF(Startbesatzung!A6=A25,Startbesatzung!G6,0),IF(Startbesatzung!A7=A25,Startbesatzung!G7,0))</f>
        <v/>
      </c>
      <c r="AL25">
        <f>IF(AF25="","",IF(IF(AH25="",0,VLOOKUP(AH25,Bausteine!$A$2:$AY$76,38,FALSE))&gt;0,IF(AH25="",0,VLOOKUP(AH25,Bausteine!$A$2:$AY$76,38,FALSE)),IF(AG25="",0,VLOOKUP(AG25,Bausteine!$A$2:$AY$76,28,FALSE))))</f>
        <v/>
      </c>
      <c r="AM25">
        <f>IF(AF25="","",IF(AG25="",0,VLOOKUP(AG25,Bausteine!$A$2:$AY$76,44,FALSE)))</f>
        <v/>
      </c>
      <c r="AN25">
        <f>IF(AF25="","",IF(AF25="",0,VLOOKUP(AF25,Bausteine!$A$2:$AY$76,27,FALSE)))</f>
        <v/>
      </c>
      <c r="AO25">
        <f>IF(AF25="","",IF(AF25="",0,VLOOKUP(AF25,Bausteine!$A$2:$AY$76,25,FALSE)))</f>
        <v/>
      </c>
      <c r="AP25">
        <f>IF(AF25="","",IF(AH25="",0,VLOOKUP(AH25,Bausteine!$A$2:$AY$76,29,FALSE)))</f>
        <v/>
      </c>
      <c r="AQ25" t="inlineStr">
        <is>
          <t>tracks-superheavy</t>
        </is>
      </c>
      <c r="AR25">
        <f>IF(AQ25="",0,VLOOKUP(AQ25,Bausteine!$A$2:$AY$76,48,FALSE))</f>
        <v/>
      </c>
      <c r="AS25">
        <f>MIN(IF(AQ25="",0,VLOOKUP(AQ25,Bausteine!$A$2:$AY$76,50,FALSE)),IF(C25="",0,VLOOKUP(C25,Bausteine!$A$2:$AY$76,51,FALSE)))</f>
        <v/>
      </c>
    </row>
    <row r="26">
      <c r="A26" t="inlineStr">
        <is>
          <t>Overlord Bunker</t>
        </is>
      </c>
      <c r="B26" t="inlineStr">
        <is>
          <t>china</t>
        </is>
      </c>
      <c r="C26" t="inlineStr">
        <is>
          <t>overlord-chassis</t>
        </is>
      </c>
      <c r="D26" t="inlineStr">
        <is>
          <t>diesel-heavy</t>
        </is>
      </c>
      <c r="E26" t="inlineStr">
        <is>
          <t>baseline-generator</t>
        </is>
      </c>
      <c r="F26" t="inlineStr">
        <is>
          <t>heavy</t>
        </is>
      </c>
      <c r="G26" t="inlineStr">
        <is>
          <t>heavy-twin-turret</t>
        </is>
      </c>
      <c r="H26" t="inlineStr">
        <is>
          <t>overlord-cannon</t>
        </is>
      </c>
      <c r="I26" t="inlineStr">
        <is>
          <t>heavy-shell</t>
        </is>
      </c>
      <c r="J26" t="inlineStr">
        <is>
          <t>firing-bunker</t>
        </is>
      </c>
      <c r="K26" t="inlineStr"/>
      <c r="L26" t="inlineStr"/>
      <c r="M26">
        <f>IF(C26="",0,VLOOKUP(C26,Bausteine!$A$2:$AY$76,4,FALSE))+IF(D26="",0,VLOOKUP(D26,Bausteine!$A$2:$AY$76,4,FALSE))+IF(E26="",0,VLOOKUP(E26,Bausteine!$A$2:$AY$76,4,FALSE))+IF(F26="",0,VLOOKUP(F26,Bausteine!$A$2:$AY$76,4,FALSE))+IF(G26="",0,VLOOKUP(G26,Bausteine!$A$2:$AY$76,4,FALSE))+IF(H26="",0,VLOOKUP(H26,Bausteine!$A$2:$AY$76,4,FALSE))+IF(I26="",0,VLOOKUP(I26,Bausteine!$A$2:$AY$76,4,FALSE))+IF(J26="",0,VLOOKUP(J26,Bausteine!$A$2:$AY$76,4,FALSE))+IF(K26="",0,VLOOKUP(K26,Bausteine!$A$2:$AY$76,4,FALSE))+IF(L26="",0,VLOOKUP(L26,Bausteine!$A$2:$AY$76,4,FALSE))+IF(AC26="",0,VLOOKUP(AC26,Bausteine!$A$2:$AY$76,4,FALSE))+IF(AF26="",0,VLOOKUP(AF26,Bausteine!$A$2:$AY$76,4,FALSE))+IF(AG26="",0,VLOOKUP(AG26,Bausteine!$A$2:$AY$76,4,FALSE))+IF(AH26="",0,VLOOKUP(AH26,Bausteine!$A$2:$AY$76,4,FALSE))+IF(AQ26="",0,VLOOKUP(AQ26,Bausteine!$A$2:$AY$76,4,FALSE))</f>
        <v/>
      </c>
      <c r="N26">
        <f>IF(C26="",0,VLOOKUP(C26,Bausteine!$A$2:$AY$76,5,FALSE))+IF(D26="",0,VLOOKUP(D26,Bausteine!$A$2:$AY$76,5,FALSE))+IF(E26="",0,VLOOKUP(E26,Bausteine!$A$2:$AY$76,5,FALSE))+IF(F26="",0,VLOOKUP(F26,Bausteine!$A$2:$AY$76,5,FALSE))+IF(G26="",0,VLOOKUP(G26,Bausteine!$A$2:$AY$76,5,FALSE))+IF(H26="",0,VLOOKUP(H26,Bausteine!$A$2:$AY$76,5,FALSE))+IF(I26="",0,VLOOKUP(I26,Bausteine!$A$2:$AY$76,5,FALSE))+IF(J26="",0,VLOOKUP(J26,Bausteine!$A$2:$AY$76,5,FALSE))+IF(K26="",0,VLOOKUP(K26,Bausteine!$A$2:$AY$76,5,FALSE))+IF(L26="",0,VLOOKUP(L26,Bausteine!$A$2:$AY$76,5,FALSE))+IF(AC26="",0,VLOOKUP(AC26,Bausteine!$A$2:$AY$76,5,FALSE))+IF(AF26="",0,VLOOKUP(AF26,Bausteine!$A$2:$AY$76,5,FALSE))+IF(AG26="",0,VLOOKUP(AG26,Bausteine!$A$2:$AY$76,5,FALSE))+IF(AH26="",0,VLOOKUP(AH26,Bausteine!$A$2:$AY$76,5,FALSE))+IF(AQ26="",0,VLOOKUP(AQ26,Bausteine!$A$2:$AY$76,5,FALSE))</f>
        <v/>
      </c>
      <c r="O26">
        <f>MAX(IF(C26="",0,VLOOKUP(C26,Bausteine!$A$2:$AY$76,6,FALSE)),IF(D26="",0,VLOOKUP(D26,Bausteine!$A$2:$AY$76,6,FALSE)),IF(E26="",0,VLOOKUP(E26,Bausteine!$A$2:$AY$76,6,FALSE)),IF(F26="",0,VLOOKUP(F26,Bausteine!$A$2:$AY$76,6,FALSE)),IF(G26="",0,VLOOKUP(G26,Bausteine!$A$2:$AY$76,6,FALSE)),IF(H26="",0,VLOOKUP(H26,Bausteine!$A$2:$AY$76,6,FALSE)),IF(I26="",0,VLOOKUP(I26,Bausteine!$A$2:$AY$76,6,FALSE)),IF(J26="",0,VLOOKUP(J26,Bausteine!$A$2:$AY$76,6,FALSE)),IF(K26="",0,VLOOKUP(K26,Bausteine!$A$2:$AY$76,6,FALSE)),IF(L26="",0,VLOOKUP(L26,Bausteine!$A$2:$AY$76,6,FALSE)),IF(AC26="",0,VLOOKUP(AC26,Bausteine!$A$2:$AY$76,6,FALSE)),IF(AF26="",0,VLOOKUP(AF26,Bausteine!$A$2:$AY$76,6,FALSE)),IF(AG26="",0,VLOOKUP(AG26,Bausteine!$A$2:$AY$76,6,FALSE)),IF(AH26="",0,VLOOKUP(AH26,Bausteine!$A$2:$AY$76,6,FALSE)),IF(AQ26="",0,VLOOKUP(AQ26,Bausteine!$A$2:$AY$76,6,FALSE)),AK26)</f>
        <v/>
      </c>
      <c r="P26">
        <f>IF(C26="",0,VLOOKUP(C26,Bausteine!$A$2:$AY$76,7,FALSE))*IF(F26="",0,VLOOKUP(F26,Bausteine!$A$2:$AY$76,17,FALSE))/100+IF(D26="",0,VLOOKUP(D26,Bausteine!$A$2:$AY$76,7,FALSE))+IF(E26="",0,VLOOKUP(E26,Bausteine!$A$2:$AY$76,7,FALSE))+IF(G26="",0,VLOOKUP(G26,Bausteine!$A$2:$AY$76,7,FALSE))+IF(H26="",0,VLOOKUP(H26,Bausteine!$A$2:$AY$76,7,FALSE))+IF(I26="",0,VLOOKUP(I26,Bausteine!$A$2:$AY$76,7,FALSE))+IF(J26="",0,VLOOKUP(J26,Bausteine!$A$2:$AY$76,7,FALSE))+IF(K26="",0,VLOOKUP(K26,Bausteine!$A$2:$AY$76,7,FALSE))+IF(L26="",0,VLOOKUP(L26,Bausteine!$A$2:$AY$76,7,FALSE))+IF(AC26="",0,VLOOKUP(AC26,Bausteine!$A$2:$AY$76,7,FALSE))+IF(AF26="",0,VLOOKUP(AF26,Bausteine!$A$2:$AY$76,7,FALSE))+IF(AG26="",0,VLOOKUP(AG26,Bausteine!$A$2:$AY$76,7,FALSE))+IF(AH26="",0,VLOOKUP(AH26,Bausteine!$A$2:$AY$76,7,FALSE))+IF(AQ26="",0,VLOOKUP(AQ26,Bausteine!$A$2:$AY$76,7,FALSE))+AI26</f>
        <v/>
      </c>
      <c r="Q26">
        <f>N26*Parameter!$B$2</f>
        <v/>
      </c>
      <c r="R26">
        <f>AE26-Q26</f>
        <v/>
      </c>
      <c r="S26">
        <f>IF(C26="",0,VLOOKUP(C26,Bausteine!$A$2:$AY$76,13,FALSE))*IF(F26="",0,VLOOKUP(F26,Bausteine!$A$2:$AY$76,16,FALSE))/100</f>
        <v/>
      </c>
      <c r="T26">
        <f>IF(C26="",0,VLOOKUP(C26,Bausteine!$A$2:$AY$76,8,FALSE))*IF(F26="",0,VLOOKUP(F26,Bausteine!$A$2:$AY$76,15,FALSE))/100+IF(D26="",0,VLOOKUP(D26,Bausteine!$A$2:$AY$76,8,FALSE))+IF(E26="",0,VLOOKUP(E26,Bausteine!$A$2:$AY$76,8,FALSE))+IF(G26="",0,VLOOKUP(G26,Bausteine!$A$2:$AY$76,8,FALSE))+IF(H26="",0,VLOOKUP(H26,Bausteine!$A$2:$AY$76,8,FALSE))+IF(I26="",0,VLOOKUP(I26,Bausteine!$A$2:$AY$76,8,FALSE))+IF(J26="",0,VLOOKUP(J26,Bausteine!$A$2:$AY$76,8,FALSE))+IF(K26="",0,VLOOKUP(K26,Bausteine!$A$2:$AY$76,8,FALSE))+IF(L26="",0,VLOOKUP(L26,Bausteine!$A$2:$AY$76,8,FALSE))+IF(AC26="",0,VLOOKUP(AC26,Bausteine!$A$2:$AY$76,8,FALSE))+IF(AF26="",0,VLOOKUP(AF26,Bausteine!$A$2:$AY$76,8,FALSE))+IF(AG26="",0,VLOOKUP(AG26,Bausteine!$A$2:$AY$76,8,FALSE))+IF(AH26="",0,VLOOKUP(AH26,Bausteine!$A$2:$AY$76,8,FALSE))+IF(AQ26="",0,VLOOKUP(AQ26,Bausteine!$A$2:$AY$76,8,FALSE))+AJ26</f>
        <v/>
      </c>
      <c r="U26">
        <f>IF(C26="",0,VLOOKUP(C26,Bausteine!$A$2:$AY$76,9,FALSE))+IF(D26="",0,VLOOKUP(D26,Bausteine!$A$2:$AY$76,9,FALSE))+IF(E26="",0,VLOOKUP(E26,Bausteine!$A$2:$AY$76,9,FALSE))+IF(F26="",0,VLOOKUP(F26,Bausteine!$A$2:$AY$76,9,FALSE))+IF(G26="",0,VLOOKUP(G26,Bausteine!$A$2:$AY$76,9,FALSE))+IF(H26="",0,VLOOKUP(H26,Bausteine!$A$2:$AY$76,9,FALSE))+IF(I26="",0,VLOOKUP(I26,Bausteine!$A$2:$AY$76,9,FALSE))+IF(J26="",0,VLOOKUP(J26,Bausteine!$A$2:$AY$76,9,FALSE))+IF(K26="",0,VLOOKUP(K26,Bausteine!$A$2:$AY$76,9,FALSE))+IF(L26="",0,VLOOKUP(L26,Bausteine!$A$2:$AY$76,9,FALSE))+IF(AC26="",0,VLOOKUP(AC26,Bausteine!$A$2:$AY$76,9,FALSE))+IF(AF26="",0,VLOOKUP(AF26,Bausteine!$A$2:$AY$76,9,FALSE))+IF(AG26="",0,VLOOKUP(AG26,Bausteine!$A$2:$AY$76,9,FALSE))+IF(AH26="",0,VLOOKUP(AH26,Bausteine!$A$2:$AY$76,9,FALSE))+IF(AQ26="",0,VLOOKUP(AQ26,Bausteine!$A$2:$AY$76,9,FALSE))</f>
        <v/>
      </c>
      <c r="V26">
        <f>IF(D26="",0,VLOOKUP(D26,Bausteine!$A$2:$AY$76,10,FALSE))-U26/IF(E26="",0,VLOOKUP(E26,Bausteine!$A$2:$AY$76,11,FALSE))</f>
        <v/>
      </c>
      <c r="W26">
        <f>IF(Y26&lt;&gt;"OK","",ROUND(MIN(IF(C26="",0,VLOOKUP(C26,Bausteine!$A$2:$AY$76,21,FALSE)),IF(AQ26="",0,VLOOKUP(AQ26,Bausteine!$A$2:$AY$76,21,FALSE)),IF(C26="",0,VLOOKUP(C26,Bausteine!$A$2:$AY$76,20,FALSE))*(V26/T26/(IF(C26="",0,VLOOKUP(C26,Bausteine!$A$2:$AY$76,19,FALSE))/IF(C26="",0,VLOOKUP(C26,Bausteine!$A$2:$AY$76,18,FALSE))))^Parameter!$B$3),0))</f>
        <v/>
      </c>
      <c r="X26">
        <f>IF(F26="",0,VLOOKUP(F26,Bausteine!$A$2:$AY$76,14,FALSE))</f>
        <v/>
      </c>
      <c r="Y26">
        <f>IFERROR(IF(OR(AD26&lt;=0,AD26&gt;1,R26&lt;=0,T26&lt;=0,V26&lt;=0,U26&gt;IF(E26="",0,VLOOKUP(E26,Bausteine!$A$2:$AY$76,12,FALSE)),T26&gt;MIN(IF(C26="",0,VLOOKUP(C26,Bausteine!$A$2:$AY$76,22,FALSE)),IF(AQ26="",0,VLOOKUP(AQ26,Bausteine!$A$2:$AY$76,22,FALSE))),IF(E26="",0,VLOOKUP(E26,Bausteine!$A$2:$AY$76,11,FALSE))&lt;=0,IF(E26="",0,VLOOKUP(E26,Bausteine!$A$2:$AY$76,11,FALSE))&gt;1),"UNGUELTIG","OK"),"FEHLER")</f>
        <v/>
      </c>
      <c r="Z26" t="n">
        <v>3000</v>
      </c>
      <c r="AA26" t="n">
        <v>55</v>
      </c>
      <c r="AB26" t="inlineStr">
        <is>
          <t>Includes 4 Tank Hunters. Compare base HP, not Emperor conditional resistance. Crew + bunker mass/load are provisional; reuses existing open-topped traits.</t>
        </is>
      </c>
      <c r="AC26" t="inlineStr"/>
      <c r="AD26">
        <f>IF(AC26="",1,IF(AC26="",0,VLOOKUP(AC26,Bausteine!$A$2:$AY$76,37,FALSE))/100)</f>
        <v/>
      </c>
      <c r="AE26">
        <f>P26*AD26</f>
        <v/>
      </c>
      <c r="AF26" t="inlineStr"/>
      <c r="AG26" t="inlineStr"/>
      <c r="AH26" t="inlineStr"/>
      <c r="AI26">
        <f>SUMIF(Startbesatzung!$A$2:$A$7,A26,Startbesatzung!$D$2:$D$7)</f>
        <v/>
      </c>
      <c r="AJ26">
        <f>SUMIF(Startbesatzung!$A$2:$A$7,A26,Startbesatzung!$E$2:$E$7)</f>
        <v/>
      </c>
      <c r="AK26">
        <f>MAX(0,IF(Startbesatzung!A2=A26,Startbesatzung!G2,0),IF(Startbesatzung!A3=A26,Startbesatzung!G3,0),IF(Startbesatzung!A4=A26,Startbesatzung!G4,0),IF(Startbesatzung!A5=A26,Startbesatzung!G5,0),IF(Startbesatzung!A6=A26,Startbesatzung!G6,0),IF(Startbesatzung!A7=A26,Startbesatzung!G7,0))</f>
        <v/>
      </c>
      <c r="AL26">
        <f>IF(AF26="","",IF(IF(AH26="",0,VLOOKUP(AH26,Bausteine!$A$2:$AY$76,38,FALSE))&gt;0,IF(AH26="",0,VLOOKUP(AH26,Bausteine!$A$2:$AY$76,38,FALSE)),IF(AG26="",0,VLOOKUP(AG26,Bausteine!$A$2:$AY$76,28,FALSE))))</f>
        <v/>
      </c>
      <c r="AM26">
        <f>IF(AF26="","",IF(AG26="",0,VLOOKUP(AG26,Bausteine!$A$2:$AY$76,44,FALSE)))</f>
        <v/>
      </c>
      <c r="AN26">
        <f>IF(AF26="","",IF(AF26="",0,VLOOKUP(AF26,Bausteine!$A$2:$AY$76,27,FALSE)))</f>
        <v/>
      </c>
      <c r="AO26">
        <f>IF(AF26="","",IF(AF26="",0,VLOOKUP(AF26,Bausteine!$A$2:$AY$76,25,FALSE)))</f>
        <v/>
      </c>
      <c r="AP26">
        <f>IF(AF26="","",IF(AH26="",0,VLOOKUP(AH26,Bausteine!$A$2:$AY$76,29,FALSE)))</f>
        <v/>
      </c>
      <c r="AQ26" t="inlineStr">
        <is>
          <t>tracks-superheavy</t>
        </is>
      </c>
      <c r="AR26">
        <f>IF(AQ26="",0,VLOOKUP(AQ26,Bausteine!$A$2:$AY$76,48,FALSE))</f>
        <v/>
      </c>
      <c r="AS26">
        <f>MIN(IF(AQ26="",0,VLOOKUP(AQ26,Bausteine!$A$2:$AY$76,50,FALSE)),IF(C26="",0,VLOOKUP(C26,Bausteine!$A$2:$AY$76,51,FALSE)))</f>
        <v/>
      </c>
    </row>
    <row r="27">
      <c r="A27" t="inlineStr">
        <is>
          <t>Overlord Bunker PDL</t>
        </is>
      </c>
      <c r="B27" t="inlineStr">
        <is>
          <t>china</t>
        </is>
      </c>
      <c r="C27" t="inlineStr">
        <is>
          <t>overlord-chassis</t>
        </is>
      </c>
      <c r="D27" t="inlineStr">
        <is>
          <t>diesel-heavy-boost</t>
        </is>
      </c>
      <c r="E27" t="inlineStr">
        <is>
          <t>efficient-generator</t>
        </is>
      </c>
      <c r="F27" t="inlineStr">
        <is>
          <t>heavy</t>
        </is>
      </c>
      <c r="G27" t="inlineStr">
        <is>
          <t>heavy-twin-turret</t>
        </is>
      </c>
      <c r="H27" t="inlineStr">
        <is>
          <t>overlord-cannon</t>
        </is>
      </c>
      <c r="I27" t="inlineStr">
        <is>
          <t>heavy-shell</t>
        </is>
      </c>
      <c r="J27" t="inlineStr">
        <is>
          <t>firing-bunker</t>
        </is>
      </c>
      <c r="K27" t="inlineStr">
        <is>
          <t>pdl</t>
        </is>
      </c>
      <c r="L27" t="inlineStr"/>
      <c r="M27">
        <f>IF(C27="",0,VLOOKUP(C27,Bausteine!$A$2:$AY$76,4,FALSE))+IF(D27="",0,VLOOKUP(D27,Bausteine!$A$2:$AY$76,4,FALSE))+IF(E27="",0,VLOOKUP(E27,Bausteine!$A$2:$AY$76,4,FALSE))+IF(F27="",0,VLOOKUP(F27,Bausteine!$A$2:$AY$76,4,FALSE))+IF(G27="",0,VLOOKUP(G27,Bausteine!$A$2:$AY$76,4,FALSE))+IF(H27="",0,VLOOKUP(H27,Bausteine!$A$2:$AY$76,4,FALSE))+IF(I27="",0,VLOOKUP(I27,Bausteine!$A$2:$AY$76,4,FALSE))+IF(J27="",0,VLOOKUP(J27,Bausteine!$A$2:$AY$76,4,FALSE))+IF(K27="",0,VLOOKUP(K27,Bausteine!$A$2:$AY$76,4,FALSE))+IF(L27="",0,VLOOKUP(L27,Bausteine!$A$2:$AY$76,4,FALSE))+IF(AC27="",0,VLOOKUP(AC27,Bausteine!$A$2:$AY$76,4,FALSE))+IF(AF27="",0,VLOOKUP(AF27,Bausteine!$A$2:$AY$76,4,FALSE))+IF(AG27="",0,VLOOKUP(AG27,Bausteine!$A$2:$AY$76,4,FALSE))+IF(AH27="",0,VLOOKUP(AH27,Bausteine!$A$2:$AY$76,4,FALSE))+IF(AQ27="",0,VLOOKUP(AQ27,Bausteine!$A$2:$AY$76,4,FALSE))</f>
        <v/>
      </c>
      <c r="N27">
        <f>IF(C27="",0,VLOOKUP(C27,Bausteine!$A$2:$AY$76,5,FALSE))+IF(D27="",0,VLOOKUP(D27,Bausteine!$A$2:$AY$76,5,FALSE))+IF(E27="",0,VLOOKUP(E27,Bausteine!$A$2:$AY$76,5,FALSE))+IF(F27="",0,VLOOKUP(F27,Bausteine!$A$2:$AY$76,5,FALSE))+IF(G27="",0,VLOOKUP(G27,Bausteine!$A$2:$AY$76,5,FALSE))+IF(H27="",0,VLOOKUP(H27,Bausteine!$A$2:$AY$76,5,FALSE))+IF(I27="",0,VLOOKUP(I27,Bausteine!$A$2:$AY$76,5,FALSE))+IF(J27="",0,VLOOKUP(J27,Bausteine!$A$2:$AY$76,5,FALSE))+IF(K27="",0,VLOOKUP(K27,Bausteine!$A$2:$AY$76,5,FALSE))+IF(L27="",0,VLOOKUP(L27,Bausteine!$A$2:$AY$76,5,FALSE))+IF(AC27="",0,VLOOKUP(AC27,Bausteine!$A$2:$AY$76,5,FALSE))+IF(AF27="",0,VLOOKUP(AF27,Bausteine!$A$2:$AY$76,5,FALSE))+IF(AG27="",0,VLOOKUP(AG27,Bausteine!$A$2:$AY$76,5,FALSE))+IF(AH27="",0,VLOOKUP(AH27,Bausteine!$A$2:$AY$76,5,FALSE))+IF(AQ27="",0,VLOOKUP(AQ27,Bausteine!$A$2:$AY$76,5,FALSE))</f>
        <v/>
      </c>
      <c r="O27">
        <f>MAX(IF(C27="",0,VLOOKUP(C27,Bausteine!$A$2:$AY$76,6,FALSE)),IF(D27="",0,VLOOKUP(D27,Bausteine!$A$2:$AY$76,6,FALSE)),IF(E27="",0,VLOOKUP(E27,Bausteine!$A$2:$AY$76,6,FALSE)),IF(F27="",0,VLOOKUP(F27,Bausteine!$A$2:$AY$76,6,FALSE)),IF(G27="",0,VLOOKUP(G27,Bausteine!$A$2:$AY$76,6,FALSE)),IF(H27="",0,VLOOKUP(H27,Bausteine!$A$2:$AY$76,6,FALSE)),IF(I27="",0,VLOOKUP(I27,Bausteine!$A$2:$AY$76,6,FALSE)),IF(J27="",0,VLOOKUP(J27,Bausteine!$A$2:$AY$76,6,FALSE)),IF(K27="",0,VLOOKUP(K27,Bausteine!$A$2:$AY$76,6,FALSE)),IF(L27="",0,VLOOKUP(L27,Bausteine!$A$2:$AY$76,6,FALSE)),IF(AC27="",0,VLOOKUP(AC27,Bausteine!$A$2:$AY$76,6,FALSE)),IF(AF27="",0,VLOOKUP(AF27,Bausteine!$A$2:$AY$76,6,FALSE)),IF(AG27="",0,VLOOKUP(AG27,Bausteine!$A$2:$AY$76,6,FALSE)),IF(AH27="",0,VLOOKUP(AH27,Bausteine!$A$2:$AY$76,6,FALSE)),IF(AQ27="",0,VLOOKUP(AQ27,Bausteine!$A$2:$AY$76,6,FALSE)),AK27)</f>
        <v/>
      </c>
      <c r="P27">
        <f>IF(C27="",0,VLOOKUP(C27,Bausteine!$A$2:$AY$76,7,FALSE))*IF(F27="",0,VLOOKUP(F27,Bausteine!$A$2:$AY$76,17,FALSE))/100+IF(D27="",0,VLOOKUP(D27,Bausteine!$A$2:$AY$76,7,FALSE))+IF(E27="",0,VLOOKUP(E27,Bausteine!$A$2:$AY$76,7,FALSE))+IF(G27="",0,VLOOKUP(G27,Bausteine!$A$2:$AY$76,7,FALSE))+IF(H27="",0,VLOOKUP(H27,Bausteine!$A$2:$AY$76,7,FALSE))+IF(I27="",0,VLOOKUP(I27,Bausteine!$A$2:$AY$76,7,FALSE))+IF(J27="",0,VLOOKUP(J27,Bausteine!$A$2:$AY$76,7,FALSE))+IF(K27="",0,VLOOKUP(K27,Bausteine!$A$2:$AY$76,7,FALSE))+IF(L27="",0,VLOOKUP(L27,Bausteine!$A$2:$AY$76,7,FALSE))+IF(AC27="",0,VLOOKUP(AC27,Bausteine!$A$2:$AY$76,7,FALSE))+IF(AF27="",0,VLOOKUP(AF27,Bausteine!$A$2:$AY$76,7,FALSE))+IF(AG27="",0,VLOOKUP(AG27,Bausteine!$A$2:$AY$76,7,FALSE))+IF(AH27="",0,VLOOKUP(AH27,Bausteine!$A$2:$AY$76,7,FALSE))+IF(AQ27="",0,VLOOKUP(AQ27,Bausteine!$A$2:$AY$76,7,FALSE))+AI27</f>
        <v/>
      </c>
      <c r="Q27">
        <f>N27*Parameter!$B$2</f>
        <v/>
      </c>
      <c r="R27">
        <f>AE27-Q27</f>
        <v/>
      </c>
      <c r="S27">
        <f>IF(C27="",0,VLOOKUP(C27,Bausteine!$A$2:$AY$76,13,FALSE))*IF(F27="",0,VLOOKUP(F27,Bausteine!$A$2:$AY$76,16,FALSE))/100</f>
        <v/>
      </c>
      <c r="T27">
        <f>IF(C27="",0,VLOOKUP(C27,Bausteine!$A$2:$AY$76,8,FALSE))*IF(F27="",0,VLOOKUP(F27,Bausteine!$A$2:$AY$76,15,FALSE))/100+IF(D27="",0,VLOOKUP(D27,Bausteine!$A$2:$AY$76,8,FALSE))+IF(E27="",0,VLOOKUP(E27,Bausteine!$A$2:$AY$76,8,FALSE))+IF(G27="",0,VLOOKUP(G27,Bausteine!$A$2:$AY$76,8,FALSE))+IF(H27="",0,VLOOKUP(H27,Bausteine!$A$2:$AY$76,8,FALSE))+IF(I27="",0,VLOOKUP(I27,Bausteine!$A$2:$AY$76,8,FALSE))+IF(J27="",0,VLOOKUP(J27,Bausteine!$A$2:$AY$76,8,FALSE))+IF(K27="",0,VLOOKUP(K27,Bausteine!$A$2:$AY$76,8,FALSE))+IF(L27="",0,VLOOKUP(L27,Bausteine!$A$2:$AY$76,8,FALSE))+IF(AC27="",0,VLOOKUP(AC27,Bausteine!$A$2:$AY$76,8,FALSE))+IF(AF27="",0,VLOOKUP(AF27,Bausteine!$A$2:$AY$76,8,FALSE))+IF(AG27="",0,VLOOKUP(AG27,Bausteine!$A$2:$AY$76,8,FALSE))+IF(AH27="",0,VLOOKUP(AH27,Bausteine!$A$2:$AY$76,8,FALSE))+IF(AQ27="",0,VLOOKUP(AQ27,Bausteine!$A$2:$AY$76,8,FALSE))+AJ27</f>
        <v/>
      </c>
      <c r="U27">
        <f>IF(C27="",0,VLOOKUP(C27,Bausteine!$A$2:$AY$76,9,FALSE))+IF(D27="",0,VLOOKUP(D27,Bausteine!$A$2:$AY$76,9,FALSE))+IF(E27="",0,VLOOKUP(E27,Bausteine!$A$2:$AY$76,9,FALSE))+IF(F27="",0,VLOOKUP(F27,Bausteine!$A$2:$AY$76,9,FALSE))+IF(G27="",0,VLOOKUP(G27,Bausteine!$A$2:$AY$76,9,FALSE))+IF(H27="",0,VLOOKUP(H27,Bausteine!$A$2:$AY$76,9,FALSE))+IF(I27="",0,VLOOKUP(I27,Bausteine!$A$2:$AY$76,9,FALSE))+IF(J27="",0,VLOOKUP(J27,Bausteine!$A$2:$AY$76,9,FALSE))+IF(K27="",0,VLOOKUP(K27,Bausteine!$A$2:$AY$76,9,FALSE))+IF(L27="",0,VLOOKUP(L27,Bausteine!$A$2:$AY$76,9,FALSE))+IF(AC27="",0,VLOOKUP(AC27,Bausteine!$A$2:$AY$76,9,FALSE))+IF(AF27="",0,VLOOKUP(AF27,Bausteine!$A$2:$AY$76,9,FALSE))+IF(AG27="",0,VLOOKUP(AG27,Bausteine!$A$2:$AY$76,9,FALSE))+IF(AH27="",0,VLOOKUP(AH27,Bausteine!$A$2:$AY$76,9,FALSE))+IF(AQ27="",0,VLOOKUP(AQ27,Bausteine!$A$2:$AY$76,9,FALSE))</f>
        <v/>
      </c>
      <c r="V27">
        <f>IF(D27="",0,VLOOKUP(D27,Bausteine!$A$2:$AY$76,10,FALSE))-U27/IF(E27="",0,VLOOKUP(E27,Bausteine!$A$2:$AY$76,11,FALSE))</f>
        <v/>
      </c>
      <c r="W27">
        <f>IF(Y27&lt;&gt;"OK","",ROUND(MIN(IF(C27="",0,VLOOKUP(C27,Bausteine!$A$2:$AY$76,21,FALSE)),IF(AQ27="",0,VLOOKUP(AQ27,Bausteine!$A$2:$AY$76,21,FALSE)),IF(C27="",0,VLOOKUP(C27,Bausteine!$A$2:$AY$76,20,FALSE))*(V27/T27/(IF(C27="",0,VLOOKUP(C27,Bausteine!$A$2:$AY$76,19,FALSE))/IF(C27="",0,VLOOKUP(C27,Bausteine!$A$2:$AY$76,18,FALSE))))^Parameter!$B$3),0))</f>
        <v/>
      </c>
      <c r="X27">
        <f>IF(F27="",0,VLOOKUP(F27,Bausteine!$A$2:$AY$76,14,FALSE))</f>
        <v/>
      </c>
      <c r="Y27">
        <f>IFERROR(IF(OR(AD27&lt;=0,AD27&gt;1,R27&lt;=0,T27&lt;=0,V27&lt;=0,U27&gt;IF(E27="",0,VLOOKUP(E27,Bausteine!$A$2:$AY$76,12,FALSE)),T27&gt;MIN(IF(C27="",0,VLOOKUP(C27,Bausteine!$A$2:$AY$76,22,FALSE)),IF(AQ27="",0,VLOOKUP(AQ27,Bausteine!$A$2:$AY$76,22,FALSE))),IF(E27="",0,VLOOKUP(E27,Bausteine!$A$2:$AY$76,11,FALSE))&lt;=0,IF(E27="",0,VLOOKUP(E27,Bausteine!$A$2:$AY$76,11,FALSE))&gt;1),"UNGUELTIG","OK"),"FEHLER")</f>
        <v/>
      </c>
      <c r="Z27" t="n">
        <v>3650</v>
      </c>
      <c r="AA27" t="n">
        <v>55</v>
      </c>
      <c r="AB27" t="inlineStr">
        <is>
          <t>Standard PDL composed via existing ^AttackingCargoAndPDL; no special price discount.</t>
        </is>
      </c>
      <c r="AC27" t="inlineStr"/>
      <c r="AD27">
        <f>IF(AC27="",1,IF(AC27="",0,VLOOKUP(AC27,Bausteine!$A$2:$AY$76,37,FALSE))/100)</f>
        <v/>
      </c>
      <c r="AE27">
        <f>P27*AD27</f>
        <v/>
      </c>
      <c r="AF27" t="inlineStr"/>
      <c r="AG27" t="inlineStr"/>
      <c r="AH27" t="inlineStr"/>
      <c r="AI27">
        <f>SUMIF(Startbesatzung!$A$2:$A$7,A27,Startbesatzung!$D$2:$D$7)</f>
        <v/>
      </c>
      <c r="AJ27">
        <f>SUMIF(Startbesatzung!$A$2:$A$7,A27,Startbesatzung!$E$2:$E$7)</f>
        <v/>
      </c>
      <c r="AK27">
        <f>MAX(0,IF(Startbesatzung!A2=A27,Startbesatzung!G2,0),IF(Startbesatzung!A3=A27,Startbesatzung!G3,0),IF(Startbesatzung!A4=A27,Startbesatzung!G4,0),IF(Startbesatzung!A5=A27,Startbesatzung!G5,0),IF(Startbesatzung!A6=A27,Startbesatzung!G6,0),IF(Startbesatzung!A7=A27,Startbesatzung!G7,0))</f>
        <v/>
      </c>
      <c r="AL27">
        <f>IF(AF27="","",IF(IF(AH27="",0,VLOOKUP(AH27,Bausteine!$A$2:$AY$76,38,FALSE))&gt;0,IF(AH27="",0,VLOOKUP(AH27,Bausteine!$A$2:$AY$76,38,FALSE)),IF(AG27="",0,VLOOKUP(AG27,Bausteine!$A$2:$AY$76,28,FALSE))))</f>
        <v/>
      </c>
      <c r="AM27">
        <f>IF(AF27="","",IF(AG27="",0,VLOOKUP(AG27,Bausteine!$A$2:$AY$76,44,FALSE)))</f>
        <v/>
      </c>
      <c r="AN27">
        <f>IF(AF27="","",IF(AF27="",0,VLOOKUP(AF27,Bausteine!$A$2:$AY$76,27,FALSE)))</f>
        <v/>
      </c>
      <c r="AO27">
        <f>IF(AF27="","",IF(AF27="",0,VLOOKUP(AF27,Bausteine!$A$2:$AY$76,25,FALSE)))</f>
        <v/>
      </c>
      <c r="AP27">
        <f>IF(AF27="","",IF(AH27="",0,VLOOKUP(AH27,Bausteine!$A$2:$AY$76,29,FALSE)))</f>
        <v/>
      </c>
      <c r="AQ27" t="inlineStr">
        <is>
          <t>tracks-superheavy</t>
        </is>
      </c>
      <c r="AR27">
        <f>IF(AQ27="",0,VLOOKUP(AQ27,Bausteine!$A$2:$AY$76,48,FALSE))</f>
        <v/>
      </c>
      <c r="AS27">
        <f>MIN(IF(AQ27="",0,VLOOKUP(AQ27,Bausteine!$A$2:$AY$76,50,FALSE)),IF(C27="",0,VLOOKUP(C27,Bausteine!$A$2:$AY$76,51,FALSE)))</f>
        <v/>
      </c>
    </row>
    <row r="28">
      <c r="A28" t="inlineStr">
        <is>
          <t>Overlord Bunker Reflector</t>
        </is>
      </c>
      <c r="B28" t="inlineStr">
        <is>
          <t>china</t>
        </is>
      </c>
      <c r="C28" t="inlineStr">
        <is>
          <t>overlord-chassis</t>
        </is>
      </c>
      <c r="D28" t="inlineStr">
        <is>
          <t>diesel-heavy-boost</t>
        </is>
      </c>
      <c r="E28" t="inlineStr">
        <is>
          <t>efficient-generator</t>
        </is>
      </c>
      <c r="F28" t="inlineStr">
        <is>
          <t>reflector</t>
        </is>
      </c>
      <c r="G28" t="inlineStr">
        <is>
          <t>heavy-twin-turret</t>
        </is>
      </c>
      <c r="H28" t="inlineStr">
        <is>
          <t>overlord-cannon</t>
        </is>
      </c>
      <c r="I28" t="inlineStr">
        <is>
          <t>heavy-shell</t>
        </is>
      </c>
      <c r="J28" t="inlineStr">
        <is>
          <t>firing-bunker</t>
        </is>
      </c>
      <c r="K28" t="inlineStr"/>
      <c r="L28" t="inlineStr"/>
      <c r="M28">
        <f>IF(C28="",0,VLOOKUP(C28,Bausteine!$A$2:$AY$76,4,FALSE))+IF(D28="",0,VLOOKUP(D28,Bausteine!$A$2:$AY$76,4,FALSE))+IF(E28="",0,VLOOKUP(E28,Bausteine!$A$2:$AY$76,4,FALSE))+IF(F28="",0,VLOOKUP(F28,Bausteine!$A$2:$AY$76,4,FALSE))+IF(G28="",0,VLOOKUP(G28,Bausteine!$A$2:$AY$76,4,FALSE))+IF(H28="",0,VLOOKUP(H28,Bausteine!$A$2:$AY$76,4,FALSE))+IF(I28="",0,VLOOKUP(I28,Bausteine!$A$2:$AY$76,4,FALSE))+IF(J28="",0,VLOOKUP(J28,Bausteine!$A$2:$AY$76,4,FALSE))+IF(K28="",0,VLOOKUP(K28,Bausteine!$A$2:$AY$76,4,FALSE))+IF(L28="",0,VLOOKUP(L28,Bausteine!$A$2:$AY$76,4,FALSE))+IF(AC28="",0,VLOOKUP(AC28,Bausteine!$A$2:$AY$76,4,FALSE))+IF(AF28="",0,VLOOKUP(AF28,Bausteine!$A$2:$AY$76,4,FALSE))+IF(AG28="",0,VLOOKUP(AG28,Bausteine!$A$2:$AY$76,4,FALSE))+IF(AH28="",0,VLOOKUP(AH28,Bausteine!$A$2:$AY$76,4,FALSE))+IF(AQ28="",0,VLOOKUP(AQ28,Bausteine!$A$2:$AY$76,4,FALSE))</f>
        <v/>
      </c>
      <c r="N28">
        <f>IF(C28="",0,VLOOKUP(C28,Bausteine!$A$2:$AY$76,5,FALSE))+IF(D28="",0,VLOOKUP(D28,Bausteine!$A$2:$AY$76,5,FALSE))+IF(E28="",0,VLOOKUP(E28,Bausteine!$A$2:$AY$76,5,FALSE))+IF(F28="",0,VLOOKUP(F28,Bausteine!$A$2:$AY$76,5,FALSE))+IF(G28="",0,VLOOKUP(G28,Bausteine!$A$2:$AY$76,5,FALSE))+IF(H28="",0,VLOOKUP(H28,Bausteine!$A$2:$AY$76,5,FALSE))+IF(I28="",0,VLOOKUP(I28,Bausteine!$A$2:$AY$76,5,FALSE))+IF(J28="",0,VLOOKUP(J28,Bausteine!$A$2:$AY$76,5,FALSE))+IF(K28="",0,VLOOKUP(K28,Bausteine!$A$2:$AY$76,5,FALSE))+IF(L28="",0,VLOOKUP(L28,Bausteine!$A$2:$AY$76,5,FALSE))+IF(AC28="",0,VLOOKUP(AC28,Bausteine!$A$2:$AY$76,5,FALSE))+IF(AF28="",0,VLOOKUP(AF28,Bausteine!$A$2:$AY$76,5,FALSE))+IF(AG28="",0,VLOOKUP(AG28,Bausteine!$A$2:$AY$76,5,FALSE))+IF(AH28="",0,VLOOKUP(AH28,Bausteine!$A$2:$AY$76,5,FALSE))+IF(AQ28="",0,VLOOKUP(AQ28,Bausteine!$A$2:$AY$76,5,FALSE))</f>
        <v/>
      </c>
      <c r="O28">
        <f>MAX(IF(C28="",0,VLOOKUP(C28,Bausteine!$A$2:$AY$76,6,FALSE)),IF(D28="",0,VLOOKUP(D28,Bausteine!$A$2:$AY$76,6,FALSE)),IF(E28="",0,VLOOKUP(E28,Bausteine!$A$2:$AY$76,6,FALSE)),IF(F28="",0,VLOOKUP(F28,Bausteine!$A$2:$AY$76,6,FALSE)),IF(G28="",0,VLOOKUP(G28,Bausteine!$A$2:$AY$76,6,FALSE)),IF(H28="",0,VLOOKUP(H28,Bausteine!$A$2:$AY$76,6,FALSE)),IF(I28="",0,VLOOKUP(I28,Bausteine!$A$2:$AY$76,6,FALSE)),IF(J28="",0,VLOOKUP(J28,Bausteine!$A$2:$AY$76,6,FALSE)),IF(K28="",0,VLOOKUP(K28,Bausteine!$A$2:$AY$76,6,FALSE)),IF(L28="",0,VLOOKUP(L28,Bausteine!$A$2:$AY$76,6,FALSE)),IF(AC28="",0,VLOOKUP(AC28,Bausteine!$A$2:$AY$76,6,FALSE)),IF(AF28="",0,VLOOKUP(AF28,Bausteine!$A$2:$AY$76,6,FALSE)),IF(AG28="",0,VLOOKUP(AG28,Bausteine!$A$2:$AY$76,6,FALSE)),IF(AH28="",0,VLOOKUP(AH28,Bausteine!$A$2:$AY$76,6,FALSE)),IF(AQ28="",0,VLOOKUP(AQ28,Bausteine!$A$2:$AY$76,6,FALSE)),AK28)</f>
        <v/>
      </c>
      <c r="P28">
        <f>IF(C28="",0,VLOOKUP(C28,Bausteine!$A$2:$AY$76,7,FALSE))*IF(F28="",0,VLOOKUP(F28,Bausteine!$A$2:$AY$76,17,FALSE))/100+IF(D28="",0,VLOOKUP(D28,Bausteine!$A$2:$AY$76,7,FALSE))+IF(E28="",0,VLOOKUP(E28,Bausteine!$A$2:$AY$76,7,FALSE))+IF(G28="",0,VLOOKUP(G28,Bausteine!$A$2:$AY$76,7,FALSE))+IF(H28="",0,VLOOKUP(H28,Bausteine!$A$2:$AY$76,7,FALSE))+IF(I28="",0,VLOOKUP(I28,Bausteine!$A$2:$AY$76,7,FALSE))+IF(J28="",0,VLOOKUP(J28,Bausteine!$A$2:$AY$76,7,FALSE))+IF(K28="",0,VLOOKUP(K28,Bausteine!$A$2:$AY$76,7,FALSE))+IF(L28="",0,VLOOKUP(L28,Bausteine!$A$2:$AY$76,7,FALSE))+IF(AC28="",0,VLOOKUP(AC28,Bausteine!$A$2:$AY$76,7,FALSE))+IF(AF28="",0,VLOOKUP(AF28,Bausteine!$A$2:$AY$76,7,FALSE))+IF(AG28="",0,VLOOKUP(AG28,Bausteine!$A$2:$AY$76,7,FALSE))+IF(AH28="",0,VLOOKUP(AH28,Bausteine!$A$2:$AY$76,7,FALSE))+IF(AQ28="",0,VLOOKUP(AQ28,Bausteine!$A$2:$AY$76,7,FALSE))+AI28</f>
        <v/>
      </c>
      <c r="Q28">
        <f>N28*Parameter!$B$2</f>
        <v/>
      </c>
      <c r="R28">
        <f>AE28-Q28</f>
        <v/>
      </c>
      <c r="S28">
        <f>IF(C28="",0,VLOOKUP(C28,Bausteine!$A$2:$AY$76,13,FALSE))*IF(F28="",0,VLOOKUP(F28,Bausteine!$A$2:$AY$76,16,FALSE))/100</f>
        <v/>
      </c>
      <c r="T28">
        <f>IF(C28="",0,VLOOKUP(C28,Bausteine!$A$2:$AY$76,8,FALSE))*IF(F28="",0,VLOOKUP(F28,Bausteine!$A$2:$AY$76,15,FALSE))/100+IF(D28="",0,VLOOKUP(D28,Bausteine!$A$2:$AY$76,8,FALSE))+IF(E28="",0,VLOOKUP(E28,Bausteine!$A$2:$AY$76,8,FALSE))+IF(G28="",0,VLOOKUP(G28,Bausteine!$A$2:$AY$76,8,FALSE))+IF(H28="",0,VLOOKUP(H28,Bausteine!$A$2:$AY$76,8,FALSE))+IF(I28="",0,VLOOKUP(I28,Bausteine!$A$2:$AY$76,8,FALSE))+IF(J28="",0,VLOOKUP(J28,Bausteine!$A$2:$AY$76,8,FALSE))+IF(K28="",0,VLOOKUP(K28,Bausteine!$A$2:$AY$76,8,FALSE))+IF(L28="",0,VLOOKUP(L28,Bausteine!$A$2:$AY$76,8,FALSE))+IF(AC28="",0,VLOOKUP(AC28,Bausteine!$A$2:$AY$76,8,FALSE))+IF(AF28="",0,VLOOKUP(AF28,Bausteine!$A$2:$AY$76,8,FALSE))+IF(AG28="",0,VLOOKUP(AG28,Bausteine!$A$2:$AY$76,8,FALSE))+IF(AH28="",0,VLOOKUP(AH28,Bausteine!$A$2:$AY$76,8,FALSE))+IF(AQ28="",0,VLOOKUP(AQ28,Bausteine!$A$2:$AY$76,8,FALSE))+AJ28</f>
        <v/>
      </c>
      <c r="U28">
        <f>IF(C28="",0,VLOOKUP(C28,Bausteine!$A$2:$AY$76,9,FALSE))+IF(D28="",0,VLOOKUP(D28,Bausteine!$A$2:$AY$76,9,FALSE))+IF(E28="",0,VLOOKUP(E28,Bausteine!$A$2:$AY$76,9,FALSE))+IF(F28="",0,VLOOKUP(F28,Bausteine!$A$2:$AY$76,9,FALSE))+IF(G28="",0,VLOOKUP(G28,Bausteine!$A$2:$AY$76,9,FALSE))+IF(H28="",0,VLOOKUP(H28,Bausteine!$A$2:$AY$76,9,FALSE))+IF(I28="",0,VLOOKUP(I28,Bausteine!$A$2:$AY$76,9,FALSE))+IF(J28="",0,VLOOKUP(J28,Bausteine!$A$2:$AY$76,9,FALSE))+IF(K28="",0,VLOOKUP(K28,Bausteine!$A$2:$AY$76,9,FALSE))+IF(L28="",0,VLOOKUP(L28,Bausteine!$A$2:$AY$76,9,FALSE))+IF(AC28="",0,VLOOKUP(AC28,Bausteine!$A$2:$AY$76,9,FALSE))+IF(AF28="",0,VLOOKUP(AF28,Bausteine!$A$2:$AY$76,9,FALSE))+IF(AG28="",0,VLOOKUP(AG28,Bausteine!$A$2:$AY$76,9,FALSE))+IF(AH28="",0,VLOOKUP(AH28,Bausteine!$A$2:$AY$76,9,FALSE))+IF(AQ28="",0,VLOOKUP(AQ28,Bausteine!$A$2:$AY$76,9,FALSE))</f>
        <v/>
      </c>
      <c r="V28">
        <f>IF(D28="",0,VLOOKUP(D28,Bausteine!$A$2:$AY$76,10,FALSE))-U28/IF(E28="",0,VLOOKUP(E28,Bausteine!$A$2:$AY$76,11,FALSE))</f>
        <v/>
      </c>
      <c r="W28">
        <f>IF(Y28&lt;&gt;"OK","",ROUND(MIN(IF(C28="",0,VLOOKUP(C28,Bausteine!$A$2:$AY$76,21,FALSE)),IF(AQ28="",0,VLOOKUP(AQ28,Bausteine!$A$2:$AY$76,21,FALSE)),IF(C28="",0,VLOOKUP(C28,Bausteine!$A$2:$AY$76,20,FALSE))*(V28/T28/(IF(C28="",0,VLOOKUP(C28,Bausteine!$A$2:$AY$76,19,FALSE))/IF(C28="",0,VLOOKUP(C28,Bausteine!$A$2:$AY$76,18,FALSE))))^Parameter!$B$3),0))</f>
        <v/>
      </c>
      <c r="X28">
        <f>IF(F28="",0,VLOOKUP(F28,Bausteine!$A$2:$AY$76,14,FALSE))</f>
        <v/>
      </c>
      <c r="Y28">
        <f>IFERROR(IF(OR(AD28&lt;=0,AD28&gt;1,R28&lt;=0,T28&lt;=0,V28&lt;=0,U28&gt;IF(E28="",0,VLOOKUP(E28,Bausteine!$A$2:$AY$76,12,FALSE)),T28&gt;MIN(IF(C28="",0,VLOOKUP(C28,Bausteine!$A$2:$AY$76,22,FALSE)),IF(AQ28="",0,VLOOKUP(AQ28,Bausteine!$A$2:$AY$76,22,FALSE))),IF(E28="",0,VLOOKUP(E28,Bausteine!$A$2:$AY$76,11,FALSE))&lt;=0,IF(E28="",0,VLOOKUP(E28,Bausteine!$A$2:$AY$76,11,FALSE))&gt;1),"UNGUELTIG","OK"),"FEHLER")</f>
        <v/>
      </c>
      <c r="Z28" t="n">
        <v>3000</v>
      </c>
      <c r="AA28" t="n">
        <v>55</v>
      </c>
      <c r="AB28" t="inlineStr"/>
      <c r="AC28" t="inlineStr"/>
      <c r="AD28">
        <f>IF(AC28="",1,IF(AC28="",0,VLOOKUP(AC28,Bausteine!$A$2:$AY$76,37,FALSE))/100)</f>
        <v/>
      </c>
      <c r="AE28">
        <f>P28*AD28</f>
        <v/>
      </c>
      <c r="AF28" t="inlineStr"/>
      <c r="AG28" t="inlineStr"/>
      <c r="AH28" t="inlineStr"/>
      <c r="AI28">
        <f>SUMIF(Startbesatzung!$A$2:$A$7,A28,Startbesatzung!$D$2:$D$7)</f>
        <v/>
      </c>
      <c r="AJ28">
        <f>SUMIF(Startbesatzung!$A$2:$A$7,A28,Startbesatzung!$E$2:$E$7)</f>
        <v/>
      </c>
      <c r="AK28">
        <f>MAX(0,IF(Startbesatzung!A2=A28,Startbesatzung!G2,0),IF(Startbesatzung!A3=A28,Startbesatzung!G3,0),IF(Startbesatzung!A4=A28,Startbesatzung!G4,0),IF(Startbesatzung!A5=A28,Startbesatzung!G5,0),IF(Startbesatzung!A6=A28,Startbesatzung!G6,0),IF(Startbesatzung!A7=A28,Startbesatzung!G7,0))</f>
        <v/>
      </c>
      <c r="AL28">
        <f>IF(AF28="","",IF(IF(AH28="",0,VLOOKUP(AH28,Bausteine!$A$2:$AY$76,38,FALSE))&gt;0,IF(AH28="",0,VLOOKUP(AH28,Bausteine!$A$2:$AY$76,38,FALSE)),IF(AG28="",0,VLOOKUP(AG28,Bausteine!$A$2:$AY$76,28,FALSE))))</f>
        <v/>
      </c>
      <c r="AM28">
        <f>IF(AF28="","",IF(AG28="",0,VLOOKUP(AG28,Bausteine!$A$2:$AY$76,44,FALSE)))</f>
        <v/>
      </c>
      <c r="AN28">
        <f>IF(AF28="","",IF(AF28="",0,VLOOKUP(AF28,Bausteine!$A$2:$AY$76,27,FALSE)))</f>
        <v/>
      </c>
      <c r="AO28">
        <f>IF(AF28="","",IF(AF28="",0,VLOOKUP(AF28,Bausteine!$A$2:$AY$76,25,FALSE)))</f>
        <v/>
      </c>
      <c r="AP28">
        <f>IF(AF28="","",IF(AH28="",0,VLOOKUP(AH28,Bausteine!$A$2:$AY$76,29,FALSE)))</f>
        <v/>
      </c>
      <c r="AQ28" t="inlineStr">
        <is>
          <t>tracks-superheavy</t>
        </is>
      </c>
      <c r="AR28">
        <f>IF(AQ28="",0,VLOOKUP(AQ28,Bausteine!$A$2:$AY$76,48,FALSE))</f>
        <v/>
      </c>
      <c r="AS28">
        <f>MIN(IF(AQ28="",0,VLOOKUP(AQ28,Bausteine!$A$2:$AY$76,50,FALSE)),IF(C28="",0,VLOOKUP(C28,Bausteine!$A$2:$AY$76,51,FALSE)))</f>
        <v/>
      </c>
    </row>
    <row r="29">
      <c r="A29" t="inlineStr">
        <is>
          <t>Overlord baseline</t>
        </is>
      </c>
      <c r="B29" t="inlineStr">
        <is>
          <t>china</t>
        </is>
      </c>
      <c r="C29" t="inlineStr">
        <is>
          <t>overlord-chassis</t>
        </is>
      </c>
      <c r="D29" t="inlineStr">
        <is>
          <t>diesel-heavy</t>
        </is>
      </c>
      <c r="E29" t="inlineStr">
        <is>
          <t>baseline-generator</t>
        </is>
      </c>
      <c r="F29" t="inlineStr">
        <is>
          <t>heavy</t>
        </is>
      </c>
      <c r="G29" t="inlineStr">
        <is>
          <t>heavy-twin-turret</t>
        </is>
      </c>
      <c r="H29" t="inlineStr">
        <is>
          <t>overlord-cannon</t>
        </is>
      </c>
      <c r="I29" t="inlineStr">
        <is>
          <t>heavy-shell</t>
        </is>
      </c>
      <c r="J29" t="inlineStr"/>
      <c r="K29" t="inlineStr"/>
      <c r="L29" t="inlineStr"/>
      <c r="M29">
        <f>IF(C29="",0,VLOOKUP(C29,Bausteine!$A$2:$AY$76,4,FALSE))+IF(D29="",0,VLOOKUP(D29,Bausteine!$A$2:$AY$76,4,FALSE))+IF(E29="",0,VLOOKUP(E29,Bausteine!$A$2:$AY$76,4,FALSE))+IF(F29="",0,VLOOKUP(F29,Bausteine!$A$2:$AY$76,4,FALSE))+IF(G29="",0,VLOOKUP(G29,Bausteine!$A$2:$AY$76,4,FALSE))+IF(H29="",0,VLOOKUP(H29,Bausteine!$A$2:$AY$76,4,FALSE))+IF(I29="",0,VLOOKUP(I29,Bausteine!$A$2:$AY$76,4,FALSE))+IF(J29="",0,VLOOKUP(J29,Bausteine!$A$2:$AY$76,4,FALSE))+IF(K29="",0,VLOOKUP(K29,Bausteine!$A$2:$AY$76,4,FALSE))+IF(L29="",0,VLOOKUP(L29,Bausteine!$A$2:$AY$76,4,FALSE))+IF(AC29="",0,VLOOKUP(AC29,Bausteine!$A$2:$AY$76,4,FALSE))+IF(AF29="",0,VLOOKUP(AF29,Bausteine!$A$2:$AY$76,4,FALSE))+IF(AG29="",0,VLOOKUP(AG29,Bausteine!$A$2:$AY$76,4,FALSE))+IF(AH29="",0,VLOOKUP(AH29,Bausteine!$A$2:$AY$76,4,FALSE))+IF(AQ29="",0,VLOOKUP(AQ29,Bausteine!$A$2:$AY$76,4,FALSE))</f>
        <v/>
      </c>
      <c r="N29">
        <f>IF(C29="",0,VLOOKUP(C29,Bausteine!$A$2:$AY$76,5,FALSE))+IF(D29="",0,VLOOKUP(D29,Bausteine!$A$2:$AY$76,5,FALSE))+IF(E29="",0,VLOOKUP(E29,Bausteine!$A$2:$AY$76,5,FALSE))+IF(F29="",0,VLOOKUP(F29,Bausteine!$A$2:$AY$76,5,FALSE))+IF(G29="",0,VLOOKUP(G29,Bausteine!$A$2:$AY$76,5,FALSE))+IF(H29="",0,VLOOKUP(H29,Bausteine!$A$2:$AY$76,5,FALSE))+IF(I29="",0,VLOOKUP(I29,Bausteine!$A$2:$AY$76,5,FALSE))+IF(J29="",0,VLOOKUP(J29,Bausteine!$A$2:$AY$76,5,FALSE))+IF(K29="",0,VLOOKUP(K29,Bausteine!$A$2:$AY$76,5,FALSE))+IF(L29="",0,VLOOKUP(L29,Bausteine!$A$2:$AY$76,5,FALSE))+IF(AC29="",0,VLOOKUP(AC29,Bausteine!$A$2:$AY$76,5,FALSE))+IF(AF29="",0,VLOOKUP(AF29,Bausteine!$A$2:$AY$76,5,FALSE))+IF(AG29="",0,VLOOKUP(AG29,Bausteine!$A$2:$AY$76,5,FALSE))+IF(AH29="",0,VLOOKUP(AH29,Bausteine!$A$2:$AY$76,5,FALSE))+IF(AQ29="",0,VLOOKUP(AQ29,Bausteine!$A$2:$AY$76,5,FALSE))</f>
        <v/>
      </c>
      <c r="O29">
        <f>MAX(IF(C29="",0,VLOOKUP(C29,Bausteine!$A$2:$AY$76,6,FALSE)),IF(D29="",0,VLOOKUP(D29,Bausteine!$A$2:$AY$76,6,FALSE)),IF(E29="",0,VLOOKUP(E29,Bausteine!$A$2:$AY$76,6,FALSE)),IF(F29="",0,VLOOKUP(F29,Bausteine!$A$2:$AY$76,6,FALSE)),IF(G29="",0,VLOOKUP(G29,Bausteine!$A$2:$AY$76,6,FALSE)),IF(H29="",0,VLOOKUP(H29,Bausteine!$A$2:$AY$76,6,FALSE)),IF(I29="",0,VLOOKUP(I29,Bausteine!$A$2:$AY$76,6,FALSE)),IF(J29="",0,VLOOKUP(J29,Bausteine!$A$2:$AY$76,6,FALSE)),IF(K29="",0,VLOOKUP(K29,Bausteine!$A$2:$AY$76,6,FALSE)),IF(L29="",0,VLOOKUP(L29,Bausteine!$A$2:$AY$76,6,FALSE)),IF(AC29="",0,VLOOKUP(AC29,Bausteine!$A$2:$AY$76,6,FALSE)),IF(AF29="",0,VLOOKUP(AF29,Bausteine!$A$2:$AY$76,6,FALSE)),IF(AG29="",0,VLOOKUP(AG29,Bausteine!$A$2:$AY$76,6,FALSE)),IF(AH29="",0,VLOOKUP(AH29,Bausteine!$A$2:$AY$76,6,FALSE)),IF(AQ29="",0,VLOOKUP(AQ29,Bausteine!$A$2:$AY$76,6,FALSE)),AK29)</f>
        <v/>
      </c>
      <c r="P29">
        <f>IF(C29="",0,VLOOKUP(C29,Bausteine!$A$2:$AY$76,7,FALSE))*IF(F29="",0,VLOOKUP(F29,Bausteine!$A$2:$AY$76,17,FALSE))/100+IF(D29="",0,VLOOKUP(D29,Bausteine!$A$2:$AY$76,7,FALSE))+IF(E29="",0,VLOOKUP(E29,Bausteine!$A$2:$AY$76,7,FALSE))+IF(G29="",0,VLOOKUP(G29,Bausteine!$A$2:$AY$76,7,FALSE))+IF(H29="",0,VLOOKUP(H29,Bausteine!$A$2:$AY$76,7,FALSE))+IF(I29="",0,VLOOKUP(I29,Bausteine!$A$2:$AY$76,7,FALSE))+IF(J29="",0,VLOOKUP(J29,Bausteine!$A$2:$AY$76,7,FALSE))+IF(K29="",0,VLOOKUP(K29,Bausteine!$A$2:$AY$76,7,FALSE))+IF(L29="",0,VLOOKUP(L29,Bausteine!$A$2:$AY$76,7,FALSE))+IF(AC29="",0,VLOOKUP(AC29,Bausteine!$A$2:$AY$76,7,FALSE))+IF(AF29="",0,VLOOKUP(AF29,Bausteine!$A$2:$AY$76,7,FALSE))+IF(AG29="",0,VLOOKUP(AG29,Bausteine!$A$2:$AY$76,7,FALSE))+IF(AH29="",0,VLOOKUP(AH29,Bausteine!$A$2:$AY$76,7,FALSE))+IF(AQ29="",0,VLOOKUP(AQ29,Bausteine!$A$2:$AY$76,7,FALSE))+AI29</f>
        <v/>
      </c>
      <c r="Q29">
        <f>N29*Parameter!$B$2</f>
        <v/>
      </c>
      <c r="R29">
        <f>AE29-Q29</f>
        <v/>
      </c>
      <c r="S29">
        <f>IF(C29="",0,VLOOKUP(C29,Bausteine!$A$2:$AY$76,13,FALSE))*IF(F29="",0,VLOOKUP(F29,Bausteine!$A$2:$AY$76,16,FALSE))/100</f>
        <v/>
      </c>
      <c r="T29">
        <f>IF(C29="",0,VLOOKUP(C29,Bausteine!$A$2:$AY$76,8,FALSE))*IF(F29="",0,VLOOKUP(F29,Bausteine!$A$2:$AY$76,15,FALSE))/100+IF(D29="",0,VLOOKUP(D29,Bausteine!$A$2:$AY$76,8,FALSE))+IF(E29="",0,VLOOKUP(E29,Bausteine!$A$2:$AY$76,8,FALSE))+IF(G29="",0,VLOOKUP(G29,Bausteine!$A$2:$AY$76,8,FALSE))+IF(H29="",0,VLOOKUP(H29,Bausteine!$A$2:$AY$76,8,FALSE))+IF(I29="",0,VLOOKUP(I29,Bausteine!$A$2:$AY$76,8,FALSE))+IF(J29="",0,VLOOKUP(J29,Bausteine!$A$2:$AY$76,8,FALSE))+IF(K29="",0,VLOOKUP(K29,Bausteine!$A$2:$AY$76,8,FALSE))+IF(L29="",0,VLOOKUP(L29,Bausteine!$A$2:$AY$76,8,FALSE))+IF(AC29="",0,VLOOKUP(AC29,Bausteine!$A$2:$AY$76,8,FALSE))+IF(AF29="",0,VLOOKUP(AF29,Bausteine!$A$2:$AY$76,8,FALSE))+IF(AG29="",0,VLOOKUP(AG29,Bausteine!$A$2:$AY$76,8,FALSE))+IF(AH29="",0,VLOOKUP(AH29,Bausteine!$A$2:$AY$76,8,FALSE))+IF(AQ29="",0,VLOOKUP(AQ29,Bausteine!$A$2:$AY$76,8,FALSE))+AJ29</f>
        <v/>
      </c>
      <c r="U29">
        <f>IF(C29="",0,VLOOKUP(C29,Bausteine!$A$2:$AY$76,9,FALSE))+IF(D29="",0,VLOOKUP(D29,Bausteine!$A$2:$AY$76,9,FALSE))+IF(E29="",0,VLOOKUP(E29,Bausteine!$A$2:$AY$76,9,FALSE))+IF(F29="",0,VLOOKUP(F29,Bausteine!$A$2:$AY$76,9,FALSE))+IF(G29="",0,VLOOKUP(G29,Bausteine!$A$2:$AY$76,9,FALSE))+IF(H29="",0,VLOOKUP(H29,Bausteine!$A$2:$AY$76,9,FALSE))+IF(I29="",0,VLOOKUP(I29,Bausteine!$A$2:$AY$76,9,FALSE))+IF(J29="",0,VLOOKUP(J29,Bausteine!$A$2:$AY$76,9,FALSE))+IF(K29="",0,VLOOKUP(K29,Bausteine!$A$2:$AY$76,9,FALSE))+IF(L29="",0,VLOOKUP(L29,Bausteine!$A$2:$AY$76,9,FALSE))+IF(AC29="",0,VLOOKUP(AC29,Bausteine!$A$2:$AY$76,9,FALSE))+IF(AF29="",0,VLOOKUP(AF29,Bausteine!$A$2:$AY$76,9,FALSE))+IF(AG29="",0,VLOOKUP(AG29,Bausteine!$A$2:$AY$76,9,FALSE))+IF(AH29="",0,VLOOKUP(AH29,Bausteine!$A$2:$AY$76,9,FALSE))+IF(AQ29="",0,VLOOKUP(AQ29,Bausteine!$A$2:$AY$76,9,FALSE))</f>
        <v/>
      </c>
      <c r="V29">
        <f>IF(D29="",0,VLOOKUP(D29,Bausteine!$A$2:$AY$76,10,FALSE))-U29/IF(E29="",0,VLOOKUP(E29,Bausteine!$A$2:$AY$76,11,FALSE))</f>
        <v/>
      </c>
      <c r="W29">
        <f>IF(Y29&lt;&gt;"OK","",ROUND(MIN(IF(C29="",0,VLOOKUP(C29,Bausteine!$A$2:$AY$76,21,FALSE)),IF(AQ29="",0,VLOOKUP(AQ29,Bausteine!$A$2:$AY$76,21,FALSE)),IF(C29="",0,VLOOKUP(C29,Bausteine!$A$2:$AY$76,20,FALSE))*(V29/T29/(IF(C29="",0,VLOOKUP(C29,Bausteine!$A$2:$AY$76,19,FALSE))/IF(C29="",0,VLOOKUP(C29,Bausteine!$A$2:$AY$76,18,FALSE))))^Parameter!$B$3),0))</f>
        <v/>
      </c>
      <c r="X29">
        <f>IF(F29="",0,VLOOKUP(F29,Bausteine!$A$2:$AY$76,14,FALSE))</f>
        <v/>
      </c>
      <c r="Y29">
        <f>IFERROR(IF(OR(AD29&lt;=0,AD29&gt;1,R29&lt;=0,T29&lt;=0,V29&lt;=0,U29&gt;IF(E29="",0,VLOOKUP(E29,Bausteine!$A$2:$AY$76,12,FALSE)),T29&gt;MIN(IF(C29="",0,VLOOKUP(C29,Bausteine!$A$2:$AY$76,22,FALSE)),IF(AQ29="",0,VLOOKUP(AQ29,Bausteine!$A$2:$AY$76,22,FALSE))),IF(E29="",0,VLOOKUP(E29,Bausteine!$A$2:$AY$76,11,FALSE))&lt;=0,IF(E29="",0,VLOOKUP(E29,Bausteine!$A$2:$AY$76,11,FALSE))&gt;1),"UNGUELTIG","OK"),"FEHLER")</f>
        <v/>
      </c>
      <c r="Z29" t="n">
        <v>2000</v>
      </c>
      <c r="AA29" t="n">
        <v>56</v>
      </c>
      <c r="AB29" t="inlineStr">
        <is>
          <t>Normal Overlord, not Emperor or nuclear-drive-upgraded state. Tech2 approximates radar prerequisite.</t>
        </is>
      </c>
      <c r="AC29" t="inlineStr"/>
      <c r="AD29">
        <f>IF(AC29="",1,IF(AC29="",0,VLOOKUP(AC29,Bausteine!$A$2:$AY$76,37,FALSE))/100)</f>
        <v/>
      </c>
      <c r="AE29">
        <f>P29*AD29</f>
        <v/>
      </c>
      <c r="AF29" t="inlineStr"/>
      <c r="AG29" t="inlineStr"/>
      <c r="AH29" t="inlineStr"/>
      <c r="AI29">
        <f>SUMIF(Startbesatzung!$A$2:$A$7,A29,Startbesatzung!$D$2:$D$7)</f>
        <v/>
      </c>
      <c r="AJ29">
        <f>SUMIF(Startbesatzung!$A$2:$A$7,A29,Startbesatzung!$E$2:$E$7)</f>
        <v/>
      </c>
      <c r="AK29">
        <f>MAX(0,IF(Startbesatzung!A2=A29,Startbesatzung!G2,0),IF(Startbesatzung!A3=A29,Startbesatzung!G3,0),IF(Startbesatzung!A4=A29,Startbesatzung!G4,0),IF(Startbesatzung!A5=A29,Startbesatzung!G5,0),IF(Startbesatzung!A6=A29,Startbesatzung!G6,0),IF(Startbesatzung!A7=A29,Startbesatzung!G7,0))</f>
        <v/>
      </c>
      <c r="AL29">
        <f>IF(AF29="","",IF(IF(AH29="",0,VLOOKUP(AH29,Bausteine!$A$2:$AY$76,38,FALSE))&gt;0,IF(AH29="",0,VLOOKUP(AH29,Bausteine!$A$2:$AY$76,38,FALSE)),IF(AG29="",0,VLOOKUP(AG29,Bausteine!$A$2:$AY$76,28,FALSE))))</f>
        <v/>
      </c>
      <c r="AM29">
        <f>IF(AF29="","",IF(AG29="",0,VLOOKUP(AG29,Bausteine!$A$2:$AY$76,44,FALSE)))</f>
        <v/>
      </c>
      <c r="AN29">
        <f>IF(AF29="","",IF(AF29="",0,VLOOKUP(AF29,Bausteine!$A$2:$AY$76,27,FALSE)))</f>
        <v/>
      </c>
      <c r="AO29">
        <f>IF(AF29="","",IF(AF29="",0,VLOOKUP(AF29,Bausteine!$A$2:$AY$76,25,FALSE)))</f>
        <v/>
      </c>
      <c r="AP29">
        <f>IF(AF29="","",IF(AH29="",0,VLOOKUP(AH29,Bausteine!$A$2:$AY$76,29,FALSE)))</f>
        <v/>
      </c>
      <c r="AQ29" t="inlineStr">
        <is>
          <t>tracks-superheavy</t>
        </is>
      </c>
      <c r="AR29">
        <f>IF(AQ29="",0,VLOOKUP(AQ29,Bausteine!$A$2:$AY$76,48,FALSE))</f>
        <v/>
      </c>
      <c r="AS29">
        <f>MIN(IF(AQ29="",0,VLOOKUP(AQ29,Bausteine!$A$2:$AY$76,50,FALSE)),IF(C29="",0,VLOOKUP(C29,Bausteine!$A$2:$AY$76,51,FALSE)))</f>
        <v/>
      </c>
    </row>
    <row r="30">
      <c r="A30" t="inlineStr">
        <is>
          <t>Overlord Nuclear Shells</t>
        </is>
      </c>
      <c r="B30" t="inlineStr">
        <is>
          <t>china</t>
        </is>
      </c>
      <c r="C30" t="inlineStr">
        <is>
          <t>overlord-chassis</t>
        </is>
      </c>
      <c r="D30" t="inlineStr">
        <is>
          <t>diesel-heavy</t>
        </is>
      </c>
      <c r="E30" t="inlineStr">
        <is>
          <t>baseline-generator</t>
        </is>
      </c>
      <c r="F30" t="inlineStr">
        <is>
          <t>heavy</t>
        </is>
      </c>
      <c r="G30" t="inlineStr">
        <is>
          <t>heavy-twin-turret</t>
        </is>
      </c>
      <c r="H30" t="inlineStr">
        <is>
          <t>overlord-cannon</t>
        </is>
      </c>
      <c r="I30" t="inlineStr">
        <is>
          <t>heavy-nuclear-shell</t>
        </is>
      </c>
      <c r="J30" t="inlineStr"/>
      <c r="K30" t="inlineStr"/>
      <c r="L30" t="inlineStr"/>
      <c r="M30">
        <f>IF(C30="",0,VLOOKUP(C30,Bausteine!$A$2:$AY$76,4,FALSE))+IF(D30="",0,VLOOKUP(D30,Bausteine!$A$2:$AY$76,4,FALSE))+IF(E30="",0,VLOOKUP(E30,Bausteine!$A$2:$AY$76,4,FALSE))+IF(F30="",0,VLOOKUP(F30,Bausteine!$A$2:$AY$76,4,FALSE))+IF(G30="",0,VLOOKUP(G30,Bausteine!$A$2:$AY$76,4,FALSE))+IF(H30="",0,VLOOKUP(H30,Bausteine!$A$2:$AY$76,4,FALSE))+IF(I30="",0,VLOOKUP(I30,Bausteine!$A$2:$AY$76,4,FALSE))+IF(J30="",0,VLOOKUP(J30,Bausteine!$A$2:$AY$76,4,FALSE))+IF(K30="",0,VLOOKUP(K30,Bausteine!$A$2:$AY$76,4,FALSE))+IF(L30="",0,VLOOKUP(L30,Bausteine!$A$2:$AY$76,4,FALSE))+IF(AC30="",0,VLOOKUP(AC30,Bausteine!$A$2:$AY$76,4,FALSE))+IF(AF30="",0,VLOOKUP(AF30,Bausteine!$A$2:$AY$76,4,FALSE))+IF(AG30="",0,VLOOKUP(AG30,Bausteine!$A$2:$AY$76,4,FALSE))+IF(AH30="",0,VLOOKUP(AH30,Bausteine!$A$2:$AY$76,4,FALSE))+IF(AQ30="",0,VLOOKUP(AQ30,Bausteine!$A$2:$AY$76,4,FALSE))</f>
        <v/>
      </c>
      <c r="N30">
        <f>IF(C30="",0,VLOOKUP(C30,Bausteine!$A$2:$AY$76,5,FALSE))+IF(D30="",0,VLOOKUP(D30,Bausteine!$A$2:$AY$76,5,FALSE))+IF(E30="",0,VLOOKUP(E30,Bausteine!$A$2:$AY$76,5,FALSE))+IF(F30="",0,VLOOKUP(F30,Bausteine!$A$2:$AY$76,5,FALSE))+IF(G30="",0,VLOOKUP(G30,Bausteine!$A$2:$AY$76,5,FALSE))+IF(H30="",0,VLOOKUP(H30,Bausteine!$A$2:$AY$76,5,FALSE))+IF(I30="",0,VLOOKUP(I30,Bausteine!$A$2:$AY$76,5,FALSE))+IF(J30="",0,VLOOKUP(J30,Bausteine!$A$2:$AY$76,5,FALSE))+IF(K30="",0,VLOOKUP(K30,Bausteine!$A$2:$AY$76,5,FALSE))+IF(L30="",0,VLOOKUP(L30,Bausteine!$A$2:$AY$76,5,FALSE))+IF(AC30="",0,VLOOKUP(AC30,Bausteine!$A$2:$AY$76,5,FALSE))+IF(AF30="",0,VLOOKUP(AF30,Bausteine!$A$2:$AY$76,5,FALSE))+IF(AG30="",0,VLOOKUP(AG30,Bausteine!$A$2:$AY$76,5,FALSE))+IF(AH30="",0,VLOOKUP(AH30,Bausteine!$A$2:$AY$76,5,FALSE))+IF(AQ30="",0,VLOOKUP(AQ30,Bausteine!$A$2:$AY$76,5,FALSE))</f>
        <v/>
      </c>
      <c r="O30">
        <f>MAX(IF(C30="",0,VLOOKUP(C30,Bausteine!$A$2:$AY$76,6,FALSE)),IF(D30="",0,VLOOKUP(D30,Bausteine!$A$2:$AY$76,6,FALSE)),IF(E30="",0,VLOOKUP(E30,Bausteine!$A$2:$AY$76,6,FALSE)),IF(F30="",0,VLOOKUP(F30,Bausteine!$A$2:$AY$76,6,FALSE)),IF(G30="",0,VLOOKUP(G30,Bausteine!$A$2:$AY$76,6,FALSE)),IF(H30="",0,VLOOKUP(H30,Bausteine!$A$2:$AY$76,6,FALSE)),IF(I30="",0,VLOOKUP(I30,Bausteine!$A$2:$AY$76,6,FALSE)),IF(J30="",0,VLOOKUP(J30,Bausteine!$A$2:$AY$76,6,FALSE)),IF(K30="",0,VLOOKUP(K30,Bausteine!$A$2:$AY$76,6,FALSE)),IF(L30="",0,VLOOKUP(L30,Bausteine!$A$2:$AY$76,6,FALSE)),IF(AC30="",0,VLOOKUP(AC30,Bausteine!$A$2:$AY$76,6,FALSE)),IF(AF30="",0,VLOOKUP(AF30,Bausteine!$A$2:$AY$76,6,FALSE)),IF(AG30="",0,VLOOKUP(AG30,Bausteine!$A$2:$AY$76,6,FALSE)),IF(AH30="",0,VLOOKUP(AH30,Bausteine!$A$2:$AY$76,6,FALSE)),IF(AQ30="",0,VLOOKUP(AQ30,Bausteine!$A$2:$AY$76,6,FALSE)),AK30)</f>
        <v/>
      </c>
      <c r="P30">
        <f>IF(C30="",0,VLOOKUP(C30,Bausteine!$A$2:$AY$76,7,FALSE))*IF(F30="",0,VLOOKUP(F30,Bausteine!$A$2:$AY$76,17,FALSE))/100+IF(D30="",0,VLOOKUP(D30,Bausteine!$A$2:$AY$76,7,FALSE))+IF(E30="",0,VLOOKUP(E30,Bausteine!$A$2:$AY$76,7,FALSE))+IF(G30="",0,VLOOKUP(G30,Bausteine!$A$2:$AY$76,7,FALSE))+IF(H30="",0,VLOOKUP(H30,Bausteine!$A$2:$AY$76,7,FALSE))+IF(I30="",0,VLOOKUP(I30,Bausteine!$A$2:$AY$76,7,FALSE))+IF(J30="",0,VLOOKUP(J30,Bausteine!$A$2:$AY$76,7,FALSE))+IF(K30="",0,VLOOKUP(K30,Bausteine!$A$2:$AY$76,7,FALSE))+IF(L30="",0,VLOOKUP(L30,Bausteine!$A$2:$AY$76,7,FALSE))+IF(AC30="",0,VLOOKUP(AC30,Bausteine!$A$2:$AY$76,7,FALSE))+IF(AF30="",0,VLOOKUP(AF30,Bausteine!$A$2:$AY$76,7,FALSE))+IF(AG30="",0,VLOOKUP(AG30,Bausteine!$A$2:$AY$76,7,FALSE))+IF(AH30="",0,VLOOKUP(AH30,Bausteine!$A$2:$AY$76,7,FALSE))+IF(AQ30="",0,VLOOKUP(AQ30,Bausteine!$A$2:$AY$76,7,FALSE))+AI30</f>
        <v/>
      </c>
      <c r="Q30">
        <f>N30*Parameter!$B$2</f>
        <v/>
      </c>
      <c r="R30">
        <f>AE30-Q30</f>
        <v/>
      </c>
      <c r="S30">
        <f>IF(C30="",0,VLOOKUP(C30,Bausteine!$A$2:$AY$76,13,FALSE))*IF(F30="",0,VLOOKUP(F30,Bausteine!$A$2:$AY$76,16,FALSE))/100</f>
        <v/>
      </c>
      <c r="T30">
        <f>IF(C30="",0,VLOOKUP(C30,Bausteine!$A$2:$AY$76,8,FALSE))*IF(F30="",0,VLOOKUP(F30,Bausteine!$A$2:$AY$76,15,FALSE))/100+IF(D30="",0,VLOOKUP(D30,Bausteine!$A$2:$AY$76,8,FALSE))+IF(E30="",0,VLOOKUP(E30,Bausteine!$A$2:$AY$76,8,FALSE))+IF(G30="",0,VLOOKUP(G30,Bausteine!$A$2:$AY$76,8,FALSE))+IF(H30="",0,VLOOKUP(H30,Bausteine!$A$2:$AY$76,8,FALSE))+IF(I30="",0,VLOOKUP(I30,Bausteine!$A$2:$AY$76,8,FALSE))+IF(J30="",0,VLOOKUP(J30,Bausteine!$A$2:$AY$76,8,FALSE))+IF(K30="",0,VLOOKUP(K30,Bausteine!$A$2:$AY$76,8,FALSE))+IF(L30="",0,VLOOKUP(L30,Bausteine!$A$2:$AY$76,8,FALSE))+IF(AC30="",0,VLOOKUP(AC30,Bausteine!$A$2:$AY$76,8,FALSE))+IF(AF30="",0,VLOOKUP(AF30,Bausteine!$A$2:$AY$76,8,FALSE))+IF(AG30="",0,VLOOKUP(AG30,Bausteine!$A$2:$AY$76,8,FALSE))+IF(AH30="",0,VLOOKUP(AH30,Bausteine!$A$2:$AY$76,8,FALSE))+IF(AQ30="",0,VLOOKUP(AQ30,Bausteine!$A$2:$AY$76,8,FALSE))+AJ30</f>
        <v/>
      </c>
      <c r="U30">
        <f>IF(C30="",0,VLOOKUP(C30,Bausteine!$A$2:$AY$76,9,FALSE))+IF(D30="",0,VLOOKUP(D30,Bausteine!$A$2:$AY$76,9,FALSE))+IF(E30="",0,VLOOKUP(E30,Bausteine!$A$2:$AY$76,9,FALSE))+IF(F30="",0,VLOOKUP(F30,Bausteine!$A$2:$AY$76,9,FALSE))+IF(G30="",0,VLOOKUP(G30,Bausteine!$A$2:$AY$76,9,FALSE))+IF(H30="",0,VLOOKUP(H30,Bausteine!$A$2:$AY$76,9,FALSE))+IF(I30="",0,VLOOKUP(I30,Bausteine!$A$2:$AY$76,9,FALSE))+IF(J30="",0,VLOOKUP(J30,Bausteine!$A$2:$AY$76,9,FALSE))+IF(K30="",0,VLOOKUP(K30,Bausteine!$A$2:$AY$76,9,FALSE))+IF(L30="",0,VLOOKUP(L30,Bausteine!$A$2:$AY$76,9,FALSE))+IF(AC30="",0,VLOOKUP(AC30,Bausteine!$A$2:$AY$76,9,FALSE))+IF(AF30="",0,VLOOKUP(AF30,Bausteine!$A$2:$AY$76,9,FALSE))+IF(AG30="",0,VLOOKUP(AG30,Bausteine!$A$2:$AY$76,9,FALSE))+IF(AH30="",0,VLOOKUP(AH30,Bausteine!$A$2:$AY$76,9,FALSE))+IF(AQ30="",0,VLOOKUP(AQ30,Bausteine!$A$2:$AY$76,9,FALSE))</f>
        <v/>
      </c>
      <c r="V30">
        <f>IF(D30="",0,VLOOKUP(D30,Bausteine!$A$2:$AY$76,10,FALSE))-U30/IF(E30="",0,VLOOKUP(E30,Bausteine!$A$2:$AY$76,11,FALSE))</f>
        <v/>
      </c>
      <c r="W30">
        <f>IF(Y30&lt;&gt;"OK","",ROUND(MIN(IF(C30="",0,VLOOKUP(C30,Bausteine!$A$2:$AY$76,21,FALSE)),IF(AQ30="",0,VLOOKUP(AQ30,Bausteine!$A$2:$AY$76,21,FALSE)),IF(C30="",0,VLOOKUP(C30,Bausteine!$A$2:$AY$76,20,FALSE))*(V30/T30/(IF(C30="",0,VLOOKUP(C30,Bausteine!$A$2:$AY$76,19,FALSE))/IF(C30="",0,VLOOKUP(C30,Bausteine!$A$2:$AY$76,18,FALSE))))^Parameter!$B$3),0))</f>
        <v/>
      </c>
      <c r="X30">
        <f>IF(F30="",0,VLOOKUP(F30,Bausteine!$A$2:$AY$76,14,FALSE))</f>
        <v/>
      </c>
      <c r="Y30">
        <f>IFERROR(IF(OR(AD30&lt;=0,AD30&gt;1,R30&lt;=0,T30&lt;=0,V30&lt;=0,U30&gt;IF(E30="",0,VLOOKUP(E30,Bausteine!$A$2:$AY$76,12,FALSE)),T30&gt;MIN(IF(C30="",0,VLOOKUP(C30,Bausteine!$A$2:$AY$76,22,FALSE)),IF(AQ30="",0,VLOOKUP(AQ30,Bausteine!$A$2:$AY$76,22,FALSE))),IF(E30="",0,VLOOKUP(E30,Bausteine!$A$2:$AY$76,11,FALSE))&lt;=0,IF(E30="",0,VLOOKUP(E30,Bausteine!$A$2:$AY$76,11,FALSE))&gt;1),"UNGUELTIG","OK"),"FEHLER")</f>
        <v/>
      </c>
      <c r="Z30" t="n">
        <v>2500</v>
      </c>
      <c r="AA30" t="n">
        <v>56</v>
      </c>
      <c r="AB30" t="inlineStr"/>
      <c r="AC30" t="inlineStr"/>
      <c r="AD30">
        <f>IF(AC30="",1,IF(AC30="",0,VLOOKUP(AC30,Bausteine!$A$2:$AY$76,37,FALSE))/100)</f>
        <v/>
      </c>
      <c r="AE30">
        <f>P30*AD30</f>
        <v/>
      </c>
      <c r="AF30" t="inlineStr"/>
      <c r="AG30" t="inlineStr"/>
      <c r="AH30" t="inlineStr"/>
      <c r="AI30">
        <f>SUMIF(Startbesatzung!$A$2:$A$7,A30,Startbesatzung!$D$2:$D$7)</f>
        <v/>
      </c>
      <c r="AJ30">
        <f>SUMIF(Startbesatzung!$A$2:$A$7,A30,Startbesatzung!$E$2:$E$7)</f>
        <v/>
      </c>
      <c r="AK30">
        <f>MAX(0,IF(Startbesatzung!A2=A30,Startbesatzung!G2,0),IF(Startbesatzung!A3=A30,Startbesatzung!G3,0),IF(Startbesatzung!A4=A30,Startbesatzung!G4,0),IF(Startbesatzung!A5=A30,Startbesatzung!G5,0),IF(Startbesatzung!A6=A30,Startbesatzung!G6,0),IF(Startbesatzung!A7=A30,Startbesatzung!G7,0))</f>
        <v/>
      </c>
      <c r="AL30">
        <f>IF(AF30="","",IF(IF(AH30="",0,VLOOKUP(AH30,Bausteine!$A$2:$AY$76,38,FALSE))&gt;0,IF(AH30="",0,VLOOKUP(AH30,Bausteine!$A$2:$AY$76,38,FALSE)),IF(AG30="",0,VLOOKUP(AG30,Bausteine!$A$2:$AY$76,28,FALSE))))</f>
        <v/>
      </c>
      <c r="AM30">
        <f>IF(AF30="","",IF(AG30="",0,VLOOKUP(AG30,Bausteine!$A$2:$AY$76,44,FALSE)))</f>
        <v/>
      </c>
      <c r="AN30">
        <f>IF(AF30="","",IF(AF30="",0,VLOOKUP(AF30,Bausteine!$A$2:$AY$76,27,FALSE)))</f>
        <v/>
      </c>
      <c r="AO30">
        <f>IF(AF30="","",IF(AF30="",0,VLOOKUP(AF30,Bausteine!$A$2:$AY$76,25,FALSE)))</f>
        <v/>
      </c>
      <c r="AP30">
        <f>IF(AF30="","",IF(AH30="",0,VLOOKUP(AH30,Bausteine!$A$2:$AY$76,29,FALSE)))</f>
        <v/>
      </c>
      <c r="AQ30" t="inlineStr">
        <is>
          <t>tracks-superheavy</t>
        </is>
      </c>
      <c r="AR30">
        <f>IF(AQ30="",0,VLOOKUP(AQ30,Bausteine!$A$2:$AY$76,48,FALSE))</f>
        <v/>
      </c>
      <c r="AS30">
        <f>MIN(IF(AQ30="",0,VLOOKUP(AQ30,Bausteine!$A$2:$AY$76,50,FALSE)),IF(C30="",0,VLOOKUP(C30,Bausteine!$A$2:$AY$76,51,FALSE)))</f>
        <v/>
      </c>
    </row>
    <row r="31">
      <c r="A31" t="inlineStr">
        <is>
          <t>Overlord Nuclear Shells PDL</t>
        </is>
      </c>
      <c r="B31" t="inlineStr">
        <is>
          <t>china</t>
        </is>
      </c>
      <c r="C31" t="inlineStr">
        <is>
          <t>overlord-chassis</t>
        </is>
      </c>
      <c r="D31" t="inlineStr">
        <is>
          <t>diesel-heavy-boost</t>
        </is>
      </c>
      <c r="E31" t="inlineStr">
        <is>
          <t>efficient-generator</t>
        </is>
      </c>
      <c r="F31" t="inlineStr">
        <is>
          <t>heavy</t>
        </is>
      </c>
      <c r="G31" t="inlineStr">
        <is>
          <t>heavy-twin-turret</t>
        </is>
      </c>
      <c r="H31" t="inlineStr">
        <is>
          <t>overlord-cannon</t>
        </is>
      </c>
      <c r="I31" t="inlineStr">
        <is>
          <t>heavy-nuclear-shell</t>
        </is>
      </c>
      <c r="J31" t="inlineStr">
        <is>
          <t>pdl</t>
        </is>
      </c>
      <c r="K31" t="inlineStr"/>
      <c r="L31" t="inlineStr"/>
      <c r="M31">
        <f>IF(C31="",0,VLOOKUP(C31,Bausteine!$A$2:$AY$76,4,FALSE))+IF(D31="",0,VLOOKUP(D31,Bausteine!$A$2:$AY$76,4,FALSE))+IF(E31="",0,VLOOKUP(E31,Bausteine!$A$2:$AY$76,4,FALSE))+IF(F31="",0,VLOOKUP(F31,Bausteine!$A$2:$AY$76,4,FALSE))+IF(G31="",0,VLOOKUP(G31,Bausteine!$A$2:$AY$76,4,FALSE))+IF(H31="",0,VLOOKUP(H31,Bausteine!$A$2:$AY$76,4,FALSE))+IF(I31="",0,VLOOKUP(I31,Bausteine!$A$2:$AY$76,4,FALSE))+IF(J31="",0,VLOOKUP(J31,Bausteine!$A$2:$AY$76,4,FALSE))+IF(K31="",0,VLOOKUP(K31,Bausteine!$A$2:$AY$76,4,FALSE))+IF(L31="",0,VLOOKUP(L31,Bausteine!$A$2:$AY$76,4,FALSE))+IF(AC31="",0,VLOOKUP(AC31,Bausteine!$A$2:$AY$76,4,FALSE))+IF(AF31="",0,VLOOKUP(AF31,Bausteine!$A$2:$AY$76,4,FALSE))+IF(AG31="",0,VLOOKUP(AG31,Bausteine!$A$2:$AY$76,4,FALSE))+IF(AH31="",0,VLOOKUP(AH31,Bausteine!$A$2:$AY$76,4,FALSE))+IF(AQ31="",0,VLOOKUP(AQ31,Bausteine!$A$2:$AY$76,4,FALSE))</f>
        <v/>
      </c>
      <c r="N31">
        <f>IF(C31="",0,VLOOKUP(C31,Bausteine!$A$2:$AY$76,5,FALSE))+IF(D31="",0,VLOOKUP(D31,Bausteine!$A$2:$AY$76,5,FALSE))+IF(E31="",0,VLOOKUP(E31,Bausteine!$A$2:$AY$76,5,FALSE))+IF(F31="",0,VLOOKUP(F31,Bausteine!$A$2:$AY$76,5,FALSE))+IF(G31="",0,VLOOKUP(G31,Bausteine!$A$2:$AY$76,5,FALSE))+IF(H31="",0,VLOOKUP(H31,Bausteine!$A$2:$AY$76,5,FALSE))+IF(I31="",0,VLOOKUP(I31,Bausteine!$A$2:$AY$76,5,FALSE))+IF(J31="",0,VLOOKUP(J31,Bausteine!$A$2:$AY$76,5,FALSE))+IF(K31="",0,VLOOKUP(K31,Bausteine!$A$2:$AY$76,5,FALSE))+IF(L31="",0,VLOOKUP(L31,Bausteine!$A$2:$AY$76,5,FALSE))+IF(AC31="",0,VLOOKUP(AC31,Bausteine!$A$2:$AY$76,5,FALSE))+IF(AF31="",0,VLOOKUP(AF31,Bausteine!$A$2:$AY$76,5,FALSE))+IF(AG31="",0,VLOOKUP(AG31,Bausteine!$A$2:$AY$76,5,FALSE))+IF(AH31="",0,VLOOKUP(AH31,Bausteine!$A$2:$AY$76,5,FALSE))+IF(AQ31="",0,VLOOKUP(AQ31,Bausteine!$A$2:$AY$76,5,FALSE))</f>
        <v/>
      </c>
      <c r="O31">
        <f>MAX(IF(C31="",0,VLOOKUP(C31,Bausteine!$A$2:$AY$76,6,FALSE)),IF(D31="",0,VLOOKUP(D31,Bausteine!$A$2:$AY$76,6,FALSE)),IF(E31="",0,VLOOKUP(E31,Bausteine!$A$2:$AY$76,6,FALSE)),IF(F31="",0,VLOOKUP(F31,Bausteine!$A$2:$AY$76,6,FALSE)),IF(G31="",0,VLOOKUP(G31,Bausteine!$A$2:$AY$76,6,FALSE)),IF(H31="",0,VLOOKUP(H31,Bausteine!$A$2:$AY$76,6,FALSE)),IF(I31="",0,VLOOKUP(I31,Bausteine!$A$2:$AY$76,6,FALSE)),IF(J31="",0,VLOOKUP(J31,Bausteine!$A$2:$AY$76,6,FALSE)),IF(K31="",0,VLOOKUP(K31,Bausteine!$A$2:$AY$76,6,FALSE)),IF(L31="",0,VLOOKUP(L31,Bausteine!$A$2:$AY$76,6,FALSE)),IF(AC31="",0,VLOOKUP(AC31,Bausteine!$A$2:$AY$76,6,FALSE)),IF(AF31="",0,VLOOKUP(AF31,Bausteine!$A$2:$AY$76,6,FALSE)),IF(AG31="",0,VLOOKUP(AG31,Bausteine!$A$2:$AY$76,6,FALSE)),IF(AH31="",0,VLOOKUP(AH31,Bausteine!$A$2:$AY$76,6,FALSE)),IF(AQ31="",0,VLOOKUP(AQ31,Bausteine!$A$2:$AY$76,6,FALSE)),AK31)</f>
        <v/>
      </c>
      <c r="P31">
        <f>IF(C31="",0,VLOOKUP(C31,Bausteine!$A$2:$AY$76,7,FALSE))*IF(F31="",0,VLOOKUP(F31,Bausteine!$A$2:$AY$76,17,FALSE))/100+IF(D31="",0,VLOOKUP(D31,Bausteine!$A$2:$AY$76,7,FALSE))+IF(E31="",0,VLOOKUP(E31,Bausteine!$A$2:$AY$76,7,FALSE))+IF(G31="",0,VLOOKUP(G31,Bausteine!$A$2:$AY$76,7,FALSE))+IF(H31="",0,VLOOKUP(H31,Bausteine!$A$2:$AY$76,7,FALSE))+IF(I31="",0,VLOOKUP(I31,Bausteine!$A$2:$AY$76,7,FALSE))+IF(J31="",0,VLOOKUP(J31,Bausteine!$A$2:$AY$76,7,FALSE))+IF(K31="",0,VLOOKUP(K31,Bausteine!$A$2:$AY$76,7,FALSE))+IF(L31="",0,VLOOKUP(L31,Bausteine!$A$2:$AY$76,7,FALSE))+IF(AC31="",0,VLOOKUP(AC31,Bausteine!$A$2:$AY$76,7,FALSE))+IF(AF31="",0,VLOOKUP(AF31,Bausteine!$A$2:$AY$76,7,FALSE))+IF(AG31="",0,VLOOKUP(AG31,Bausteine!$A$2:$AY$76,7,FALSE))+IF(AH31="",0,VLOOKUP(AH31,Bausteine!$A$2:$AY$76,7,FALSE))+IF(AQ31="",0,VLOOKUP(AQ31,Bausteine!$A$2:$AY$76,7,FALSE))+AI31</f>
        <v/>
      </c>
      <c r="Q31">
        <f>N31*Parameter!$B$2</f>
        <v/>
      </c>
      <c r="R31">
        <f>AE31-Q31</f>
        <v/>
      </c>
      <c r="S31">
        <f>IF(C31="",0,VLOOKUP(C31,Bausteine!$A$2:$AY$76,13,FALSE))*IF(F31="",0,VLOOKUP(F31,Bausteine!$A$2:$AY$76,16,FALSE))/100</f>
        <v/>
      </c>
      <c r="T31">
        <f>IF(C31="",0,VLOOKUP(C31,Bausteine!$A$2:$AY$76,8,FALSE))*IF(F31="",0,VLOOKUP(F31,Bausteine!$A$2:$AY$76,15,FALSE))/100+IF(D31="",0,VLOOKUP(D31,Bausteine!$A$2:$AY$76,8,FALSE))+IF(E31="",0,VLOOKUP(E31,Bausteine!$A$2:$AY$76,8,FALSE))+IF(G31="",0,VLOOKUP(G31,Bausteine!$A$2:$AY$76,8,FALSE))+IF(H31="",0,VLOOKUP(H31,Bausteine!$A$2:$AY$76,8,FALSE))+IF(I31="",0,VLOOKUP(I31,Bausteine!$A$2:$AY$76,8,FALSE))+IF(J31="",0,VLOOKUP(J31,Bausteine!$A$2:$AY$76,8,FALSE))+IF(K31="",0,VLOOKUP(K31,Bausteine!$A$2:$AY$76,8,FALSE))+IF(L31="",0,VLOOKUP(L31,Bausteine!$A$2:$AY$76,8,FALSE))+IF(AC31="",0,VLOOKUP(AC31,Bausteine!$A$2:$AY$76,8,FALSE))+IF(AF31="",0,VLOOKUP(AF31,Bausteine!$A$2:$AY$76,8,FALSE))+IF(AG31="",0,VLOOKUP(AG31,Bausteine!$A$2:$AY$76,8,FALSE))+IF(AH31="",0,VLOOKUP(AH31,Bausteine!$A$2:$AY$76,8,FALSE))+IF(AQ31="",0,VLOOKUP(AQ31,Bausteine!$A$2:$AY$76,8,FALSE))+AJ31</f>
        <v/>
      </c>
      <c r="U31">
        <f>IF(C31="",0,VLOOKUP(C31,Bausteine!$A$2:$AY$76,9,FALSE))+IF(D31="",0,VLOOKUP(D31,Bausteine!$A$2:$AY$76,9,FALSE))+IF(E31="",0,VLOOKUP(E31,Bausteine!$A$2:$AY$76,9,FALSE))+IF(F31="",0,VLOOKUP(F31,Bausteine!$A$2:$AY$76,9,FALSE))+IF(G31="",0,VLOOKUP(G31,Bausteine!$A$2:$AY$76,9,FALSE))+IF(H31="",0,VLOOKUP(H31,Bausteine!$A$2:$AY$76,9,FALSE))+IF(I31="",0,VLOOKUP(I31,Bausteine!$A$2:$AY$76,9,FALSE))+IF(J31="",0,VLOOKUP(J31,Bausteine!$A$2:$AY$76,9,FALSE))+IF(K31="",0,VLOOKUP(K31,Bausteine!$A$2:$AY$76,9,FALSE))+IF(L31="",0,VLOOKUP(L31,Bausteine!$A$2:$AY$76,9,FALSE))+IF(AC31="",0,VLOOKUP(AC31,Bausteine!$A$2:$AY$76,9,FALSE))+IF(AF31="",0,VLOOKUP(AF31,Bausteine!$A$2:$AY$76,9,FALSE))+IF(AG31="",0,VLOOKUP(AG31,Bausteine!$A$2:$AY$76,9,FALSE))+IF(AH31="",0,VLOOKUP(AH31,Bausteine!$A$2:$AY$76,9,FALSE))+IF(AQ31="",0,VLOOKUP(AQ31,Bausteine!$A$2:$AY$76,9,FALSE))</f>
        <v/>
      </c>
      <c r="V31">
        <f>IF(D31="",0,VLOOKUP(D31,Bausteine!$A$2:$AY$76,10,FALSE))-U31/IF(E31="",0,VLOOKUP(E31,Bausteine!$A$2:$AY$76,11,FALSE))</f>
        <v/>
      </c>
      <c r="W31">
        <f>IF(Y31&lt;&gt;"OK","",ROUND(MIN(IF(C31="",0,VLOOKUP(C31,Bausteine!$A$2:$AY$76,21,FALSE)),IF(AQ31="",0,VLOOKUP(AQ31,Bausteine!$A$2:$AY$76,21,FALSE)),IF(C31="",0,VLOOKUP(C31,Bausteine!$A$2:$AY$76,20,FALSE))*(V31/T31/(IF(C31="",0,VLOOKUP(C31,Bausteine!$A$2:$AY$76,19,FALSE))/IF(C31="",0,VLOOKUP(C31,Bausteine!$A$2:$AY$76,18,FALSE))))^Parameter!$B$3),0))</f>
        <v/>
      </c>
      <c r="X31">
        <f>IF(F31="",0,VLOOKUP(F31,Bausteine!$A$2:$AY$76,14,FALSE))</f>
        <v/>
      </c>
      <c r="Y31">
        <f>IFERROR(IF(OR(AD31&lt;=0,AD31&gt;1,R31&lt;=0,T31&lt;=0,V31&lt;=0,U31&gt;IF(E31="",0,VLOOKUP(E31,Bausteine!$A$2:$AY$76,12,FALSE)),T31&gt;MIN(IF(C31="",0,VLOOKUP(C31,Bausteine!$A$2:$AY$76,22,FALSE)),IF(AQ31="",0,VLOOKUP(AQ31,Bausteine!$A$2:$AY$76,22,FALSE))),IF(E31="",0,VLOOKUP(E31,Bausteine!$A$2:$AY$76,11,FALSE))&lt;=0,IF(E31="",0,VLOOKUP(E31,Bausteine!$A$2:$AY$76,11,FALSE))&gt;1),"UNGUELTIG","OK"),"FEHLER")</f>
        <v/>
      </c>
      <c r="Z31" t="n">
        <v>3150</v>
      </c>
      <c r="AA31" t="n">
        <v>56</v>
      </c>
      <c r="AB31" t="inlineStr">
        <is>
          <t>Shared standard PDL, no heavy-specific PDL discount.</t>
        </is>
      </c>
      <c r="AC31" t="inlineStr"/>
      <c r="AD31">
        <f>IF(AC31="",1,IF(AC31="",0,VLOOKUP(AC31,Bausteine!$A$2:$AY$76,37,FALSE))/100)</f>
        <v/>
      </c>
      <c r="AE31">
        <f>P31*AD31</f>
        <v/>
      </c>
      <c r="AF31" t="inlineStr"/>
      <c r="AG31" t="inlineStr"/>
      <c r="AH31" t="inlineStr"/>
      <c r="AI31">
        <f>SUMIF(Startbesatzung!$A$2:$A$7,A31,Startbesatzung!$D$2:$D$7)</f>
        <v/>
      </c>
      <c r="AJ31">
        <f>SUMIF(Startbesatzung!$A$2:$A$7,A31,Startbesatzung!$E$2:$E$7)</f>
        <v/>
      </c>
      <c r="AK31">
        <f>MAX(0,IF(Startbesatzung!A2=A31,Startbesatzung!G2,0),IF(Startbesatzung!A3=A31,Startbesatzung!G3,0),IF(Startbesatzung!A4=A31,Startbesatzung!G4,0),IF(Startbesatzung!A5=A31,Startbesatzung!G5,0),IF(Startbesatzung!A6=A31,Startbesatzung!G6,0),IF(Startbesatzung!A7=A31,Startbesatzung!G7,0))</f>
        <v/>
      </c>
      <c r="AL31">
        <f>IF(AF31="","",IF(IF(AH31="",0,VLOOKUP(AH31,Bausteine!$A$2:$AY$76,38,FALSE))&gt;0,IF(AH31="",0,VLOOKUP(AH31,Bausteine!$A$2:$AY$76,38,FALSE)),IF(AG31="",0,VLOOKUP(AG31,Bausteine!$A$2:$AY$76,28,FALSE))))</f>
        <v/>
      </c>
      <c r="AM31">
        <f>IF(AF31="","",IF(AG31="",0,VLOOKUP(AG31,Bausteine!$A$2:$AY$76,44,FALSE)))</f>
        <v/>
      </c>
      <c r="AN31">
        <f>IF(AF31="","",IF(AF31="",0,VLOOKUP(AF31,Bausteine!$A$2:$AY$76,27,FALSE)))</f>
        <v/>
      </c>
      <c r="AO31">
        <f>IF(AF31="","",IF(AF31="",0,VLOOKUP(AF31,Bausteine!$A$2:$AY$76,25,FALSE)))</f>
        <v/>
      </c>
      <c r="AP31">
        <f>IF(AF31="","",IF(AH31="",0,VLOOKUP(AH31,Bausteine!$A$2:$AY$76,29,FALSE)))</f>
        <v/>
      </c>
      <c r="AQ31" t="inlineStr">
        <is>
          <t>tracks-superheavy</t>
        </is>
      </c>
      <c r="AR31">
        <f>IF(AQ31="",0,VLOOKUP(AQ31,Bausteine!$A$2:$AY$76,48,FALSE))</f>
        <v/>
      </c>
      <c r="AS31">
        <f>MIN(IF(AQ31="",0,VLOOKUP(AQ31,Bausteine!$A$2:$AY$76,50,FALSE)),IF(C31="",0,VLOOKUP(C31,Bausteine!$A$2:$AY$76,51,FALSE)))</f>
        <v/>
      </c>
    </row>
    <row r="32">
      <c r="A32" t="inlineStr">
        <is>
          <t>Overlord Nuclear Shells Reflector</t>
        </is>
      </c>
      <c r="B32" t="inlineStr">
        <is>
          <t>china</t>
        </is>
      </c>
      <c r="C32" t="inlineStr">
        <is>
          <t>overlord-chassis</t>
        </is>
      </c>
      <c r="D32" t="inlineStr">
        <is>
          <t>diesel-heavy-boost</t>
        </is>
      </c>
      <c r="E32" t="inlineStr">
        <is>
          <t>efficient-generator</t>
        </is>
      </c>
      <c r="F32" t="inlineStr">
        <is>
          <t>reflector</t>
        </is>
      </c>
      <c r="G32" t="inlineStr">
        <is>
          <t>heavy-twin-turret</t>
        </is>
      </c>
      <c r="H32" t="inlineStr">
        <is>
          <t>overlord-cannon</t>
        </is>
      </c>
      <c r="I32" t="inlineStr">
        <is>
          <t>heavy-nuclear-shell</t>
        </is>
      </c>
      <c r="J32" t="inlineStr"/>
      <c r="K32" t="inlineStr"/>
      <c r="L32" t="inlineStr"/>
      <c r="M32">
        <f>IF(C32="",0,VLOOKUP(C32,Bausteine!$A$2:$AY$76,4,FALSE))+IF(D32="",0,VLOOKUP(D32,Bausteine!$A$2:$AY$76,4,FALSE))+IF(E32="",0,VLOOKUP(E32,Bausteine!$A$2:$AY$76,4,FALSE))+IF(F32="",0,VLOOKUP(F32,Bausteine!$A$2:$AY$76,4,FALSE))+IF(G32="",0,VLOOKUP(G32,Bausteine!$A$2:$AY$76,4,FALSE))+IF(H32="",0,VLOOKUP(H32,Bausteine!$A$2:$AY$76,4,FALSE))+IF(I32="",0,VLOOKUP(I32,Bausteine!$A$2:$AY$76,4,FALSE))+IF(J32="",0,VLOOKUP(J32,Bausteine!$A$2:$AY$76,4,FALSE))+IF(K32="",0,VLOOKUP(K32,Bausteine!$A$2:$AY$76,4,FALSE))+IF(L32="",0,VLOOKUP(L32,Bausteine!$A$2:$AY$76,4,FALSE))+IF(AC32="",0,VLOOKUP(AC32,Bausteine!$A$2:$AY$76,4,FALSE))+IF(AF32="",0,VLOOKUP(AF32,Bausteine!$A$2:$AY$76,4,FALSE))+IF(AG32="",0,VLOOKUP(AG32,Bausteine!$A$2:$AY$76,4,FALSE))+IF(AH32="",0,VLOOKUP(AH32,Bausteine!$A$2:$AY$76,4,FALSE))+IF(AQ32="",0,VLOOKUP(AQ32,Bausteine!$A$2:$AY$76,4,FALSE))</f>
        <v/>
      </c>
      <c r="N32">
        <f>IF(C32="",0,VLOOKUP(C32,Bausteine!$A$2:$AY$76,5,FALSE))+IF(D32="",0,VLOOKUP(D32,Bausteine!$A$2:$AY$76,5,FALSE))+IF(E32="",0,VLOOKUP(E32,Bausteine!$A$2:$AY$76,5,FALSE))+IF(F32="",0,VLOOKUP(F32,Bausteine!$A$2:$AY$76,5,FALSE))+IF(G32="",0,VLOOKUP(G32,Bausteine!$A$2:$AY$76,5,FALSE))+IF(H32="",0,VLOOKUP(H32,Bausteine!$A$2:$AY$76,5,FALSE))+IF(I32="",0,VLOOKUP(I32,Bausteine!$A$2:$AY$76,5,FALSE))+IF(J32="",0,VLOOKUP(J32,Bausteine!$A$2:$AY$76,5,FALSE))+IF(K32="",0,VLOOKUP(K32,Bausteine!$A$2:$AY$76,5,FALSE))+IF(L32="",0,VLOOKUP(L32,Bausteine!$A$2:$AY$76,5,FALSE))+IF(AC32="",0,VLOOKUP(AC32,Bausteine!$A$2:$AY$76,5,FALSE))+IF(AF32="",0,VLOOKUP(AF32,Bausteine!$A$2:$AY$76,5,FALSE))+IF(AG32="",0,VLOOKUP(AG32,Bausteine!$A$2:$AY$76,5,FALSE))+IF(AH32="",0,VLOOKUP(AH32,Bausteine!$A$2:$AY$76,5,FALSE))+IF(AQ32="",0,VLOOKUP(AQ32,Bausteine!$A$2:$AY$76,5,FALSE))</f>
        <v/>
      </c>
      <c r="O32">
        <f>MAX(IF(C32="",0,VLOOKUP(C32,Bausteine!$A$2:$AY$76,6,FALSE)),IF(D32="",0,VLOOKUP(D32,Bausteine!$A$2:$AY$76,6,FALSE)),IF(E32="",0,VLOOKUP(E32,Bausteine!$A$2:$AY$76,6,FALSE)),IF(F32="",0,VLOOKUP(F32,Bausteine!$A$2:$AY$76,6,FALSE)),IF(G32="",0,VLOOKUP(G32,Bausteine!$A$2:$AY$76,6,FALSE)),IF(H32="",0,VLOOKUP(H32,Bausteine!$A$2:$AY$76,6,FALSE)),IF(I32="",0,VLOOKUP(I32,Bausteine!$A$2:$AY$76,6,FALSE)),IF(J32="",0,VLOOKUP(J32,Bausteine!$A$2:$AY$76,6,FALSE)),IF(K32="",0,VLOOKUP(K32,Bausteine!$A$2:$AY$76,6,FALSE)),IF(L32="",0,VLOOKUP(L32,Bausteine!$A$2:$AY$76,6,FALSE)),IF(AC32="",0,VLOOKUP(AC32,Bausteine!$A$2:$AY$76,6,FALSE)),IF(AF32="",0,VLOOKUP(AF32,Bausteine!$A$2:$AY$76,6,FALSE)),IF(AG32="",0,VLOOKUP(AG32,Bausteine!$A$2:$AY$76,6,FALSE)),IF(AH32="",0,VLOOKUP(AH32,Bausteine!$A$2:$AY$76,6,FALSE)),IF(AQ32="",0,VLOOKUP(AQ32,Bausteine!$A$2:$AY$76,6,FALSE)),AK32)</f>
        <v/>
      </c>
      <c r="P32">
        <f>IF(C32="",0,VLOOKUP(C32,Bausteine!$A$2:$AY$76,7,FALSE))*IF(F32="",0,VLOOKUP(F32,Bausteine!$A$2:$AY$76,17,FALSE))/100+IF(D32="",0,VLOOKUP(D32,Bausteine!$A$2:$AY$76,7,FALSE))+IF(E32="",0,VLOOKUP(E32,Bausteine!$A$2:$AY$76,7,FALSE))+IF(G32="",0,VLOOKUP(G32,Bausteine!$A$2:$AY$76,7,FALSE))+IF(H32="",0,VLOOKUP(H32,Bausteine!$A$2:$AY$76,7,FALSE))+IF(I32="",0,VLOOKUP(I32,Bausteine!$A$2:$AY$76,7,FALSE))+IF(J32="",0,VLOOKUP(J32,Bausteine!$A$2:$AY$76,7,FALSE))+IF(K32="",0,VLOOKUP(K32,Bausteine!$A$2:$AY$76,7,FALSE))+IF(L32="",0,VLOOKUP(L32,Bausteine!$A$2:$AY$76,7,FALSE))+IF(AC32="",0,VLOOKUP(AC32,Bausteine!$A$2:$AY$76,7,FALSE))+IF(AF32="",0,VLOOKUP(AF32,Bausteine!$A$2:$AY$76,7,FALSE))+IF(AG32="",0,VLOOKUP(AG32,Bausteine!$A$2:$AY$76,7,FALSE))+IF(AH32="",0,VLOOKUP(AH32,Bausteine!$A$2:$AY$76,7,FALSE))+IF(AQ32="",0,VLOOKUP(AQ32,Bausteine!$A$2:$AY$76,7,FALSE))+AI32</f>
        <v/>
      </c>
      <c r="Q32">
        <f>N32*Parameter!$B$2</f>
        <v/>
      </c>
      <c r="R32">
        <f>AE32-Q32</f>
        <v/>
      </c>
      <c r="S32">
        <f>IF(C32="",0,VLOOKUP(C32,Bausteine!$A$2:$AY$76,13,FALSE))*IF(F32="",0,VLOOKUP(F32,Bausteine!$A$2:$AY$76,16,FALSE))/100</f>
        <v/>
      </c>
      <c r="T32">
        <f>IF(C32="",0,VLOOKUP(C32,Bausteine!$A$2:$AY$76,8,FALSE))*IF(F32="",0,VLOOKUP(F32,Bausteine!$A$2:$AY$76,15,FALSE))/100+IF(D32="",0,VLOOKUP(D32,Bausteine!$A$2:$AY$76,8,FALSE))+IF(E32="",0,VLOOKUP(E32,Bausteine!$A$2:$AY$76,8,FALSE))+IF(G32="",0,VLOOKUP(G32,Bausteine!$A$2:$AY$76,8,FALSE))+IF(H32="",0,VLOOKUP(H32,Bausteine!$A$2:$AY$76,8,FALSE))+IF(I32="",0,VLOOKUP(I32,Bausteine!$A$2:$AY$76,8,FALSE))+IF(J32="",0,VLOOKUP(J32,Bausteine!$A$2:$AY$76,8,FALSE))+IF(K32="",0,VLOOKUP(K32,Bausteine!$A$2:$AY$76,8,FALSE))+IF(L32="",0,VLOOKUP(L32,Bausteine!$A$2:$AY$76,8,FALSE))+IF(AC32="",0,VLOOKUP(AC32,Bausteine!$A$2:$AY$76,8,FALSE))+IF(AF32="",0,VLOOKUP(AF32,Bausteine!$A$2:$AY$76,8,FALSE))+IF(AG32="",0,VLOOKUP(AG32,Bausteine!$A$2:$AY$76,8,FALSE))+IF(AH32="",0,VLOOKUP(AH32,Bausteine!$A$2:$AY$76,8,FALSE))+IF(AQ32="",0,VLOOKUP(AQ32,Bausteine!$A$2:$AY$76,8,FALSE))+AJ32</f>
        <v/>
      </c>
      <c r="U32">
        <f>IF(C32="",0,VLOOKUP(C32,Bausteine!$A$2:$AY$76,9,FALSE))+IF(D32="",0,VLOOKUP(D32,Bausteine!$A$2:$AY$76,9,FALSE))+IF(E32="",0,VLOOKUP(E32,Bausteine!$A$2:$AY$76,9,FALSE))+IF(F32="",0,VLOOKUP(F32,Bausteine!$A$2:$AY$76,9,FALSE))+IF(G32="",0,VLOOKUP(G32,Bausteine!$A$2:$AY$76,9,FALSE))+IF(H32="",0,VLOOKUP(H32,Bausteine!$A$2:$AY$76,9,FALSE))+IF(I32="",0,VLOOKUP(I32,Bausteine!$A$2:$AY$76,9,FALSE))+IF(J32="",0,VLOOKUP(J32,Bausteine!$A$2:$AY$76,9,FALSE))+IF(K32="",0,VLOOKUP(K32,Bausteine!$A$2:$AY$76,9,FALSE))+IF(L32="",0,VLOOKUP(L32,Bausteine!$A$2:$AY$76,9,FALSE))+IF(AC32="",0,VLOOKUP(AC32,Bausteine!$A$2:$AY$76,9,FALSE))+IF(AF32="",0,VLOOKUP(AF32,Bausteine!$A$2:$AY$76,9,FALSE))+IF(AG32="",0,VLOOKUP(AG32,Bausteine!$A$2:$AY$76,9,FALSE))+IF(AH32="",0,VLOOKUP(AH32,Bausteine!$A$2:$AY$76,9,FALSE))+IF(AQ32="",0,VLOOKUP(AQ32,Bausteine!$A$2:$AY$76,9,FALSE))</f>
        <v/>
      </c>
      <c r="V32">
        <f>IF(D32="",0,VLOOKUP(D32,Bausteine!$A$2:$AY$76,10,FALSE))-U32/IF(E32="",0,VLOOKUP(E32,Bausteine!$A$2:$AY$76,11,FALSE))</f>
        <v/>
      </c>
      <c r="W32">
        <f>IF(Y32&lt;&gt;"OK","",ROUND(MIN(IF(C32="",0,VLOOKUP(C32,Bausteine!$A$2:$AY$76,21,FALSE)),IF(AQ32="",0,VLOOKUP(AQ32,Bausteine!$A$2:$AY$76,21,FALSE)),IF(C32="",0,VLOOKUP(C32,Bausteine!$A$2:$AY$76,20,FALSE))*(V32/T32/(IF(C32="",0,VLOOKUP(C32,Bausteine!$A$2:$AY$76,19,FALSE))/IF(C32="",0,VLOOKUP(C32,Bausteine!$A$2:$AY$76,18,FALSE))))^Parameter!$B$3),0))</f>
        <v/>
      </c>
      <c r="X32">
        <f>IF(F32="",0,VLOOKUP(F32,Bausteine!$A$2:$AY$76,14,FALSE))</f>
        <v/>
      </c>
      <c r="Y32">
        <f>IFERROR(IF(OR(AD32&lt;=0,AD32&gt;1,R32&lt;=0,T32&lt;=0,V32&lt;=0,U32&gt;IF(E32="",0,VLOOKUP(E32,Bausteine!$A$2:$AY$76,12,FALSE)),T32&gt;MIN(IF(C32="",0,VLOOKUP(C32,Bausteine!$A$2:$AY$76,22,FALSE)),IF(AQ32="",0,VLOOKUP(AQ32,Bausteine!$A$2:$AY$76,22,FALSE))),IF(E32="",0,VLOOKUP(E32,Bausteine!$A$2:$AY$76,11,FALSE))&lt;=0,IF(E32="",0,VLOOKUP(E32,Bausteine!$A$2:$AY$76,11,FALSE))&gt;1),"UNGUELTIG","OK"),"FEHLER")</f>
        <v/>
      </c>
      <c r="Z32" t="n">
        <v>2500</v>
      </c>
      <c r="AA32" t="n">
        <v>56</v>
      </c>
      <c r="AB32" t="inlineStr"/>
      <c r="AC32" t="inlineStr"/>
      <c r="AD32">
        <f>IF(AC32="",1,IF(AC32="",0,VLOOKUP(AC32,Bausteine!$A$2:$AY$76,37,FALSE))/100)</f>
        <v/>
      </c>
      <c r="AE32">
        <f>P32*AD32</f>
        <v/>
      </c>
      <c r="AF32" t="inlineStr"/>
      <c r="AG32" t="inlineStr"/>
      <c r="AH32" t="inlineStr"/>
      <c r="AI32">
        <f>SUMIF(Startbesatzung!$A$2:$A$7,A32,Startbesatzung!$D$2:$D$7)</f>
        <v/>
      </c>
      <c r="AJ32">
        <f>SUMIF(Startbesatzung!$A$2:$A$7,A32,Startbesatzung!$E$2:$E$7)</f>
        <v/>
      </c>
      <c r="AK32">
        <f>MAX(0,IF(Startbesatzung!A2=A32,Startbesatzung!G2,0),IF(Startbesatzung!A3=A32,Startbesatzung!G3,0),IF(Startbesatzung!A4=A32,Startbesatzung!G4,0),IF(Startbesatzung!A5=A32,Startbesatzung!G5,0),IF(Startbesatzung!A6=A32,Startbesatzung!G6,0),IF(Startbesatzung!A7=A32,Startbesatzung!G7,0))</f>
        <v/>
      </c>
      <c r="AL32">
        <f>IF(AF32="","",IF(IF(AH32="",0,VLOOKUP(AH32,Bausteine!$A$2:$AY$76,38,FALSE))&gt;0,IF(AH32="",0,VLOOKUP(AH32,Bausteine!$A$2:$AY$76,38,FALSE)),IF(AG32="",0,VLOOKUP(AG32,Bausteine!$A$2:$AY$76,28,FALSE))))</f>
        <v/>
      </c>
      <c r="AM32">
        <f>IF(AF32="","",IF(AG32="",0,VLOOKUP(AG32,Bausteine!$A$2:$AY$76,44,FALSE)))</f>
        <v/>
      </c>
      <c r="AN32">
        <f>IF(AF32="","",IF(AF32="",0,VLOOKUP(AF32,Bausteine!$A$2:$AY$76,27,FALSE)))</f>
        <v/>
      </c>
      <c r="AO32">
        <f>IF(AF32="","",IF(AF32="",0,VLOOKUP(AF32,Bausteine!$A$2:$AY$76,25,FALSE)))</f>
        <v/>
      </c>
      <c r="AP32">
        <f>IF(AF32="","",IF(AH32="",0,VLOOKUP(AH32,Bausteine!$A$2:$AY$76,29,FALSE)))</f>
        <v/>
      </c>
      <c r="AQ32" t="inlineStr">
        <is>
          <t>tracks-superheavy</t>
        </is>
      </c>
      <c r="AR32">
        <f>IF(AQ32="",0,VLOOKUP(AQ32,Bausteine!$A$2:$AY$76,48,FALSE))</f>
        <v/>
      </c>
      <c r="AS32">
        <f>MIN(IF(AQ32="",0,VLOOKUP(AQ32,Bausteine!$A$2:$AY$76,50,FALSE)),IF(C32="",0,VLOOKUP(C32,Bausteine!$A$2:$AY$76,51,FALSE)))</f>
        <v/>
      </c>
    </row>
    <row r="33">
      <c r="A33" t="inlineStr">
        <is>
          <t>Overlord Propaganda</t>
        </is>
      </c>
      <c r="B33" t="inlineStr">
        <is>
          <t>china</t>
        </is>
      </c>
      <c r="C33" t="inlineStr">
        <is>
          <t>overlord-chassis</t>
        </is>
      </c>
      <c r="D33" t="inlineStr">
        <is>
          <t>diesel-heavy</t>
        </is>
      </c>
      <c r="E33" t="inlineStr">
        <is>
          <t>baseline-generator</t>
        </is>
      </c>
      <c r="F33" t="inlineStr">
        <is>
          <t>heavy</t>
        </is>
      </c>
      <c r="G33" t="inlineStr">
        <is>
          <t>heavy-twin-turret</t>
        </is>
      </c>
      <c r="H33" t="inlineStr">
        <is>
          <t>overlord-cannon</t>
        </is>
      </c>
      <c r="I33" t="inlineStr">
        <is>
          <t>heavy-shell</t>
        </is>
      </c>
      <c r="J33" t="inlineStr">
        <is>
          <t>propaganda-speaker</t>
        </is>
      </c>
      <c r="K33" t="inlineStr"/>
      <c r="L33" t="inlineStr"/>
      <c r="M33">
        <f>IF(C33="",0,VLOOKUP(C33,Bausteine!$A$2:$AY$76,4,FALSE))+IF(D33="",0,VLOOKUP(D33,Bausteine!$A$2:$AY$76,4,FALSE))+IF(E33="",0,VLOOKUP(E33,Bausteine!$A$2:$AY$76,4,FALSE))+IF(F33="",0,VLOOKUP(F33,Bausteine!$A$2:$AY$76,4,FALSE))+IF(G33="",0,VLOOKUP(G33,Bausteine!$A$2:$AY$76,4,FALSE))+IF(H33="",0,VLOOKUP(H33,Bausteine!$A$2:$AY$76,4,FALSE))+IF(I33="",0,VLOOKUP(I33,Bausteine!$A$2:$AY$76,4,FALSE))+IF(J33="",0,VLOOKUP(J33,Bausteine!$A$2:$AY$76,4,FALSE))+IF(K33="",0,VLOOKUP(K33,Bausteine!$A$2:$AY$76,4,FALSE))+IF(L33="",0,VLOOKUP(L33,Bausteine!$A$2:$AY$76,4,FALSE))+IF(AC33="",0,VLOOKUP(AC33,Bausteine!$A$2:$AY$76,4,FALSE))+IF(AF33="",0,VLOOKUP(AF33,Bausteine!$A$2:$AY$76,4,FALSE))+IF(AG33="",0,VLOOKUP(AG33,Bausteine!$A$2:$AY$76,4,FALSE))+IF(AH33="",0,VLOOKUP(AH33,Bausteine!$A$2:$AY$76,4,FALSE))+IF(AQ33="",0,VLOOKUP(AQ33,Bausteine!$A$2:$AY$76,4,FALSE))</f>
        <v/>
      </c>
      <c r="N33">
        <f>IF(C33="",0,VLOOKUP(C33,Bausteine!$A$2:$AY$76,5,FALSE))+IF(D33="",0,VLOOKUP(D33,Bausteine!$A$2:$AY$76,5,FALSE))+IF(E33="",0,VLOOKUP(E33,Bausteine!$A$2:$AY$76,5,FALSE))+IF(F33="",0,VLOOKUP(F33,Bausteine!$A$2:$AY$76,5,FALSE))+IF(G33="",0,VLOOKUP(G33,Bausteine!$A$2:$AY$76,5,FALSE))+IF(H33="",0,VLOOKUP(H33,Bausteine!$A$2:$AY$76,5,FALSE))+IF(I33="",0,VLOOKUP(I33,Bausteine!$A$2:$AY$76,5,FALSE))+IF(J33="",0,VLOOKUP(J33,Bausteine!$A$2:$AY$76,5,FALSE))+IF(K33="",0,VLOOKUP(K33,Bausteine!$A$2:$AY$76,5,FALSE))+IF(L33="",0,VLOOKUP(L33,Bausteine!$A$2:$AY$76,5,FALSE))+IF(AC33="",0,VLOOKUP(AC33,Bausteine!$A$2:$AY$76,5,FALSE))+IF(AF33="",0,VLOOKUP(AF33,Bausteine!$A$2:$AY$76,5,FALSE))+IF(AG33="",0,VLOOKUP(AG33,Bausteine!$A$2:$AY$76,5,FALSE))+IF(AH33="",0,VLOOKUP(AH33,Bausteine!$A$2:$AY$76,5,FALSE))+IF(AQ33="",0,VLOOKUP(AQ33,Bausteine!$A$2:$AY$76,5,FALSE))</f>
        <v/>
      </c>
      <c r="O33">
        <f>MAX(IF(C33="",0,VLOOKUP(C33,Bausteine!$A$2:$AY$76,6,FALSE)),IF(D33="",0,VLOOKUP(D33,Bausteine!$A$2:$AY$76,6,FALSE)),IF(E33="",0,VLOOKUP(E33,Bausteine!$A$2:$AY$76,6,FALSE)),IF(F33="",0,VLOOKUP(F33,Bausteine!$A$2:$AY$76,6,FALSE)),IF(G33="",0,VLOOKUP(G33,Bausteine!$A$2:$AY$76,6,FALSE)),IF(H33="",0,VLOOKUP(H33,Bausteine!$A$2:$AY$76,6,FALSE)),IF(I33="",0,VLOOKUP(I33,Bausteine!$A$2:$AY$76,6,FALSE)),IF(J33="",0,VLOOKUP(J33,Bausteine!$A$2:$AY$76,6,FALSE)),IF(K33="",0,VLOOKUP(K33,Bausteine!$A$2:$AY$76,6,FALSE)),IF(L33="",0,VLOOKUP(L33,Bausteine!$A$2:$AY$76,6,FALSE)),IF(AC33="",0,VLOOKUP(AC33,Bausteine!$A$2:$AY$76,6,FALSE)),IF(AF33="",0,VLOOKUP(AF33,Bausteine!$A$2:$AY$76,6,FALSE)),IF(AG33="",0,VLOOKUP(AG33,Bausteine!$A$2:$AY$76,6,FALSE)),IF(AH33="",0,VLOOKUP(AH33,Bausteine!$A$2:$AY$76,6,FALSE)),IF(AQ33="",0,VLOOKUP(AQ33,Bausteine!$A$2:$AY$76,6,FALSE)),AK33)</f>
        <v/>
      </c>
      <c r="P33">
        <f>IF(C33="",0,VLOOKUP(C33,Bausteine!$A$2:$AY$76,7,FALSE))*IF(F33="",0,VLOOKUP(F33,Bausteine!$A$2:$AY$76,17,FALSE))/100+IF(D33="",0,VLOOKUP(D33,Bausteine!$A$2:$AY$76,7,FALSE))+IF(E33="",0,VLOOKUP(E33,Bausteine!$A$2:$AY$76,7,FALSE))+IF(G33="",0,VLOOKUP(G33,Bausteine!$A$2:$AY$76,7,FALSE))+IF(H33="",0,VLOOKUP(H33,Bausteine!$A$2:$AY$76,7,FALSE))+IF(I33="",0,VLOOKUP(I33,Bausteine!$A$2:$AY$76,7,FALSE))+IF(J33="",0,VLOOKUP(J33,Bausteine!$A$2:$AY$76,7,FALSE))+IF(K33="",0,VLOOKUP(K33,Bausteine!$A$2:$AY$76,7,FALSE))+IF(L33="",0,VLOOKUP(L33,Bausteine!$A$2:$AY$76,7,FALSE))+IF(AC33="",0,VLOOKUP(AC33,Bausteine!$A$2:$AY$76,7,FALSE))+IF(AF33="",0,VLOOKUP(AF33,Bausteine!$A$2:$AY$76,7,FALSE))+IF(AG33="",0,VLOOKUP(AG33,Bausteine!$A$2:$AY$76,7,FALSE))+IF(AH33="",0,VLOOKUP(AH33,Bausteine!$A$2:$AY$76,7,FALSE))+IF(AQ33="",0,VLOOKUP(AQ33,Bausteine!$A$2:$AY$76,7,FALSE))+AI33</f>
        <v/>
      </c>
      <c r="Q33">
        <f>N33*Parameter!$B$2</f>
        <v/>
      </c>
      <c r="R33">
        <f>AE33-Q33</f>
        <v/>
      </c>
      <c r="S33">
        <f>IF(C33="",0,VLOOKUP(C33,Bausteine!$A$2:$AY$76,13,FALSE))*IF(F33="",0,VLOOKUP(F33,Bausteine!$A$2:$AY$76,16,FALSE))/100</f>
        <v/>
      </c>
      <c r="T33">
        <f>IF(C33="",0,VLOOKUP(C33,Bausteine!$A$2:$AY$76,8,FALSE))*IF(F33="",0,VLOOKUP(F33,Bausteine!$A$2:$AY$76,15,FALSE))/100+IF(D33="",0,VLOOKUP(D33,Bausteine!$A$2:$AY$76,8,FALSE))+IF(E33="",0,VLOOKUP(E33,Bausteine!$A$2:$AY$76,8,FALSE))+IF(G33="",0,VLOOKUP(G33,Bausteine!$A$2:$AY$76,8,FALSE))+IF(H33="",0,VLOOKUP(H33,Bausteine!$A$2:$AY$76,8,FALSE))+IF(I33="",0,VLOOKUP(I33,Bausteine!$A$2:$AY$76,8,FALSE))+IF(J33="",0,VLOOKUP(J33,Bausteine!$A$2:$AY$76,8,FALSE))+IF(K33="",0,VLOOKUP(K33,Bausteine!$A$2:$AY$76,8,FALSE))+IF(L33="",0,VLOOKUP(L33,Bausteine!$A$2:$AY$76,8,FALSE))+IF(AC33="",0,VLOOKUP(AC33,Bausteine!$A$2:$AY$76,8,FALSE))+IF(AF33="",0,VLOOKUP(AF33,Bausteine!$A$2:$AY$76,8,FALSE))+IF(AG33="",0,VLOOKUP(AG33,Bausteine!$A$2:$AY$76,8,FALSE))+IF(AH33="",0,VLOOKUP(AH33,Bausteine!$A$2:$AY$76,8,FALSE))+IF(AQ33="",0,VLOOKUP(AQ33,Bausteine!$A$2:$AY$76,8,FALSE))+AJ33</f>
        <v/>
      </c>
      <c r="U33">
        <f>IF(C33="",0,VLOOKUP(C33,Bausteine!$A$2:$AY$76,9,FALSE))+IF(D33="",0,VLOOKUP(D33,Bausteine!$A$2:$AY$76,9,FALSE))+IF(E33="",0,VLOOKUP(E33,Bausteine!$A$2:$AY$76,9,FALSE))+IF(F33="",0,VLOOKUP(F33,Bausteine!$A$2:$AY$76,9,FALSE))+IF(G33="",0,VLOOKUP(G33,Bausteine!$A$2:$AY$76,9,FALSE))+IF(H33="",0,VLOOKUP(H33,Bausteine!$A$2:$AY$76,9,FALSE))+IF(I33="",0,VLOOKUP(I33,Bausteine!$A$2:$AY$76,9,FALSE))+IF(J33="",0,VLOOKUP(J33,Bausteine!$A$2:$AY$76,9,FALSE))+IF(K33="",0,VLOOKUP(K33,Bausteine!$A$2:$AY$76,9,FALSE))+IF(L33="",0,VLOOKUP(L33,Bausteine!$A$2:$AY$76,9,FALSE))+IF(AC33="",0,VLOOKUP(AC33,Bausteine!$A$2:$AY$76,9,FALSE))+IF(AF33="",0,VLOOKUP(AF33,Bausteine!$A$2:$AY$76,9,FALSE))+IF(AG33="",0,VLOOKUP(AG33,Bausteine!$A$2:$AY$76,9,FALSE))+IF(AH33="",0,VLOOKUP(AH33,Bausteine!$A$2:$AY$76,9,FALSE))+IF(AQ33="",0,VLOOKUP(AQ33,Bausteine!$A$2:$AY$76,9,FALSE))</f>
        <v/>
      </c>
      <c r="V33">
        <f>IF(D33="",0,VLOOKUP(D33,Bausteine!$A$2:$AY$76,10,FALSE))-U33/IF(E33="",0,VLOOKUP(E33,Bausteine!$A$2:$AY$76,11,FALSE))</f>
        <v/>
      </c>
      <c r="W33">
        <f>IF(Y33&lt;&gt;"OK","",ROUND(MIN(IF(C33="",0,VLOOKUP(C33,Bausteine!$A$2:$AY$76,21,FALSE)),IF(AQ33="",0,VLOOKUP(AQ33,Bausteine!$A$2:$AY$76,21,FALSE)),IF(C33="",0,VLOOKUP(C33,Bausteine!$A$2:$AY$76,20,FALSE))*(V33/T33/(IF(C33="",0,VLOOKUP(C33,Bausteine!$A$2:$AY$76,19,FALSE))/IF(C33="",0,VLOOKUP(C33,Bausteine!$A$2:$AY$76,18,FALSE))))^Parameter!$B$3),0))</f>
        <v/>
      </c>
      <c r="X33">
        <f>IF(F33="",0,VLOOKUP(F33,Bausteine!$A$2:$AY$76,14,FALSE))</f>
        <v/>
      </c>
      <c r="Y33">
        <f>IFERROR(IF(OR(AD33&lt;=0,AD33&gt;1,R33&lt;=0,T33&lt;=0,V33&lt;=0,U33&gt;IF(E33="",0,VLOOKUP(E33,Bausteine!$A$2:$AY$76,12,FALSE)),T33&gt;MIN(IF(C33="",0,VLOOKUP(C33,Bausteine!$A$2:$AY$76,22,FALSE)),IF(AQ33="",0,VLOOKUP(AQ33,Bausteine!$A$2:$AY$76,22,FALSE))),IF(E33="",0,VLOOKUP(E33,Bausteine!$A$2:$AY$76,11,FALSE))&lt;=0,IF(E33="",0,VLOOKUP(E33,Bausteine!$A$2:$AY$76,11,FALSE))&gt;1),"UNGUELTIG","OK"),"FEHLER")</f>
        <v/>
      </c>
      <c r="Z33" t="n">
        <v>2200</v>
      </c>
      <c r="AA33" t="n">
        <v>53</v>
      </c>
      <c r="AB33" t="inlineStr">
        <is>
          <t>Base price fitted; speaker electrical load and mass may reduce speed. Existing support behavior reused, not simulated here.</t>
        </is>
      </c>
      <c r="AC33" t="inlineStr"/>
      <c r="AD33">
        <f>IF(AC33="",1,IF(AC33="",0,VLOOKUP(AC33,Bausteine!$A$2:$AY$76,37,FALSE))/100)</f>
        <v/>
      </c>
      <c r="AE33">
        <f>P33*AD33</f>
        <v/>
      </c>
      <c r="AF33" t="inlineStr"/>
      <c r="AG33" t="inlineStr"/>
      <c r="AH33" t="inlineStr"/>
      <c r="AI33">
        <f>SUMIF(Startbesatzung!$A$2:$A$7,A33,Startbesatzung!$D$2:$D$7)</f>
        <v/>
      </c>
      <c r="AJ33">
        <f>SUMIF(Startbesatzung!$A$2:$A$7,A33,Startbesatzung!$E$2:$E$7)</f>
        <v/>
      </c>
      <c r="AK33">
        <f>MAX(0,IF(Startbesatzung!A2=A33,Startbesatzung!G2,0),IF(Startbesatzung!A3=A33,Startbesatzung!G3,0),IF(Startbesatzung!A4=A33,Startbesatzung!G4,0),IF(Startbesatzung!A5=A33,Startbesatzung!G5,0),IF(Startbesatzung!A6=A33,Startbesatzung!G6,0),IF(Startbesatzung!A7=A33,Startbesatzung!G7,0))</f>
        <v/>
      </c>
      <c r="AL33">
        <f>IF(AF33="","",IF(IF(AH33="",0,VLOOKUP(AH33,Bausteine!$A$2:$AY$76,38,FALSE))&gt;0,IF(AH33="",0,VLOOKUP(AH33,Bausteine!$A$2:$AY$76,38,FALSE)),IF(AG33="",0,VLOOKUP(AG33,Bausteine!$A$2:$AY$76,28,FALSE))))</f>
        <v/>
      </c>
      <c r="AM33">
        <f>IF(AF33="","",IF(AG33="",0,VLOOKUP(AG33,Bausteine!$A$2:$AY$76,44,FALSE)))</f>
        <v/>
      </c>
      <c r="AN33">
        <f>IF(AF33="","",IF(AF33="",0,VLOOKUP(AF33,Bausteine!$A$2:$AY$76,27,FALSE)))</f>
        <v/>
      </c>
      <c r="AO33">
        <f>IF(AF33="","",IF(AF33="",0,VLOOKUP(AF33,Bausteine!$A$2:$AY$76,25,FALSE)))</f>
        <v/>
      </c>
      <c r="AP33">
        <f>IF(AF33="","",IF(AH33="",0,VLOOKUP(AH33,Bausteine!$A$2:$AY$76,29,FALSE)))</f>
        <v/>
      </c>
      <c r="AQ33" t="inlineStr">
        <is>
          <t>tracks-superheavy</t>
        </is>
      </c>
      <c r="AR33">
        <f>IF(AQ33="",0,VLOOKUP(AQ33,Bausteine!$A$2:$AY$76,48,FALSE))</f>
        <v/>
      </c>
      <c r="AS33">
        <f>MIN(IF(AQ33="",0,VLOOKUP(AQ33,Bausteine!$A$2:$AY$76,50,FALSE)),IF(C33="",0,VLOOKUP(C33,Bausteine!$A$2:$AY$76,51,FALSE)))</f>
        <v/>
      </c>
    </row>
    <row r="34">
      <c r="A34" t="inlineStr">
        <is>
          <t>Overlord Propaganda PDL</t>
        </is>
      </c>
      <c r="B34" t="inlineStr">
        <is>
          <t>china</t>
        </is>
      </c>
      <c r="C34" t="inlineStr">
        <is>
          <t>overlord-chassis</t>
        </is>
      </c>
      <c r="D34" t="inlineStr">
        <is>
          <t>diesel-heavy-boost</t>
        </is>
      </c>
      <c r="E34" t="inlineStr">
        <is>
          <t>efficient-generator</t>
        </is>
      </c>
      <c r="F34" t="inlineStr">
        <is>
          <t>heavy</t>
        </is>
      </c>
      <c r="G34" t="inlineStr">
        <is>
          <t>heavy-twin-turret</t>
        </is>
      </c>
      <c r="H34" t="inlineStr">
        <is>
          <t>overlord-cannon</t>
        </is>
      </c>
      <c r="I34" t="inlineStr">
        <is>
          <t>heavy-shell</t>
        </is>
      </c>
      <c r="J34" t="inlineStr">
        <is>
          <t>propaganda-speaker</t>
        </is>
      </c>
      <c r="K34" t="inlineStr">
        <is>
          <t>pdl</t>
        </is>
      </c>
      <c r="L34" t="inlineStr"/>
      <c r="M34">
        <f>IF(C34="",0,VLOOKUP(C34,Bausteine!$A$2:$AY$76,4,FALSE))+IF(D34="",0,VLOOKUP(D34,Bausteine!$A$2:$AY$76,4,FALSE))+IF(E34="",0,VLOOKUP(E34,Bausteine!$A$2:$AY$76,4,FALSE))+IF(F34="",0,VLOOKUP(F34,Bausteine!$A$2:$AY$76,4,FALSE))+IF(G34="",0,VLOOKUP(G34,Bausteine!$A$2:$AY$76,4,FALSE))+IF(H34="",0,VLOOKUP(H34,Bausteine!$A$2:$AY$76,4,FALSE))+IF(I34="",0,VLOOKUP(I34,Bausteine!$A$2:$AY$76,4,FALSE))+IF(J34="",0,VLOOKUP(J34,Bausteine!$A$2:$AY$76,4,FALSE))+IF(K34="",0,VLOOKUP(K34,Bausteine!$A$2:$AY$76,4,FALSE))+IF(L34="",0,VLOOKUP(L34,Bausteine!$A$2:$AY$76,4,FALSE))+IF(AC34="",0,VLOOKUP(AC34,Bausteine!$A$2:$AY$76,4,FALSE))+IF(AF34="",0,VLOOKUP(AF34,Bausteine!$A$2:$AY$76,4,FALSE))+IF(AG34="",0,VLOOKUP(AG34,Bausteine!$A$2:$AY$76,4,FALSE))+IF(AH34="",0,VLOOKUP(AH34,Bausteine!$A$2:$AY$76,4,FALSE))+IF(AQ34="",0,VLOOKUP(AQ34,Bausteine!$A$2:$AY$76,4,FALSE))</f>
        <v/>
      </c>
      <c r="N34">
        <f>IF(C34="",0,VLOOKUP(C34,Bausteine!$A$2:$AY$76,5,FALSE))+IF(D34="",0,VLOOKUP(D34,Bausteine!$A$2:$AY$76,5,FALSE))+IF(E34="",0,VLOOKUP(E34,Bausteine!$A$2:$AY$76,5,FALSE))+IF(F34="",0,VLOOKUP(F34,Bausteine!$A$2:$AY$76,5,FALSE))+IF(G34="",0,VLOOKUP(G34,Bausteine!$A$2:$AY$76,5,FALSE))+IF(H34="",0,VLOOKUP(H34,Bausteine!$A$2:$AY$76,5,FALSE))+IF(I34="",0,VLOOKUP(I34,Bausteine!$A$2:$AY$76,5,FALSE))+IF(J34="",0,VLOOKUP(J34,Bausteine!$A$2:$AY$76,5,FALSE))+IF(K34="",0,VLOOKUP(K34,Bausteine!$A$2:$AY$76,5,FALSE))+IF(L34="",0,VLOOKUP(L34,Bausteine!$A$2:$AY$76,5,FALSE))+IF(AC34="",0,VLOOKUP(AC34,Bausteine!$A$2:$AY$76,5,FALSE))+IF(AF34="",0,VLOOKUP(AF34,Bausteine!$A$2:$AY$76,5,FALSE))+IF(AG34="",0,VLOOKUP(AG34,Bausteine!$A$2:$AY$76,5,FALSE))+IF(AH34="",0,VLOOKUP(AH34,Bausteine!$A$2:$AY$76,5,FALSE))+IF(AQ34="",0,VLOOKUP(AQ34,Bausteine!$A$2:$AY$76,5,FALSE))</f>
        <v/>
      </c>
      <c r="O34">
        <f>MAX(IF(C34="",0,VLOOKUP(C34,Bausteine!$A$2:$AY$76,6,FALSE)),IF(D34="",0,VLOOKUP(D34,Bausteine!$A$2:$AY$76,6,FALSE)),IF(E34="",0,VLOOKUP(E34,Bausteine!$A$2:$AY$76,6,FALSE)),IF(F34="",0,VLOOKUP(F34,Bausteine!$A$2:$AY$76,6,FALSE)),IF(G34="",0,VLOOKUP(G34,Bausteine!$A$2:$AY$76,6,FALSE)),IF(H34="",0,VLOOKUP(H34,Bausteine!$A$2:$AY$76,6,FALSE)),IF(I34="",0,VLOOKUP(I34,Bausteine!$A$2:$AY$76,6,FALSE)),IF(J34="",0,VLOOKUP(J34,Bausteine!$A$2:$AY$76,6,FALSE)),IF(K34="",0,VLOOKUP(K34,Bausteine!$A$2:$AY$76,6,FALSE)),IF(L34="",0,VLOOKUP(L34,Bausteine!$A$2:$AY$76,6,FALSE)),IF(AC34="",0,VLOOKUP(AC34,Bausteine!$A$2:$AY$76,6,FALSE)),IF(AF34="",0,VLOOKUP(AF34,Bausteine!$A$2:$AY$76,6,FALSE)),IF(AG34="",0,VLOOKUP(AG34,Bausteine!$A$2:$AY$76,6,FALSE)),IF(AH34="",0,VLOOKUP(AH34,Bausteine!$A$2:$AY$76,6,FALSE)),IF(AQ34="",0,VLOOKUP(AQ34,Bausteine!$A$2:$AY$76,6,FALSE)),AK34)</f>
        <v/>
      </c>
      <c r="P34">
        <f>IF(C34="",0,VLOOKUP(C34,Bausteine!$A$2:$AY$76,7,FALSE))*IF(F34="",0,VLOOKUP(F34,Bausteine!$A$2:$AY$76,17,FALSE))/100+IF(D34="",0,VLOOKUP(D34,Bausteine!$A$2:$AY$76,7,FALSE))+IF(E34="",0,VLOOKUP(E34,Bausteine!$A$2:$AY$76,7,FALSE))+IF(G34="",0,VLOOKUP(G34,Bausteine!$A$2:$AY$76,7,FALSE))+IF(H34="",0,VLOOKUP(H34,Bausteine!$A$2:$AY$76,7,FALSE))+IF(I34="",0,VLOOKUP(I34,Bausteine!$A$2:$AY$76,7,FALSE))+IF(J34="",0,VLOOKUP(J34,Bausteine!$A$2:$AY$76,7,FALSE))+IF(K34="",0,VLOOKUP(K34,Bausteine!$A$2:$AY$76,7,FALSE))+IF(L34="",0,VLOOKUP(L34,Bausteine!$A$2:$AY$76,7,FALSE))+IF(AC34="",0,VLOOKUP(AC34,Bausteine!$A$2:$AY$76,7,FALSE))+IF(AF34="",0,VLOOKUP(AF34,Bausteine!$A$2:$AY$76,7,FALSE))+IF(AG34="",0,VLOOKUP(AG34,Bausteine!$A$2:$AY$76,7,FALSE))+IF(AH34="",0,VLOOKUP(AH34,Bausteine!$A$2:$AY$76,7,FALSE))+IF(AQ34="",0,VLOOKUP(AQ34,Bausteine!$A$2:$AY$76,7,FALSE))+AI34</f>
        <v/>
      </c>
      <c r="Q34">
        <f>N34*Parameter!$B$2</f>
        <v/>
      </c>
      <c r="R34">
        <f>AE34-Q34</f>
        <v/>
      </c>
      <c r="S34">
        <f>IF(C34="",0,VLOOKUP(C34,Bausteine!$A$2:$AY$76,13,FALSE))*IF(F34="",0,VLOOKUP(F34,Bausteine!$A$2:$AY$76,16,FALSE))/100</f>
        <v/>
      </c>
      <c r="T34">
        <f>IF(C34="",0,VLOOKUP(C34,Bausteine!$A$2:$AY$76,8,FALSE))*IF(F34="",0,VLOOKUP(F34,Bausteine!$A$2:$AY$76,15,FALSE))/100+IF(D34="",0,VLOOKUP(D34,Bausteine!$A$2:$AY$76,8,FALSE))+IF(E34="",0,VLOOKUP(E34,Bausteine!$A$2:$AY$76,8,FALSE))+IF(G34="",0,VLOOKUP(G34,Bausteine!$A$2:$AY$76,8,FALSE))+IF(H34="",0,VLOOKUP(H34,Bausteine!$A$2:$AY$76,8,FALSE))+IF(I34="",0,VLOOKUP(I34,Bausteine!$A$2:$AY$76,8,FALSE))+IF(J34="",0,VLOOKUP(J34,Bausteine!$A$2:$AY$76,8,FALSE))+IF(K34="",0,VLOOKUP(K34,Bausteine!$A$2:$AY$76,8,FALSE))+IF(L34="",0,VLOOKUP(L34,Bausteine!$A$2:$AY$76,8,FALSE))+IF(AC34="",0,VLOOKUP(AC34,Bausteine!$A$2:$AY$76,8,FALSE))+IF(AF34="",0,VLOOKUP(AF34,Bausteine!$A$2:$AY$76,8,FALSE))+IF(AG34="",0,VLOOKUP(AG34,Bausteine!$A$2:$AY$76,8,FALSE))+IF(AH34="",0,VLOOKUP(AH34,Bausteine!$A$2:$AY$76,8,FALSE))+IF(AQ34="",0,VLOOKUP(AQ34,Bausteine!$A$2:$AY$76,8,FALSE))+AJ34</f>
        <v/>
      </c>
      <c r="U34">
        <f>IF(C34="",0,VLOOKUP(C34,Bausteine!$A$2:$AY$76,9,FALSE))+IF(D34="",0,VLOOKUP(D34,Bausteine!$A$2:$AY$76,9,FALSE))+IF(E34="",0,VLOOKUP(E34,Bausteine!$A$2:$AY$76,9,FALSE))+IF(F34="",0,VLOOKUP(F34,Bausteine!$A$2:$AY$76,9,FALSE))+IF(G34="",0,VLOOKUP(G34,Bausteine!$A$2:$AY$76,9,FALSE))+IF(H34="",0,VLOOKUP(H34,Bausteine!$A$2:$AY$76,9,FALSE))+IF(I34="",0,VLOOKUP(I34,Bausteine!$A$2:$AY$76,9,FALSE))+IF(J34="",0,VLOOKUP(J34,Bausteine!$A$2:$AY$76,9,FALSE))+IF(K34="",0,VLOOKUP(K34,Bausteine!$A$2:$AY$76,9,FALSE))+IF(L34="",0,VLOOKUP(L34,Bausteine!$A$2:$AY$76,9,FALSE))+IF(AC34="",0,VLOOKUP(AC34,Bausteine!$A$2:$AY$76,9,FALSE))+IF(AF34="",0,VLOOKUP(AF34,Bausteine!$A$2:$AY$76,9,FALSE))+IF(AG34="",0,VLOOKUP(AG34,Bausteine!$A$2:$AY$76,9,FALSE))+IF(AH34="",0,VLOOKUP(AH34,Bausteine!$A$2:$AY$76,9,FALSE))+IF(AQ34="",0,VLOOKUP(AQ34,Bausteine!$A$2:$AY$76,9,FALSE))</f>
        <v/>
      </c>
      <c r="V34">
        <f>IF(D34="",0,VLOOKUP(D34,Bausteine!$A$2:$AY$76,10,FALSE))-U34/IF(E34="",0,VLOOKUP(E34,Bausteine!$A$2:$AY$76,11,FALSE))</f>
        <v/>
      </c>
      <c r="W34">
        <f>IF(Y34&lt;&gt;"OK","",ROUND(MIN(IF(C34="",0,VLOOKUP(C34,Bausteine!$A$2:$AY$76,21,FALSE)),IF(AQ34="",0,VLOOKUP(AQ34,Bausteine!$A$2:$AY$76,21,FALSE)),IF(C34="",0,VLOOKUP(C34,Bausteine!$A$2:$AY$76,20,FALSE))*(V34/T34/(IF(C34="",0,VLOOKUP(C34,Bausteine!$A$2:$AY$76,19,FALSE))/IF(C34="",0,VLOOKUP(C34,Bausteine!$A$2:$AY$76,18,FALSE))))^Parameter!$B$3),0))</f>
        <v/>
      </c>
      <c r="X34">
        <f>IF(F34="",0,VLOOKUP(F34,Bausteine!$A$2:$AY$76,14,FALSE))</f>
        <v/>
      </c>
      <c r="Y34">
        <f>IFERROR(IF(OR(AD34&lt;=0,AD34&gt;1,R34&lt;=0,T34&lt;=0,V34&lt;=0,U34&gt;IF(E34="",0,VLOOKUP(E34,Bausteine!$A$2:$AY$76,12,FALSE)),T34&gt;MIN(IF(C34="",0,VLOOKUP(C34,Bausteine!$A$2:$AY$76,22,FALSE)),IF(AQ34="",0,VLOOKUP(AQ34,Bausteine!$A$2:$AY$76,22,FALSE))),IF(E34="",0,VLOOKUP(E34,Bausteine!$A$2:$AY$76,11,FALSE))&lt;=0,IF(E34="",0,VLOOKUP(E34,Bausteine!$A$2:$AY$76,11,FALSE))&gt;1),"UNGUELTIG","OK"),"FEHLER")</f>
        <v/>
      </c>
      <c r="Z34" t="n">
        <v>2850</v>
      </c>
      <c r="AA34" t="n">
        <v>55</v>
      </c>
      <c r="AB34" t="inlineStr"/>
      <c r="AC34" t="inlineStr"/>
      <c r="AD34">
        <f>IF(AC34="",1,IF(AC34="",0,VLOOKUP(AC34,Bausteine!$A$2:$AY$76,37,FALSE))/100)</f>
        <v/>
      </c>
      <c r="AE34">
        <f>P34*AD34</f>
        <v/>
      </c>
      <c r="AF34" t="inlineStr"/>
      <c r="AG34" t="inlineStr"/>
      <c r="AH34" t="inlineStr"/>
      <c r="AI34">
        <f>SUMIF(Startbesatzung!$A$2:$A$7,A34,Startbesatzung!$D$2:$D$7)</f>
        <v/>
      </c>
      <c r="AJ34">
        <f>SUMIF(Startbesatzung!$A$2:$A$7,A34,Startbesatzung!$E$2:$E$7)</f>
        <v/>
      </c>
      <c r="AK34">
        <f>MAX(0,IF(Startbesatzung!A2=A34,Startbesatzung!G2,0),IF(Startbesatzung!A3=A34,Startbesatzung!G3,0),IF(Startbesatzung!A4=A34,Startbesatzung!G4,0),IF(Startbesatzung!A5=A34,Startbesatzung!G5,0),IF(Startbesatzung!A6=A34,Startbesatzung!G6,0),IF(Startbesatzung!A7=A34,Startbesatzung!G7,0))</f>
        <v/>
      </c>
      <c r="AL34">
        <f>IF(AF34="","",IF(IF(AH34="",0,VLOOKUP(AH34,Bausteine!$A$2:$AY$76,38,FALSE))&gt;0,IF(AH34="",0,VLOOKUP(AH34,Bausteine!$A$2:$AY$76,38,FALSE)),IF(AG34="",0,VLOOKUP(AG34,Bausteine!$A$2:$AY$76,28,FALSE))))</f>
        <v/>
      </c>
      <c r="AM34">
        <f>IF(AF34="","",IF(AG34="",0,VLOOKUP(AG34,Bausteine!$A$2:$AY$76,44,FALSE)))</f>
        <v/>
      </c>
      <c r="AN34">
        <f>IF(AF34="","",IF(AF34="",0,VLOOKUP(AF34,Bausteine!$A$2:$AY$76,27,FALSE)))</f>
        <v/>
      </c>
      <c r="AO34">
        <f>IF(AF34="","",IF(AF34="",0,VLOOKUP(AF34,Bausteine!$A$2:$AY$76,25,FALSE)))</f>
        <v/>
      </c>
      <c r="AP34">
        <f>IF(AF34="","",IF(AH34="",0,VLOOKUP(AH34,Bausteine!$A$2:$AY$76,29,FALSE)))</f>
        <v/>
      </c>
      <c r="AQ34" t="inlineStr">
        <is>
          <t>tracks-superheavy</t>
        </is>
      </c>
      <c r="AR34">
        <f>IF(AQ34="",0,VLOOKUP(AQ34,Bausteine!$A$2:$AY$76,48,FALSE))</f>
        <v/>
      </c>
      <c r="AS34">
        <f>MIN(IF(AQ34="",0,VLOOKUP(AQ34,Bausteine!$A$2:$AY$76,50,FALSE)),IF(C34="",0,VLOOKUP(C34,Bausteine!$A$2:$AY$76,51,FALSE)))</f>
        <v/>
      </c>
    </row>
    <row r="35">
      <c r="A35" t="inlineStr">
        <is>
          <t>Overlord Propaganda Reflector</t>
        </is>
      </c>
      <c r="B35" t="inlineStr">
        <is>
          <t>china</t>
        </is>
      </c>
      <c r="C35" t="inlineStr">
        <is>
          <t>overlord-chassis</t>
        </is>
      </c>
      <c r="D35" t="inlineStr">
        <is>
          <t>diesel-heavy-boost</t>
        </is>
      </c>
      <c r="E35" t="inlineStr">
        <is>
          <t>efficient-generator</t>
        </is>
      </c>
      <c r="F35" t="inlineStr">
        <is>
          <t>reflector</t>
        </is>
      </c>
      <c r="G35" t="inlineStr">
        <is>
          <t>heavy-twin-turret</t>
        </is>
      </c>
      <c r="H35" t="inlineStr">
        <is>
          <t>overlord-cannon</t>
        </is>
      </c>
      <c r="I35" t="inlineStr">
        <is>
          <t>heavy-shell</t>
        </is>
      </c>
      <c r="J35" t="inlineStr">
        <is>
          <t>propaganda-speaker</t>
        </is>
      </c>
      <c r="K35" t="inlineStr"/>
      <c r="L35" t="inlineStr"/>
      <c r="M35">
        <f>IF(C35="",0,VLOOKUP(C35,Bausteine!$A$2:$AY$76,4,FALSE))+IF(D35="",0,VLOOKUP(D35,Bausteine!$A$2:$AY$76,4,FALSE))+IF(E35="",0,VLOOKUP(E35,Bausteine!$A$2:$AY$76,4,FALSE))+IF(F35="",0,VLOOKUP(F35,Bausteine!$A$2:$AY$76,4,FALSE))+IF(G35="",0,VLOOKUP(G35,Bausteine!$A$2:$AY$76,4,FALSE))+IF(H35="",0,VLOOKUP(H35,Bausteine!$A$2:$AY$76,4,FALSE))+IF(I35="",0,VLOOKUP(I35,Bausteine!$A$2:$AY$76,4,FALSE))+IF(J35="",0,VLOOKUP(J35,Bausteine!$A$2:$AY$76,4,FALSE))+IF(K35="",0,VLOOKUP(K35,Bausteine!$A$2:$AY$76,4,FALSE))+IF(L35="",0,VLOOKUP(L35,Bausteine!$A$2:$AY$76,4,FALSE))+IF(AC35="",0,VLOOKUP(AC35,Bausteine!$A$2:$AY$76,4,FALSE))+IF(AF35="",0,VLOOKUP(AF35,Bausteine!$A$2:$AY$76,4,FALSE))+IF(AG35="",0,VLOOKUP(AG35,Bausteine!$A$2:$AY$76,4,FALSE))+IF(AH35="",0,VLOOKUP(AH35,Bausteine!$A$2:$AY$76,4,FALSE))+IF(AQ35="",0,VLOOKUP(AQ35,Bausteine!$A$2:$AY$76,4,FALSE))</f>
        <v/>
      </c>
      <c r="N35">
        <f>IF(C35="",0,VLOOKUP(C35,Bausteine!$A$2:$AY$76,5,FALSE))+IF(D35="",0,VLOOKUP(D35,Bausteine!$A$2:$AY$76,5,FALSE))+IF(E35="",0,VLOOKUP(E35,Bausteine!$A$2:$AY$76,5,FALSE))+IF(F35="",0,VLOOKUP(F35,Bausteine!$A$2:$AY$76,5,FALSE))+IF(G35="",0,VLOOKUP(G35,Bausteine!$A$2:$AY$76,5,FALSE))+IF(H35="",0,VLOOKUP(H35,Bausteine!$A$2:$AY$76,5,FALSE))+IF(I35="",0,VLOOKUP(I35,Bausteine!$A$2:$AY$76,5,FALSE))+IF(J35="",0,VLOOKUP(J35,Bausteine!$A$2:$AY$76,5,FALSE))+IF(K35="",0,VLOOKUP(K35,Bausteine!$A$2:$AY$76,5,FALSE))+IF(L35="",0,VLOOKUP(L35,Bausteine!$A$2:$AY$76,5,FALSE))+IF(AC35="",0,VLOOKUP(AC35,Bausteine!$A$2:$AY$76,5,FALSE))+IF(AF35="",0,VLOOKUP(AF35,Bausteine!$A$2:$AY$76,5,FALSE))+IF(AG35="",0,VLOOKUP(AG35,Bausteine!$A$2:$AY$76,5,FALSE))+IF(AH35="",0,VLOOKUP(AH35,Bausteine!$A$2:$AY$76,5,FALSE))+IF(AQ35="",0,VLOOKUP(AQ35,Bausteine!$A$2:$AY$76,5,FALSE))</f>
        <v/>
      </c>
      <c r="O35">
        <f>MAX(IF(C35="",0,VLOOKUP(C35,Bausteine!$A$2:$AY$76,6,FALSE)),IF(D35="",0,VLOOKUP(D35,Bausteine!$A$2:$AY$76,6,FALSE)),IF(E35="",0,VLOOKUP(E35,Bausteine!$A$2:$AY$76,6,FALSE)),IF(F35="",0,VLOOKUP(F35,Bausteine!$A$2:$AY$76,6,FALSE)),IF(G35="",0,VLOOKUP(G35,Bausteine!$A$2:$AY$76,6,FALSE)),IF(H35="",0,VLOOKUP(H35,Bausteine!$A$2:$AY$76,6,FALSE)),IF(I35="",0,VLOOKUP(I35,Bausteine!$A$2:$AY$76,6,FALSE)),IF(J35="",0,VLOOKUP(J35,Bausteine!$A$2:$AY$76,6,FALSE)),IF(K35="",0,VLOOKUP(K35,Bausteine!$A$2:$AY$76,6,FALSE)),IF(L35="",0,VLOOKUP(L35,Bausteine!$A$2:$AY$76,6,FALSE)),IF(AC35="",0,VLOOKUP(AC35,Bausteine!$A$2:$AY$76,6,FALSE)),IF(AF35="",0,VLOOKUP(AF35,Bausteine!$A$2:$AY$76,6,FALSE)),IF(AG35="",0,VLOOKUP(AG35,Bausteine!$A$2:$AY$76,6,FALSE)),IF(AH35="",0,VLOOKUP(AH35,Bausteine!$A$2:$AY$76,6,FALSE)),IF(AQ35="",0,VLOOKUP(AQ35,Bausteine!$A$2:$AY$76,6,FALSE)),AK35)</f>
        <v/>
      </c>
      <c r="P35">
        <f>IF(C35="",0,VLOOKUP(C35,Bausteine!$A$2:$AY$76,7,FALSE))*IF(F35="",0,VLOOKUP(F35,Bausteine!$A$2:$AY$76,17,FALSE))/100+IF(D35="",0,VLOOKUP(D35,Bausteine!$A$2:$AY$76,7,FALSE))+IF(E35="",0,VLOOKUP(E35,Bausteine!$A$2:$AY$76,7,FALSE))+IF(G35="",0,VLOOKUP(G35,Bausteine!$A$2:$AY$76,7,FALSE))+IF(H35="",0,VLOOKUP(H35,Bausteine!$A$2:$AY$76,7,FALSE))+IF(I35="",0,VLOOKUP(I35,Bausteine!$A$2:$AY$76,7,FALSE))+IF(J35="",0,VLOOKUP(J35,Bausteine!$A$2:$AY$76,7,FALSE))+IF(K35="",0,VLOOKUP(K35,Bausteine!$A$2:$AY$76,7,FALSE))+IF(L35="",0,VLOOKUP(L35,Bausteine!$A$2:$AY$76,7,FALSE))+IF(AC35="",0,VLOOKUP(AC35,Bausteine!$A$2:$AY$76,7,FALSE))+IF(AF35="",0,VLOOKUP(AF35,Bausteine!$A$2:$AY$76,7,FALSE))+IF(AG35="",0,VLOOKUP(AG35,Bausteine!$A$2:$AY$76,7,FALSE))+IF(AH35="",0,VLOOKUP(AH35,Bausteine!$A$2:$AY$76,7,FALSE))+IF(AQ35="",0,VLOOKUP(AQ35,Bausteine!$A$2:$AY$76,7,FALSE))+AI35</f>
        <v/>
      </c>
      <c r="Q35">
        <f>N35*Parameter!$B$2</f>
        <v/>
      </c>
      <c r="R35">
        <f>AE35-Q35</f>
        <v/>
      </c>
      <c r="S35">
        <f>IF(C35="",0,VLOOKUP(C35,Bausteine!$A$2:$AY$76,13,FALSE))*IF(F35="",0,VLOOKUP(F35,Bausteine!$A$2:$AY$76,16,FALSE))/100</f>
        <v/>
      </c>
      <c r="T35">
        <f>IF(C35="",0,VLOOKUP(C35,Bausteine!$A$2:$AY$76,8,FALSE))*IF(F35="",0,VLOOKUP(F35,Bausteine!$A$2:$AY$76,15,FALSE))/100+IF(D35="",0,VLOOKUP(D35,Bausteine!$A$2:$AY$76,8,FALSE))+IF(E35="",0,VLOOKUP(E35,Bausteine!$A$2:$AY$76,8,FALSE))+IF(G35="",0,VLOOKUP(G35,Bausteine!$A$2:$AY$76,8,FALSE))+IF(H35="",0,VLOOKUP(H35,Bausteine!$A$2:$AY$76,8,FALSE))+IF(I35="",0,VLOOKUP(I35,Bausteine!$A$2:$AY$76,8,FALSE))+IF(J35="",0,VLOOKUP(J35,Bausteine!$A$2:$AY$76,8,FALSE))+IF(K35="",0,VLOOKUP(K35,Bausteine!$A$2:$AY$76,8,FALSE))+IF(L35="",0,VLOOKUP(L35,Bausteine!$A$2:$AY$76,8,FALSE))+IF(AC35="",0,VLOOKUP(AC35,Bausteine!$A$2:$AY$76,8,FALSE))+IF(AF35="",0,VLOOKUP(AF35,Bausteine!$A$2:$AY$76,8,FALSE))+IF(AG35="",0,VLOOKUP(AG35,Bausteine!$A$2:$AY$76,8,FALSE))+IF(AH35="",0,VLOOKUP(AH35,Bausteine!$A$2:$AY$76,8,FALSE))+IF(AQ35="",0,VLOOKUP(AQ35,Bausteine!$A$2:$AY$76,8,FALSE))+AJ35</f>
        <v/>
      </c>
      <c r="U35">
        <f>IF(C35="",0,VLOOKUP(C35,Bausteine!$A$2:$AY$76,9,FALSE))+IF(D35="",0,VLOOKUP(D35,Bausteine!$A$2:$AY$76,9,FALSE))+IF(E35="",0,VLOOKUP(E35,Bausteine!$A$2:$AY$76,9,FALSE))+IF(F35="",0,VLOOKUP(F35,Bausteine!$A$2:$AY$76,9,FALSE))+IF(G35="",0,VLOOKUP(G35,Bausteine!$A$2:$AY$76,9,FALSE))+IF(H35="",0,VLOOKUP(H35,Bausteine!$A$2:$AY$76,9,FALSE))+IF(I35="",0,VLOOKUP(I35,Bausteine!$A$2:$AY$76,9,FALSE))+IF(J35="",0,VLOOKUP(J35,Bausteine!$A$2:$AY$76,9,FALSE))+IF(K35="",0,VLOOKUP(K35,Bausteine!$A$2:$AY$76,9,FALSE))+IF(L35="",0,VLOOKUP(L35,Bausteine!$A$2:$AY$76,9,FALSE))+IF(AC35="",0,VLOOKUP(AC35,Bausteine!$A$2:$AY$76,9,FALSE))+IF(AF35="",0,VLOOKUP(AF35,Bausteine!$A$2:$AY$76,9,FALSE))+IF(AG35="",0,VLOOKUP(AG35,Bausteine!$A$2:$AY$76,9,FALSE))+IF(AH35="",0,VLOOKUP(AH35,Bausteine!$A$2:$AY$76,9,FALSE))+IF(AQ35="",0,VLOOKUP(AQ35,Bausteine!$A$2:$AY$76,9,FALSE))</f>
        <v/>
      </c>
      <c r="V35">
        <f>IF(D35="",0,VLOOKUP(D35,Bausteine!$A$2:$AY$76,10,FALSE))-U35/IF(E35="",0,VLOOKUP(E35,Bausteine!$A$2:$AY$76,11,FALSE))</f>
        <v/>
      </c>
      <c r="W35">
        <f>IF(Y35&lt;&gt;"OK","",ROUND(MIN(IF(C35="",0,VLOOKUP(C35,Bausteine!$A$2:$AY$76,21,FALSE)),IF(AQ35="",0,VLOOKUP(AQ35,Bausteine!$A$2:$AY$76,21,FALSE)),IF(C35="",0,VLOOKUP(C35,Bausteine!$A$2:$AY$76,20,FALSE))*(V35/T35/(IF(C35="",0,VLOOKUP(C35,Bausteine!$A$2:$AY$76,19,FALSE))/IF(C35="",0,VLOOKUP(C35,Bausteine!$A$2:$AY$76,18,FALSE))))^Parameter!$B$3),0))</f>
        <v/>
      </c>
      <c r="X35">
        <f>IF(F35="",0,VLOOKUP(F35,Bausteine!$A$2:$AY$76,14,FALSE))</f>
        <v/>
      </c>
      <c r="Y35">
        <f>IFERROR(IF(OR(AD35&lt;=0,AD35&gt;1,R35&lt;=0,T35&lt;=0,V35&lt;=0,U35&gt;IF(E35="",0,VLOOKUP(E35,Bausteine!$A$2:$AY$76,12,FALSE)),T35&gt;MIN(IF(C35="",0,VLOOKUP(C35,Bausteine!$A$2:$AY$76,22,FALSE)),IF(AQ35="",0,VLOOKUP(AQ35,Bausteine!$A$2:$AY$76,22,FALSE))),IF(E35="",0,VLOOKUP(E35,Bausteine!$A$2:$AY$76,11,FALSE))&lt;=0,IF(E35="",0,VLOOKUP(E35,Bausteine!$A$2:$AY$76,11,FALSE))&gt;1),"UNGUELTIG","OK"),"FEHLER")</f>
        <v/>
      </c>
      <c r="Z35" t="n">
        <v>2200</v>
      </c>
      <c r="AA35" t="n">
        <v>55</v>
      </c>
      <c r="AB35" t="inlineStr"/>
      <c r="AC35" t="inlineStr"/>
      <c r="AD35">
        <f>IF(AC35="",1,IF(AC35="",0,VLOOKUP(AC35,Bausteine!$A$2:$AY$76,37,FALSE))/100)</f>
        <v/>
      </c>
      <c r="AE35">
        <f>P35*AD35</f>
        <v/>
      </c>
      <c r="AF35" t="inlineStr"/>
      <c r="AG35" t="inlineStr"/>
      <c r="AH35" t="inlineStr"/>
      <c r="AI35">
        <f>SUMIF(Startbesatzung!$A$2:$A$7,A35,Startbesatzung!$D$2:$D$7)</f>
        <v/>
      </c>
      <c r="AJ35">
        <f>SUMIF(Startbesatzung!$A$2:$A$7,A35,Startbesatzung!$E$2:$E$7)</f>
        <v/>
      </c>
      <c r="AK35">
        <f>MAX(0,IF(Startbesatzung!A2=A35,Startbesatzung!G2,0),IF(Startbesatzung!A3=A35,Startbesatzung!G3,0),IF(Startbesatzung!A4=A35,Startbesatzung!G4,0),IF(Startbesatzung!A5=A35,Startbesatzung!G5,0),IF(Startbesatzung!A6=A35,Startbesatzung!G6,0),IF(Startbesatzung!A7=A35,Startbesatzung!G7,0))</f>
        <v/>
      </c>
      <c r="AL35">
        <f>IF(AF35="","",IF(IF(AH35="",0,VLOOKUP(AH35,Bausteine!$A$2:$AY$76,38,FALSE))&gt;0,IF(AH35="",0,VLOOKUP(AH35,Bausteine!$A$2:$AY$76,38,FALSE)),IF(AG35="",0,VLOOKUP(AG35,Bausteine!$A$2:$AY$76,28,FALSE))))</f>
        <v/>
      </c>
      <c r="AM35">
        <f>IF(AF35="","",IF(AG35="",0,VLOOKUP(AG35,Bausteine!$A$2:$AY$76,44,FALSE)))</f>
        <v/>
      </c>
      <c r="AN35">
        <f>IF(AF35="","",IF(AF35="",0,VLOOKUP(AF35,Bausteine!$A$2:$AY$76,27,FALSE)))</f>
        <v/>
      </c>
      <c r="AO35">
        <f>IF(AF35="","",IF(AF35="",0,VLOOKUP(AF35,Bausteine!$A$2:$AY$76,25,FALSE)))</f>
        <v/>
      </c>
      <c r="AP35">
        <f>IF(AF35="","",IF(AH35="",0,VLOOKUP(AH35,Bausteine!$A$2:$AY$76,29,FALSE)))</f>
        <v/>
      </c>
      <c r="AQ35" t="inlineStr">
        <is>
          <t>tracks-superheavy</t>
        </is>
      </c>
      <c r="AR35">
        <f>IF(AQ35="",0,VLOOKUP(AQ35,Bausteine!$A$2:$AY$76,48,FALSE))</f>
        <v/>
      </c>
      <c r="AS35">
        <f>MIN(IF(AQ35="",0,VLOOKUP(AQ35,Bausteine!$A$2:$AY$76,50,FALSE)),IF(C35="",0,VLOOKUP(C35,Bausteine!$A$2:$AY$76,51,FALSE)))</f>
        <v/>
      </c>
    </row>
    <row r="36">
      <c r="A36" t="inlineStr">
        <is>
          <t>Dragon Tank</t>
        </is>
      </c>
      <c r="B36" t="inlineStr">
        <is>
          <t>china</t>
        </is>
      </c>
      <c r="C36" t="inlineStr">
        <is>
          <t>dragon-chassis</t>
        </is>
      </c>
      <c r="D36" t="inlineStr">
        <is>
          <t>diesel</t>
        </is>
      </c>
      <c r="E36" t="inlineStr">
        <is>
          <t>baseline-generator</t>
        </is>
      </c>
      <c r="F36" t="inlineStr">
        <is>
          <t>heavy</t>
        </is>
      </c>
      <c r="G36" t="inlineStr">
        <is>
          <t>flame-turret</t>
        </is>
      </c>
      <c r="H36" t="inlineStr">
        <is>
          <t>dragon-flamer</t>
        </is>
      </c>
      <c r="I36" t="inlineStr">
        <is>
          <t>flame-fuel</t>
        </is>
      </c>
      <c r="J36" t="inlineStr"/>
      <c r="K36" t="inlineStr"/>
      <c r="L36" t="inlineStr"/>
      <c r="M36">
        <f>IF(C36="",0,VLOOKUP(C36,Bausteine!$A$2:$AY$76,4,FALSE))+IF(D36="",0,VLOOKUP(D36,Bausteine!$A$2:$AY$76,4,FALSE))+IF(E36="",0,VLOOKUP(E36,Bausteine!$A$2:$AY$76,4,FALSE))+IF(F36="",0,VLOOKUP(F36,Bausteine!$A$2:$AY$76,4,FALSE))+IF(G36="",0,VLOOKUP(G36,Bausteine!$A$2:$AY$76,4,FALSE))+IF(H36="",0,VLOOKUP(H36,Bausteine!$A$2:$AY$76,4,FALSE))+IF(I36="",0,VLOOKUP(I36,Bausteine!$A$2:$AY$76,4,FALSE))+IF(J36="",0,VLOOKUP(J36,Bausteine!$A$2:$AY$76,4,FALSE))+IF(K36="",0,VLOOKUP(K36,Bausteine!$A$2:$AY$76,4,FALSE))+IF(L36="",0,VLOOKUP(L36,Bausteine!$A$2:$AY$76,4,FALSE))+IF(AC36="",0,VLOOKUP(AC36,Bausteine!$A$2:$AY$76,4,FALSE))+IF(AF36="",0,VLOOKUP(AF36,Bausteine!$A$2:$AY$76,4,FALSE))+IF(AG36="",0,VLOOKUP(AG36,Bausteine!$A$2:$AY$76,4,FALSE))+IF(AH36="",0,VLOOKUP(AH36,Bausteine!$A$2:$AY$76,4,FALSE))+IF(AQ36="",0,VLOOKUP(AQ36,Bausteine!$A$2:$AY$76,4,FALSE))</f>
        <v/>
      </c>
      <c r="N36">
        <f>IF(C36="",0,VLOOKUP(C36,Bausteine!$A$2:$AY$76,5,FALSE))+IF(D36="",0,VLOOKUP(D36,Bausteine!$A$2:$AY$76,5,FALSE))+IF(E36="",0,VLOOKUP(E36,Bausteine!$A$2:$AY$76,5,FALSE))+IF(F36="",0,VLOOKUP(F36,Bausteine!$A$2:$AY$76,5,FALSE))+IF(G36="",0,VLOOKUP(G36,Bausteine!$A$2:$AY$76,5,FALSE))+IF(H36="",0,VLOOKUP(H36,Bausteine!$A$2:$AY$76,5,FALSE))+IF(I36="",0,VLOOKUP(I36,Bausteine!$A$2:$AY$76,5,FALSE))+IF(J36="",0,VLOOKUP(J36,Bausteine!$A$2:$AY$76,5,FALSE))+IF(K36="",0,VLOOKUP(K36,Bausteine!$A$2:$AY$76,5,FALSE))+IF(L36="",0,VLOOKUP(L36,Bausteine!$A$2:$AY$76,5,FALSE))+IF(AC36="",0,VLOOKUP(AC36,Bausteine!$A$2:$AY$76,5,FALSE))+IF(AF36="",0,VLOOKUP(AF36,Bausteine!$A$2:$AY$76,5,FALSE))+IF(AG36="",0,VLOOKUP(AG36,Bausteine!$A$2:$AY$76,5,FALSE))+IF(AH36="",0,VLOOKUP(AH36,Bausteine!$A$2:$AY$76,5,FALSE))+IF(AQ36="",0,VLOOKUP(AQ36,Bausteine!$A$2:$AY$76,5,FALSE))</f>
        <v/>
      </c>
      <c r="O36">
        <f>MAX(IF(C36="",0,VLOOKUP(C36,Bausteine!$A$2:$AY$76,6,FALSE)),IF(D36="",0,VLOOKUP(D36,Bausteine!$A$2:$AY$76,6,FALSE)),IF(E36="",0,VLOOKUP(E36,Bausteine!$A$2:$AY$76,6,FALSE)),IF(F36="",0,VLOOKUP(F36,Bausteine!$A$2:$AY$76,6,FALSE)),IF(G36="",0,VLOOKUP(G36,Bausteine!$A$2:$AY$76,6,FALSE)),IF(H36="",0,VLOOKUP(H36,Bausteine!$A$2:$AY$76,6,FALSE)),IF(I36="",0,VLOOKUP(I36,Bausteine!$A$2:$AY$76,6,FALSE)),IF(J36="",0,VLOOKUP(J36,Bausteine!$A$2:$AY$76,6,FALSE)),IF(K36="",0,VLOOKUP(K36,Bausteine!$A$2:$AY$76,6,FALSE)),IF(L36="",0,VLOOKUP(L36,Bausteine!$A$2:$AY$76,6,FALSE)),IF(AC36="",0,VLOOKUP(AC36,Bausteine!$A$2:$AY$76,6,FALSE)),IF(AF36="",0,VLOOKUP(AF36,Bausteine!$A$2:$AY$76,6,FALSE)),IF(AG36="",0,VLOOKUP(AG36,Bausteine!$A$2:$AY$76,6,FALSE)),IF(AH36="",0,VLOOKUP(AH36,Bausteine!$A$2:$AY$76,6,FALSE)),IF(AQ36="",0,VLOOKUP(AQ36,Bausteine!$A$2:$AY$76,6,FALSE)),AK36)</f>
        <v/>
      </c>
      <c r="P36">
        <f>IF(C36="",0,VLOOKUP(C36,Bausteine!$A$2:$AY$76,7,FALSE))*IF(F36="",0,VLOOKUP(F36,Bausteine!$A$2:$AY$76,17,FALSE))/100+IF(D36="",0,VLOOKUP(D36,Bausteine!$A$2:$AY$76,7,FALSE))+IF(E36="",0,VLOOKUP(E36,Bausteine!$A$2:$AY$76,7,FALSE))+IF(G36="",0,VLOOKUP(G36,Bausteine!$A$2:$AY$76,7,FALSE))+IF(H36="",0,VLOOKUP(H36,Bausteine!$A$2:$AY$76,7,FALSE))+IF(I36="",0,VLOOKUP(I36,Bausteine!$A$2:$AY$76,7,FALSE))+IF(J36="",0,VLOOKUP(J36,Bausteine!$A$2:$AY$76,7,FALSE))+IF(K36="",0,VLOOKUP(K36,Bausteine!$A$2:$AY$76,7,FALSE))+IF(L36="",0,VLOOKUP(L36,Bausteine!$A$2:$AY$76,7,FALSE))+IF(AC36="",0,VLOOKUP(AC36,Bausteine!$A$2:$AY$76,7,FALSE))+IF(AF36="",0,VLOOKUP(AF36,Bausteine!$A$2:$AY$76,7,FALSE))+IF(AG36="",0,VLOOKUP(AG36,Bausteine!$A$2:$AY$76,7,FALSE))+IF(AH36="",0,VLOOKUP(AH36,Bausteine!$A$2:$AY$76,7,FALSE))+IF(AQ36="",0,VLOOKUP(AQ36,Bausteine!$A$2:$AY$76,7,FALSE))+AI36</f>
        <v/>
      </c>
      <c r="Q36">
        <f>N36*Parameter!$B$2</f>
        <v/>
      </c>
      <c r="R36">
        <f>AE36-Q36</f>
        <v/>
      </c>
      <c r="S36">
        <f>IF(C36="",0,VLOOKUP(C36,Bausteine!$A$2:$AY$76,13,FALSE))*IF(F36="",0,VLOOKUP(F36,Bausteine!$A$2:$AY$76,16,FALSE))/100</f>
        <v/>
      </c>
      <c r="T36">
        <f>IF(C36="",0,VLOOKUP(C36,Bausteine!$A$2:$AY$76,8,FALSE))*IF(F36="",0,VLOOKUP(F36,Bausteine!$A$2:$AY$76,15,FALSE))/100+IF(D36="",0,VLOOKUP(D36,Bausteine!$A$2:$AY$76,8,FALSE))+IF(E36="",0,VLOOKUP(E36,Bausteine!$A$2:$AY$76,8,FALSE))+IF(G36="",0,VLOOKUP(G36,Bausteine!$A$2:$AY$76,8,FALSE))+IF(H36="",0,VLOOKUP(H36,Bausteine!$A$2:$AY$76,8,FALSE))+IF(I36="",0,VLOOKUP(I36,Bausteine!$A$2:$AY$76,8,FALSE))+IF(J36="",0,VLOOKUP(J36,Bausteine!$A$2:$AY$76,8,FALSE))+IF(K36="",0,VLOOKUP(K36,Bausteine!$A$2:$AY$76,8,FALSE))+IF(L36="",0,VLOOKUP(L36,Bausteine!$A$2:$AY$76,8,FALSE))+IF(AC36="",0,VLOOKUP(AC36,Bausteine!$A$2:$AY$76,8,FALSE))+IF(AF36="",0,VLOOKUP(AF36,Bausteine!$A$2:$AY$76,8,FALSE))+IF(AG36="",0,VLOOKUP(AG36,Bausteine!$A$2:$AY$76,8,FALSE))+IF(AH36="",0,VLOOKUP(AH36,Bausteine!$A$2:$AY$76,8,FALSE))+IF(AQ36="",0,VLOOKUP(AQ36,Bausteine!$A$2:$AY$76,8,FALSE))+AJ36</f>
        <v/>
      </c>
      <c r="U36">
        <f>IF(C36="",0,VLOOKUP(C36,Bausteine!$A$2:$AY$76,9,FALSE))+IF(D36="",0,VLOOKUP(D36,Bausteine!$A$2:$AY$76,9,FALSE))+IF(E36="",0,VLOOKUP(E36,Bausteine!$A$2:$AY$76,9,FALSE))+IF(F36="",0,VLOOKUP(F36,Bausteine!$A$2:$AY$76,9,FALSE))+IF(G36="",0,VLOOKUP(G36,Bausteine!$A$2:$AY$76,9,FALSE))+IF(H36="",0,VLOOKUP(H36,Bausteine!$A$2:$AY$76,9,FALSE))+IF(I36="",0,VLOOKUP(I36,Bausteine!$A$2:$AY$76,9,FALSE))+IF(J36="",0,VLOOKUP(J36,Bausteine!$A$2:$AY$76,9,FALSE))+IF(K36="",0,VLOOKUP(K36,Bausteine!$A$2:$AY$76,9,FALSE))+IF(L36="",0,VLOOKUP(L36,Bausteine!$A$2:$AY$76,9,FALSE))+IF(AC36="",0,VLOOKUP(AC36,Bausteine!$A$2:$AY$76,9,FALSE))+IF(AF36="",0,VLOOKUP(AF36,Bausteine!$A$2:$AY$76,9,FALSE))+IF(AG36="",0,VLOOKUP(AG36,Bausteine!$A$2:$AY$76,9,FALSE))+IF(AH36="",0,VLOOKUP(AH36,Bausteine!$A$2:$AY$76,9,FALSE))+IF(AQ36="",0,VLOOKUP(AQ36,Bausteine!$A$2:$AY$76,9,FALSE))</f>
        <v/>
      </c>
      <c r="V36">
        <f>IF(D36="",0,VLOOKUP(D36,Bausteine!$A$2:$AY$76,10,FALSE))-U36/IF(E36="",0,VLOOKUP(E36,Bausteine!$A$2:$AY$76,11,FALSE))</f>
        <v/>
      </c>
      <c r="W36">
        <f>IF(Y36&lt;&gt;"OK","",ROUND(MIN(IF(C36="",0,VLOOKUP(C36,Bausteine!$A$2:$AY$76,21,FALSE)),IF(AQ36="",0,VLOOKUP(AQ36,Bausteine!$A$2:$AY$76,21,FALSE)),IF(C36="",0,VLOOKUP(C36,Bausteine!$A$2:$AY$76,20,FALSE))*(V36/T36/(IF(C36="",0,VLOOKUP(C36,Bausteine!$A$2:$AY$76,19,FALSE))/IF(C36="",0,VLOOKUP(C36,Bausteine!$A$2:$AY$76,18,FALSE))))^Parameter!$B$3),0))</f>
        <v/>
      </c>
      <c r="X36">
        <f>IF(F36="",0,VLOOKUP(F36,Bausteine!$A$2:$AY$76,14,FALSE))</f>
        <v/>
      </c>
      <c r="Y36">
        <f>IFERROR(IF(OR(AD36&lt;=0,AD36&gt;1,R36&lt;=0,T36&lt;=0,V36&lt;=0,U36&gt;IF(E36="",0,VLOOKUP(E36,Bausteine!$A$2:$AY$76,12,FALSE)),T36&gt;MIN(IF(C36="",0,VLOOKUP(C36,Bausteine!$A$2:$AY$76,22,FALSE)),IF(AQ36="",0,VLOOKUP(AQ36,Bausteine!$A$2:$AY$76,22,FALSE))),IF(E36="",0,VLOOKUP(E36,Bausteine!$A$2:$AY$76,11,FALSE))&lt;=0,IF(E36="",0,VLOOKUP(E36,Bausteine!$A$2:$AY$76,11,FALSE))&gt;1),"UNGUELTIG","OK"),"FEHLER")</f>
        <v/>
      </c>
      <c r="Z36" t="n">
        <v>600</v>
      </c>
      <c r="AA36" t="n">
        <v>103</v>
      </c>
      <c r="AB36" t="inlineStr">
        <is>
          <t>Normal non-deployed, no Black Napalm. Full Firewall behavior not modeled.</t>
        </is>
      </c>
      <c r="AC36" t="inlineStr"/>
      <c r="AD36">
        <f>IF(AC36="",1,IF(AC36="",0,VLOOKUP(AC36,Bausteine!$A$2:$AY$76,37,FALSE))/100)</f>
        <v/>
      </c>
      <c r="AE36">
        <f>P36*AD36</f>
        <v/>
      </c>
      <c r="AF36" t="inlineStr"/>
      <c r="AG36" t="inlineStr"/>
      <c r="AH36" t="inlineStr"/>
      <c r="AI36">
        <f>SUMIF(Startbesatzung!$A$2:$A$7,A36,Startbesatzung!$D$2:$D$7)</f>
        <v/>
      </c>
      <c r="AJ36">
        <f>SUMIF(Startbesatzung!$A$2:$A$7,A36,Startbesatzung!$E$2:$E$7)</f>
        <v/>
      </c>
      <c r="AK36">
        <f>MAX(0,IF(Startbesatzung!A2=A36,Startbesatzung!G2,0),IF(Startbesatzung!A3=A36,Startbesatzung!G3,0),IF(Startbesatzung!A4=A36,Startbesatzung!G4,0),IF(Startbesatzung!A5=A36,Startbesatzung!G5,0),IF(Startbesatzung!A6=A36,Startbesatzung!G6,0),IF(Startbesatzung!A7=A36,Startbesatzung!G7,0))</f>
        <v/>
      </c>
      <c r="AL36">
        <f>IF(AF36="","",IF(IF(AH36="",0,VLOOKUP(AH36,Bausteine!$A$2:$AY$76,38,FALSE))&gt;0,IF(AH36="",0,VLOOKUP(AH36,Bausteine!$A$2:$AY$76,38,FALSE)),IF(AG36="",0,VLOOKUP(AG36,Bausteine!$A$2:$AY$76,28,FALSE))))</f>
        <v/>
      </c>
      <c r="AM36">
        <f>IF(AF36="","",IF(AG36="",0,VLOOKUP(AG36,Bausteine!$A$2:$AY$76,44,FALSE)))</f>
        <v/>
      </c>
      <c r="AN36">
        <f>IF(AF36="","",IF(AF36="",0,VLOOKUP(AF36,Bausteine!$A$2:$AY$76,27,FALSE)))</f>
        <v/>
      </c>
      <c r="AO36">
        <f>IF(AF36="","",IF(AF36="",0,VLOOKUP(AF36,Bausteine!$A$2:$AY$76,25,FALSE)))</f>
        <v/>
      </c>
      <c r="AP36">
        <f>IF(AF36="","",IF(AH36="",0,VLOOKUP(AH36,Bausteine!$A$2:$AY$76,29,FALSE)))</f>
        <v/>
      </c>
      <c r="AQ36" t="inlineStr">
        <is>
          <t>tracks-standard</t>
        </is>
      </c>
      <c r="AR36">
        <f>IF(AQ36="",0,VLOOKUP(AQ36,Bausteine!$A$2:$AY$76,48,FALSE))</f>
        <v/>
      </c>
      <c r="AS36">
        <f>MIN(IF(AQ36="",0,VLOOKUP(AQ36,Bausteine!$A$2:$AY$76,50,FALSE)),IF(C36="",0,VLOOKUP(C36,Bausteine!$A$2:$AY$76,51,FALSE)))</f>
        <v/>
      </c>
    </row>
    <row r="37">
      <c r="A37" t="inlineStr">
        <is>
          <t>Dragon Tank PDL</t>
        </is>
      </c>
      <c r="B37" t="inlineStr">
        <is>
          <t>china</t>
        </is>
      </c>
      <c r="C37" t="inlineStr">
        <is>
          <t>dragon-chassis</t>
        </is>
      </c>
      <c r="D37" t="inlineStr">
        <is>
          <t>diesel-large</t>
        </is>
      </c>
      <c r="E37" t="inlineStr">
        <is>
          <t>efficient-generator</t>
        </is>
      </c>
      <c r="F37" t="inlineStr">
        <is>
          <t>heavy</t>
        </is>
      </c>
      <c r="G37" t="inlineStr">
        <is>
          <t>flame-turret</t>
        </is>
      </c>
      <c r="H37" t="inlineStr">
        <is>
          <t>dragon-flamer</t>
        </is>
      </c>
      <c r="I37" t="inlineStr">
        <is>
          <t>flame-fuel</t>
        </is>
      </c>
      <c r="J37" t="inlineStr">
        <is>
          <t>pdl</t>
        </is>
      </c>
      <c r="K37" t="inlineStr"/>
      <c r="L37" t="inlineStr"/>
      <c r="M37">
        <f>IF(C37="",0,VLOOKUP(C37,Bausteine!$A$2:$AY$76,4,FALSE))+IF(D37="",0,VLOOKUP(D37,Bausteine!$A$2:$AY$76,4,FALSE))+IF(E37="",0,VLOOKUP(E37,Bausteine!$A$2:$AY$76,4,FALSE))+IF(F37="",0,VLOOKUP(F37,Bausteine!$A$2:$AY$76,4,FALSE))+IF(G37="",0,VLOOKUP(G37,Bausteine!$A$2:$AY$76,4,FALSE))+IF(H37="",0,VLOOKUP(H37,Bausteine!$A$2:$AY$76,4,FALSE))+IF(I37="",0,VLOOKUP(I37,Bausteine!$A$2:$AY$76,4,FALSE))+IF(J37="",0,VLOOKUP(J37,Bausteine!$A$2:$AY$76,4,FALSE))+IF(K37="",0,VLOOKUP(K37,Bausteine!$A$2:$AY$76,4,FALSE))+IF(L37="",0,VLOOKUP(L37,Bausteine!$A$2:$AY$76,4,FALSE))+IF(AC37="",0,VLOOKUP(AC37,Bausteine!$A$2:$AY$76,4,FALSE))+IF(AF37="",0,VLOOKUP(AF37,Bausteine!$A$2:$AY$76,4,FALSE))+IF(AG37="",0,VLOOKUP(AG37,Bausteine!$A$2:$AY$76,4,FALSE))+IF(AH37="",0,VLOOKUP(AH37,Bausteine!$A$2:$AY$76,4,FALSE))+IF(AQ37="",0,VLOOKUP(AQ37,Bausteine!$A$2:$AY$76,4,FALSE))</f>
        <v/>
      </c>
      <c r="N37">
        <f>IF(C37="",0,VLOOKUP(C37,Bausteine!$A$2:$AY$76,5,FALSE))+IF(D37="",0,VLOOKUP(D37,Bausteine!$A$2:$AY$76,5,FALSE))+IF(E37="",0,VLOOKUP(E37,Bausteine!$A$2:$AY$76,5,FALSE))+IF(F37="",0,VLOOKUP(F37,Bausteine!$A$2:$AY$76,5,FALSE))+IF(G37="",0,VLOOKUP(G37,Bausteine!$A$2:$AY$76,5,FALSE))+IF(H37="",0,VLOOKUP(H37,Bausteine!$A$2:$AY$76,5,FALSE))+IF(I37="",0,VLOOKUP(I37,Bausteine!$A$2:$AY$76,5,FALSE))+IF(J37="",0,VLOOKUP(J37,Bausteine!$A$2:$AY$76,5,FALSE))+IF(K37="",0,VLOOKUP(K37,Bausteine!$A$2:$AY$76,5,FALSE))+IF(L37="",0,VLOOKUP(L37,Bausteine!$A$2:$AY$76,5,FALSE))+IF(AC37="",0,VLOOKUP(AC37,Bausteine!$A$2:$AY$76,5,FALSE))+IF(AF37="",0,VLOOKUP(AF37,Bausteine!$A$2:$AY$76,5,FALSE))+IF(AG37="",0,VLOOKUP(AG37,Bausteine!$A$2:$AY$76,5,FALSE))+IF(AH37="",0,VLOOKUP(AH37,Bausteine!$A$2:$AY$76,5,FALSE))+IF(AQ37="",0,VLOOKUP(AQ37,Bausteine!$A$2:$AY$76,5,FALSE))</f>
        <v/>
      </c>
      <c r="O37">
        <f>MAX(IF(C37="",0,VLOOKUP(C37,Bausteine!$A$2:$AY$76,6,FALSE)),IF(D37="",0,VLOOKUP(D37,Bausteine!$A$2:$AY$76,6,FALSE)),IF(E37="",0,VLOOKUP(E37,Bausteine!$A$2:$AY$76,6,FALSE)),IF(F37="",0,VLOOKUP(F37,Bausteine!$A$2:$AY$76,6,FALSE)),IF(G37="",0,VLOOKUP(G37,Bausteine!$A$2:$AY$76,6,FALSE)),IF(H37="",0,VLOOKUP(H37,Bausteine!$A$2:$AY$76,6,FALSE)),IF(I37="",0,VLOOKUP(I37,Bausteine!$A$2:$AY$76,6,FALSE)),IF(J37="",0,VLOOKUP(J37,Bausteine!$A$2:$AY$76,6,FALSE)),IF(K37="",0,VLOOKUP(K37,Bausteine!$A$2:$AY$76,6,FALSE)),IF(L37="",0,VLOOKUP(L37,Bausteine!$A$2:$AY$76,6,FALSE)),IF(AC37="",0,VLOOKUP(AC37,Bausteine!$A$2:$AY$76,6,FALSE)),IF(AF37="",0,VLOOKUP(AF37,Bausteine!$A$2:$AY$76,6,FALSE)),IF(AG37="",0,VLOOKUP(AG37,Bausteine!$A$2:$AY$76,6,FALSE)),IF(AH37="",0,VLOOKUP(AH37,Bausteine!$A$2:$AY$76,6,FALSE)),IF(AQ37="",0,VLOOKUP(AQ37,Bausteine!$A$2:$AY$76,6,FALSE)),AK37)</f>
        <v/>
      </c>
      <c r="P37">
        <f>IF(C37="",0,VLOOKUP(C37,Bausteine!$A$2:$AY$76,7,FALSE))*IF(F37="",0,VLOOKUP(F37,Bausteine!$A$2:$AY$76,17,FALSE))/100+IF(D37="",0,VLOOKUP(D37,Bausteine!$A$2:$AY$76,7,FALSE))+IF(E37="",0,VLOOKUP(E37,Bausteine!$A$2:$AY$76,7,FALSE))+IF(G37="",0,VLOOKUP(G37,Bausteine!$A$2:$AY$76,7,FALSE))+IF(H37="",0,VLOOKUP(H37,Bausteine!$A$2:$AY$76,7,FALSE))+IF(I37="",0,VLOOKUP(I37,Bausteine!$A$2:$AY$76,7,FALSE))+IF(J37="",0,VLOOKUP(J37,Bausteine!$A$2:$AY$76,7,FALSE))+IF(K37="",0,VLOOKUP(K37,Bausteine!$A$2:$AY$76,7,FALSE))+IF(L37="",0,VLOOKUP(L37,Bausteine!$A$2:$AY$76,7,FALSE))+IF(AC37="",0,VLOOKUP(AC37,Bausteine!$A$2:$AY$76,7,FALSE))+IF(AF37="",0,VLOOKUP(AF37,Bausteine!$A$2:$AY$76,7,FALSE))+IF(AG37="",0,VLOOKUP(AG37,Bausteine!$A$2:$AY$76,7,FALSE))+IF(AH37="",0,VLOOKUP(AH37,Bausteine!$A$2:$AY$76,7,FALSE))+IF(AQ37="",0,VLOOKUP(AQ37,Bausteine!$A$2:$AY$76,7,FALSE))+AI37</f>
        <v/>
      </c>
      <c r="Q37">
        <f>N37*Parameter!$B$2</f>
        <v/>
      </c>
      <c r="R37">
        <f>AE37-Q37</f>
        <v/>
      </c>
      <c r="S37">
        <f>IF(C37="",0,VLOOKUP(C37,Bausteine!$A$2:$AY$76,13,FALSE))*IF(F37="",0,VLOOKUP(F37,Bausteine!$A$2:$AY$76,16,FALSE))/100</f>
        <v/>
      </c>
      <c r="T37">
        <f>IF(C37="",0,VLOOKUP(C37,Bausteine!$A$2:$AY$76,8,FALSE))*IF(F37="",0,VLOOKUP(F37,Bausteine!$A$2:$AY$76,15,FALSE))/100+IF(D37="",0,VLOOKUP(D37,Bausteine!$A$2:$AY$76,8,FALSE))+IF(E37="",0,VLOOKUP(E37,Bausteine!$A$2:$AY$76,8,FALSE))+IF(G37="",0,VLOOKUP(G37,Bausteine!$A$2:$AY$76,8,FALSE))+IF(H37="",0,VLOOKUP(H37,Bausteine!$A$2:$AY$76,8,FALSE))+IF(I37="",0,VLOOKUP(I37,Bausteine!$A$2:$AY$76,8,FALSE))+IF(J37="",0,VLOOKUP(J37,Bausteine!$A$2:$AY$76,8,FALSE))+IF(K37="",0,VLOOKUP(K37,Bausteine!$A$2:$AY$76,8,FALSE))+IF(L37="",0,VLOOKUP(L37,Bausteine!$A$2:$AY$76,8,FALSE))+IF(AC37="",0,VLOOKUP(AC37,Bausteine!$A$2:$AY$76,8,FALSE))+IF(AF37="",0,VLOOKUP(AF37,Bausteine!$A$2:$AY$76,8,FALSE))+IF(AG37="",0,VLOOKUP(AG37,Bausteine!$A$2:$AY$76,8,FALSE))+IF(AH37="",0,VLOOKUP(AH37,Bausteine!$A$2:$AY$76,8,FALSE))+IF(AQ37="",0,VLOOKUP(AQ37,Bausteine!$A$2:$AY$76,8,FALSE))+AJ37</f>
        <v/>
      </c>
      <c r="U37">
        <f>IF(C37="",0,VLOOKUP(C37,Bausteine!$A$2:$AY$76,9,FALSE))+IF(D37="",0,VLOOKUP(D37,Bausteine!$A$2:$AY$76,9,FALSE))+IF(E37="",0,VLOOKUP(E37,Bausteine!$A$2:$AY$76,9,FALSE))+IF(F37="",0,VLOOKUP(F37,Bausteine!$A$2:$AY$76,9,FALSE))+IF(G37="",0,VLOOKUP(G37,Bausteine!$A$2:$AY$76,9,FALSE))+IF(H37="",0,VLOOKUP(H37,Bausteine!$A$2:$AY$76,9,FALSE))+IF(I37="",0,VLOOKUP(I37,Bausteine!$A$2:$AY$76,9,FALSE))+IF(J37="",0,VLOOKUP(J37,Bausteine!$A$2:$AY$76,9,FALSE))+IF(K37="",0,VLOOKUP(K37,Bausteine!$A$2:$AY$76,9,FALSE))+IF(L37="",0,VLOOKUP(L37,Bausteine!$A$2:$AY$76,9,FALSE))+IF(AC37="",0,VLOOKUP(AC37,Bausteine!$A$2:$AY$76,9,FALSE))+IF(AF37="",0,VLOOKUP(AF37,Bausteine!$A$2:$AY$76,9,FALSE))+IF(AG37="",0,VLOOKUP(AG37,Bausteine!$A$2:$AY$76,9,FALSE))+IF(AH37="",0,VLOOKUP(AH37,Bausteine!$A$2:$AY$76,9,FALSE))+IF(AQ37="",0,VLOOKUP(AQ37,Bausteine!$A$2:$AY$76,9,FALSE))</f>
        <v/>
      </c>
      <c r="V37">
        <f>IF(D37="",0,VLOOKUP(D37,Bausteine!$A$2:$AY$76,10,FALSE))-U37/IF(E37="",0,VLOOKUP(E37,Bausteine!$A$2:$AY$76,11,FALSE))</f>
        <v/>
      </c>
      <c r="W37">
        <f>IF(Y37&lt;&gt;"OK","",ROUND(MIN(IF(C37="",0,VLOOKUP(C37,Bausteine!$A$2:$AY$76,21,FALSE)),IF(AQ37="",0,VLOOKUP(AQ37,Bausteine!$A$2:$AY$76,21,FALSE)),IF(C37="",0,VLOOKUP(C37,Bausteine!$A$2:$AY$76,20,FALSE))*(V37/T37/(IF(C37="",0,VLOOKUP(C37,Bausteine!$A$2:$AY$76,19,FALSE))/IF(C37="",0,VLOOKUP(C37,Bausteine!$A$2:$AY$76,18,FALSE))))^Parameter!$B$3),0))</f>
        <v/>
      </c>
      <c r="X37">
        <f>IF(F37="",0,VLOOKUP(F37,Bausteine!$A$2:$AY$76,14,FALSE))</f>
        <v/>
      </c>
      <c r="Y37">
        <f>IFERROR(IF(OR(AD37&lt;=0,AD37&gt;1,R37&lt;=0,T37&lt;=0,V37&lt;=0,U37&gt;IF(E37="",0,VLOOKUP(E37,Bausteine!$A$2:$AY$76,12,FALSE)),T37&gt;MIN(IF(C37="",0,VLOOKUP(C37,Bausteine!$A$2:$AY$76,22,FALSE)),IF(AQ37="",0,VLOOKUP(AQ37,Bausteine!$A$2:$AY$76,22,FALSE))),IF(E37="",0,VLOOKUP(E37,Bausteine!$A$2:$AY$76,11,FALSE))&lt;=0,IF(E37="",0,VLOOKUP(E37,Bausteine!$A$2:$AY$76,11,FALSE))&gt;1),"UNGUELTIG","OK"),"FEHLER")</f>
        <v/>
      </c>
      <c r="Z37" t="n">
        <v>1250</v>
      </c>
      <c r="AA37" t="n">
        <v>103</v>
      </c>
      <c r="AB37" t="inlineStr">
        <is>
          <t>Existing shared PDL package; no family-specific discount.</t>
        </is>
      </c>
      <c r="AC37" t="inlineStr"/>
      <c r="AD37">
        <f>IF(AC37="",1,IF(AC37="",0,VLOOKUP(AC37,Bausteine!$A$2:$AY$76,37,FALSE))/100)</f>
        <v/>
      </c>
      <c r="AE37">
        <f>P37*AD37</f>
        <v/>
      </c>
      <c r="AF37" t="inlineStr"/>
      <c r="AG37" t="inlineStr"/>
      <c r="AH37" t="inlineStr"/>
      <c r="AI37">
        <f>SUMIF(Startbesatzung!$A$2:$A$7,A37,Startbesatzung!$D$2:$D$7)</f>
        <v/>
      </c>
      <c r="AJ37">
        <f>SUMIF(Startbesatzung!$A$2:$A$7,A37,Startbesatzung!$E$2:$E$7)</f>
        <v/>
      </c>
      <c r="AK37">
        <f>MAX(0,IF(Startbesatzung!A2=A37,Startbesatzung!G2,0),IF(Startbesatzung!A3=A37,Startbesatzung!G3,0),IF(Startbesatzung!A4=A37,Startbesatzung!G4,0),IF(Startbesatzung!A5=A37,Startbesatzung!G5,0),IF(Startbesatzung!A6=A37,Startbesatzung!G6,0),IF(Startbesatzung!A7=A37,Startbesatzung!G7,0))</f>
        <v/>
      </c>
      <c r="AL37">
        <f>IF(AF37="","",IF(IF(AH37="",0,VLOOKUP(AH37,Bausteine!$A$2:$AY$76,38,FALSE))&gt;0,IF(AH37="",0,VLOOKUP(AH37,Bausteine!$A$2:$AY$76,38,FALSE)),IF(AG37="",0,VLOOKUP(AG37,Bausteine!$A$2:$AY$76,28,FALSE))))</f>
        <v/>
      </c>
      <c r="AM37">
        <f>IF(AF37="","",IF(AG37="",0,VLOOKUP(AG37,Bausteine!$A$2:$AY$76,44,FALSE)))</f>
        <v/>
      </c>
      <c r="AN37">
        <f>IF(AF37="","",IF(AF37="",0,VLOOKUP(AF37,Bausteine!$A$2:$AY$76,27,FALSE)))</f>
        <v/>
      </c>
      <c r="AO37">
        <f>IF(AF37="","",IF(AF37="",0,VLOOKUP(AF37,Bausteine!$A$2:$AY$76,25,FALSE)))</f>
        <v/>
      </c>
      <c r="AP37">
        <f>IF(AF37="","",IF(AH37="",0,VLOOKUP(AH37,Bausteine!$A$2:$AY$76,29,FALSE)))</f>
        <v/>
      </c>
      <c r="AQ37" t="inlineStr">
        <is>
          <t>tracks-standard</t>
        </is>
      </c>
      <c r="AR37">
        <f>IF(AQ37="",0,VLOOKUP(AQ37,Bausteine!$A$2:$AY$76,48,FALSE))</f>
        <v/>
      </c>
      <c r="AS37">
        <f>MIN(IF(AQ37="",0,VLOOKUP(AQ37,Bausteine!$A$2:$AY$76,50,FALSE)),IF(C37="",0,VLOOKUP(C37,Bausteine!$A$2:$AY$76,51,FALSE)))</f>
        <v/>
      </c>
    </row>
    <row r="38">
      <c r="A38" t="inlineStr">
        <is>
          <t>Dragon Tank Reflector</t>
        </is>
      </c>
      <c r="B38" t="inlineStr">
        <is>
          <t>china</t>
        </is>
      </c>
      <c r="C38" t="inlineStr">
        <is>
          <t>dragon-chassis</t>
        </is>
      </c>
      <c r="D38" t="inlineStr">
        <is>
          <t>diesel-large</t>
        </is>
      </c>
      <c r="E38" t="inlineStr">
        <is>
          <t>efficient-generator</t>
        </is>
      </c>
      <c r="F38" t="inlineStr">
        <is>
          <t>reflector</t>
        </is>
      </c>
      <c r="G38" t="inlineStr">
        <is>
          <t>flame-turret</t>
        </is>
      </c>
      <c r="H38" t="inlineStr">
        <is>
          <t>dragon-flamer</t>
        </is>
      </c>
      <c r="I38" t="inlineStr">
        <is>
          <t>flame-fuel</t>
        </is>
      </c>
      <c r="J38" t="inlineStr"/>
      <c r="K38" t="inlineStr"/>
      <c r="L38" t="inlineStr"/>
      <c r="M38">
        <f>IF(C38="",0,VLOOKUP(C38,Bausteine!$A$2:$AY$76,4,FALSE))+IF(D38="",0,VLOOKUP(D38,Bausteine!$A$2:$AY$76,4,FALSE))+IF(E38="",0,VLOOKUP(E38,Bausteine!$A$2:$AY$76,4,FALSE))+IF(F38="",0,VLOOKUP(F38,Bausteine!$A$2:$AY$76,4,FALSE))+IF(G38="",0,VLOOKUP(G38,Bausteine!$A$2:$AY$76,4,FALSE))+IF(H38="",0,VLOOKUP(H38,Bausteine!$A$2:$AY$76,4,FALSE))+IF(I38="",0,VLOOKUP(I38,Bausteine!$A$2:$AY$76,4,FALSE))+IF(J38="",0,VLOOKUP(J38,Bausteine!$A$2:$AY$76,4,FALSE))+IF(K38="",0,VLOOKUP(K38,Bausteine!$A$2:$AY$76,4,FALSE))+IF(L38="",0,VLOOKUP(L38,Bausteine!$A$2:$AY$76,4,FALSE))+IF(AC38="",0,VLOOKUP(AC38,Bausteine!$A$2:$AY$76,4,FALSE))+IF(AF38="",0,VLOOKUP(AF38,Bausteine!$A$2:$AY$76,4,FALSE))+IF(AG38="",0,VLOOKUP(AG38,Bausteine!$A$2:$AY$76,4,FALSE))+IF(AH38="",0,VLOOKUP(AH38,Bausteine!$A$2:$AY$76,4,FALSE))+IF(AQ38="",0,VLOOKUP(AQ38,Bausteine!$A$2:$AY$76,4,FALSE))</f>
        <v/>
      </c>
      <c r="N38">
        <f>IF(C38="",0,VLOOKUP(C38,Bausteine!$A$2:$AY$76,5,FALSE))+IF(D38="",0,VLOOKUP(D38,Bausteine!$A$2:$AY$76,5,FALSE))+IF(E38="",0,VLOOKUP(E38,Bausteine!$A$2:$AY$76,5,FALSE))+IF(F38="",0,VLOOKUP(F38,Bausteine!$A$2:$AY$76,5,FALSE))+IF(G38="",0,VLOOKUP(G38,Bausteine!$A$2:$AY$76,5,FALSE))+IF(H38="",0,VLOOKUP(H38,Bausteine!$A$2:$AY$76,5,FALSE))+IF(I38="",0,VLOOKUP(I38,Bausteine!$A$2:$AY$76,5,FALSE))+IF(J38="",0,VLOOKUP(J38,Bausteine!$A$2:$AY$76,5,FALSE))+IF(K38="",0,VLOOKUP(K38,Bausteine!$A$2:$AY$76,5,FALSE))+IF(L38="",0,VLOOKUP(L38,Bausteine!$A$2:$AY$76,5,FALSE))+IF(AC38="",0,VLOOKUP(AC38,Bausteine!$A$2:$AY$76,5,FALSE))+IF(AF38="",0,VLOOKUP(AF38,Bausteine!$A$2:$AY$76,5,FALSE))+IF(AG38="",0,VLOOKUP(AG38,Bausteine!$A$2:$AY$76,5,FALSE))+IF(AH38="",0,VLOOKUP(AH38,Bausteine!$A$2:$AY$76,5,FALSE))+IF(AQ38="",0,VLOOKUP(AQ38,Bausteine!$A$2:$AY$76,5,FALSE))</f>
        <v/>
      </c>
      <c r="O38">
        <f>MAX(IF(C38="",0,VLOOKUP(C38,Bausteine!$A$2:$AY$76,6,FALSE)),IF(D38="",0,VLOOKUP(D38,Bausteine!$A$2:$AY$76,6,FALSE)),IF(E38="",0,VLOOKUP(E38,Bausteine!$A$2:$AY$76,6,FALSE)),IF(F38="",0,VLOOKUP(F38,Bausteine!$A$2:$AY$76,6,FALSE)),IF(G38="",0,VLOOKUP(G38,Bausteine!$A$2:$AY$76,6,FALSE)),IF(H38="",0,VLOOKUP(H38,Bausteine!$A$2:$AY$76,6,FALSE)),IF(I38="",0,VLOOKUP(I38,Bausteine!$A$2:$AY$76,6,FALSE)),IF(J38="",0,VLOOKUP(J38,Bausteine!$A$2:$AY$76,6,FALSE)),IF(K38="",0,VLOOKUP(K38,Bausteine!$A$2:$AY$76,6,FALSE)),IF(L38="",0,VLOOKUP(L38,Bausteine!$A$2:$AY$76,6,FALSE)),IF(AC38="",0,VLOOKUP(AC38,Bausteine!$A$2:$AY$76,6,FALSE)),IF(AF38="",0,VLOOKUP(AF38,Bausteine!$A$2:$AY$76,6,FALSE)),IF(AG38="",0,VLOOKUP(AG38,Bausteine!$A$2:$AY$76,6,FALSE)),IF(AH38="",0,VLOOKUP(AH38,Bausteine!$A$2:$AY$76,6,FALSE)),IF(AQ38="",0,VLOOKUP(AQ38,Bausteine!$A$2:$AY$76,6,FALSE)),AK38)</f>
        <v/>
      </c>
      <c r="P38">
        <f>IF(C38="",0,VLOOKUP(C38,Bausteine!$A$2:$AY$76,7,FALSE))*IF(F38="",0,VLOOKUP(F38,Bausteine!$A$2:$AY$76,17,FALSE))/100+IF(D38="",0,VLOOKUP(D38,Bausteine!$A$2:$AY$76,7,FALSE))+IF(E38="",0,VLOOKUP(E38,Bausteine!$A$2:$AY$76,7,FALSE))+IF(G38="",0,VLOOKUP(G38,Bausteine!$A$2:$AY$76,7,FALSE))+IF(H38="",0,VLOOKUP(H38,Bausteine!$A$2:$AY$76,7,FALSE))+IF(I38="",0,VLOOKUP(I38,Bausteine!$A$2:$AY$76,7,FALSE))+IF(J38="",0,VLOOKUP(J38,Bausteine!$A$2:$AY$76,7,FALSE))+IF(K38="",0,VLOOKUP(K38,Bausteine!$A$2:$AY$76,7,FALSE))+IF(L38="",0,VLOOKUP(L38,Bausteine!$A$2:$AY$76,7,FALSE))+IF(AC38="",0,VLOOKUP(AC38,Bausteine!$A$2:$AY$76,7,FALSE))+IF(AF38="",0,VLOOKUP(AF38,Bausteine!$A$2:$AY$76,7,FALSE))+IF(AG38="",0,VLOOKUP(AG38,Bausteine!$A$2:$AY$76,7,FALSE))+IF(AH38="",0,VLOOKUP(AH38,Bausteine!$A$2:$AY$76,7,FALSE))+IF(AQ38="",0,VLOOKUP(AQ38,Bausteine!$A$2:$AY$76,7,FALSE))+AI38</f>
        <v/>
      </c>
      <c r="Q38">
        <f>N38*Parameter!$B$2</f>
        <v/>
      </c>
      <c r="R38">
        <f>AE38-Q38</f>
        <v/>
      </c>
      <c r="S38">
        <f>IF(C38="",0,VLOOKUP(C38,Bausteine!$A$2:$AY$76,13,FALSE))*IF(F38="",0,VLOOKUP(F38,Bausteine!$A$2:$AY$76,16,FALSE))/100</f>
        <v/>
      </c>
      <c r="T38">
        <f>IF(C38="",0,VLOOKUP(C38,Bausteine!$A$2:$AY$76,8,FALSE))*IF(F38="",0,VLOOKUP(F38,Bausteine!$A$2:$AY$76,15,FALSE))/100+IF(D38="",0,VLOOKUP(D38,Bausteine!$A$2:$AY$76,8,FALSE))+IF(E38="",0,VLOOKUP(E38,Bausteine!$A$2:$AY$76,8,FALSE))+IF(G38="",0,VLOOKUP(G38,Bausteine!$A$2:$AY$76,8,FALSE))+IF(H38="",0,VLOOKUP(H38,Bausteine!$A$2:$AY$76,8,FALSE))+IF(I38="",0,VLOOKUP(I38,Bausteine!$A$2:$AY$76,8,FALSE))+IF(J38="",0,VLOOKUP(J38,Bausteine!$A$2:$AY$76,8,FALSE))+IF(K38="",0,VLOOKUP(K38,Bausteine!$A$2:$AY$76,8,FALSE))+IF(L38="",0,VLOOKUP(L38,Bausteine!$A$2:$AY$76,8,FALSE))+IF(AC38="",0,VLOOKUP(AC38,Bausteine!$A$2:$AY$76,8,FALSE))+IF(AF38="",0,VLOOKUP(AF38,Bausteine!$A$2:$AY$76,8,FALSE))+IF(AG38="",0,VLOOKUP(AG38,Bausteine!$A$2:$AY$76,8,FALSE))+IF(AH38="",0,VLOOKUP(AH38,Bausteine!$A$2:$AY$76,8,FALSE))+IF(AQ38="",0,VLOOKUP(AQ38,Bausteine!$A$2:$AY$76,8,FALSE))+AJ38</f>
        <v/>
      </c>
      <c r="U38">
        <f>IF(C38="",0,VLOOKUP(C38,Bausteine!$A$2:$AY$76,9,FALSE))+IF(D38="",0,VLOOKUP(D38,Bausteine!$A$2:$AY$76,9,FALSE))+IF(E38="",0,VLOOKUP(E38,Bausteine!$A$2:$AY$76,9,FALSE))+IF(F38="",0,VLOOKUP(F38,Bausteine!$A$2:$AY$76,9,FALSE))+IF(G38="",0,VLOOKUP(G38,Bausteine!$A$2:$AY$76,9,FALSE))+IF(H38="",0,VLOOKUP(H38,Bausteine!$A$2:$AY$76,9,FALSE))+IF(I38="",0,VLOOKUP(I38,Bausteine!$A$2:$AY$76,9,FALSE))+IF(J38="",0,VLOOKUP(J38,Bausteine!$A$2:$AY$76,9,FALSE))+IF(K38="",0,VLOOKUP(K38,Bausteine!$A$2:$AY$76,9,FALSE))+IF(L38="",0,VLOOKUP(L38,Bausteine!$A$2:$AY$76,9,FALSE))+IF(AC38="",0,VLOOKUP(AC38,Bausteine!$A$2:$AY$76,9,FALSE))+IF(AF38="",0,VLOOKUP(AF38,Bausteine!$A$2:$AY$76,9,FALSE))+IF(AG38="",0,VLOOKUP(AG38,Bausteine!$A$2:$AY$76,9,FALSE))+IF(AH38="",0,VLOOKUP(AH38,Bausteine!$A$2:$AY$76,9,FALSE))+IF(AQ38="",0,VLOOKUP(AQ38,Bausteine!$A$2:$AY$76,9,FALSE))</f>
        <v/>
      </c>
      <c r="V38">
        <f>IF(D38="",0,VLOOKUP(D38,Bausteine!$A$2:$AY$76,10,FALSE))-U38/IF(E38="",0,VLOOKUP(E38,Bausteine!$A$2:$AY$76,11,FALSE))</f>
        <v/>
      </c>
      <c r="W38">
        <f>IF(Y38&lt;&gt;"OK","",ROUND(MIN(IF(C38="",0,VLOOKUP(C38,Bausteine!$A$2:$AY$76,21,FALSE)),IF(AQ38="",0,VLOOKUP(AQ38,Bausteine!$A$2:$AY$76,21,FALSE)),IF(C38="",0,VLOOKUP(C38,Bausteine!$A$2:$AY$76,20,FALSE))*(V38/T38/(IF(C38="",0,VLOOKUP(C38,Bausteine!$A$2:$AY$76,19,FALSE))/IF(C38="",0,VLOOKUP(C38,Bausteine!$A$2:$AY$76,18,FALSE))))^Parameter!$B$3),0))</f>
        <v/>
      </c>
      <c r="X38">
        <f>IF(F38="",0,VLOOKUP(F38,Bausteine!$A$2:$AY$76,14,FALSE))</f>
        <v/>
      </c>
      <c r="Y38">
        <f>IFERROR(IF(OR(AD38&lt;=0,AD38&gt;1,R38&lt;=0,T38&lt;=0,V38&lt;=0,U38&gt;IF(E38="",0,VLOOKUP(E38,Bausteine!$A$2:$AY$76,12,FALSE)),T38&gt;MIN(IF(C38="",0,VLOOKUP(C38,Bausteine!$A$2:$AY$76,22,FALSE)),IF(AQ38="",0,VLOOKUP(AQ38,Bausteine!$A$2:$AY$76,22,FALSE))),IF(E38="",0,VLOOKUP(E38,Bausteine!$A$2:$AY$76,11,FALSE))&lt;=0,IF(E38="",0,VLOOKUP(E38,Bausteine!$A$2:$AY$76,11,FALSE))&gt;1),"UNGUELTIG","OK"),"FEHLER")</f>
        <v/>
      </c>
      <c r="Z38" t="n">
        <v>600</v>
      </c>
      <c r="AA38" t="n">
        <v>103</v>
      </c>
      <c r="AB38" t="inlineStr"/>
      <c r="AC38" t="inlineStr"/>
      <c r="AD38">
        <f>IF(AC38="",1,IF(AC38="",0,VLOOKUP(AC38,Bausteine!$A$2:$AY$76,37,FALSE))/100)</f>
        <v/>
      </c>
      <c r="AE38">
        <f>P38*AD38</f>
        <v/>
      </c>
      <c r="AF38" t="inlineStr"/>
      <c r="AG38" t="inlineStr"/>
      <c r="AH38" t="inlineStr"/>
      <c r="AI38">
        <f>SUMIF(Startbesatzung!$A$2:$A$7,A38,Startbesatzung!$D$2:$D$7)</f>
        <v/>
      </c>
      <c r="AJ38">
        <f>SUMIF(Startbesatzung!$A$2:$A$7,A38,Startbesatzung!$E$2:$E$7)</f>
        <v/>
      </c>
      <c r="AK38">
        <f>MAX(0,IF(Startbesatzung!A2=A38,Startbesatzung!G2,0),IF(Startbesatzung!A3=A38,Startbesatzung!G3,0),IF(Startbesatzung!A4=A38,Startbesatzung!G4,0),IF(Startbesatzung!A5=A38,Startbesatzung!G5,0),IF(Startbesatzung!A6=A38,Startbesatzung!G6,0),IF(Startbesatzung!A7=A38,Startbesatzung!G7,0))</f>
        <v/>
      </c>
      <c r="AL38">
        <f>IF(AF38="","",IF(IF(AH38="",0,VLOOKUP(AH38,Bausteine!$A$2:$AY$76,38,FALSE))&gt;0,IF(AH38="",0,VLOOKUP(AH38,Bausteine!$A$2:$AY$76,38,FALSE)),IF(AG38="",0,VLOOKUP(AG38,Bausteine!$A$2:$AY$76,28,FALSE))))</f>
        <v/>
      </c>
      <c r="AM38">
        <f>IF(AF38="","",IF(AG38="",0,VLOOKUP(AG38,Bausteine!$A$2:$AY$76,44,FALSE)))</f>
        <v/>
      </c>
      <c r="AN38">
        <f>IF(AF38="","",IF(AF38="",0,VLOOKUP(AF38,Bausteine!$A$2:$AY$76,27,FALSE)))</f>
        <v/>
      </c>
      <c r="AO38">
        <f>IF(AF38="","",IF(AF38="",0,VLOOKUP(AF38,Bausteine!$A$2:$AY$76,25,FALSE)))</f>
        <v/>
      </c>
      <c r="AP38">
        <f>IF(AF38="","",IF(AH38="",0,VLOOKUP(AH38,Bausteine!$A$2:$AY$76,29,FALSE)))</f>
        <v/>
      </c>
      <c r="AQ38" t="inlineStr">
        <is>
          <t>tracks-standard</t>
        </is>
      </c>
      <c r="AR38">
        <f>IF(AQ38="",0,VLOOKUP(AQ38,Bausteine!$A$2:$AY$76,48,FALSE))</f>
        <v/>
      </c>
      <c r="AS38">
        <f>MIN(IF(AQ38="",0,VLOOKUP(AQ38,Bausteine!$A$2:$AY$76,50,FALSE)),IF(C38="",0,VLOOKUP(C38,Bausteine!$A$2:$AY$76,51,FALSE)))</f>
        <v/>
      </c>
    </row>
    <row r="39">
      <c r="A39" t="inlineStr">
        <is>
          <t>Gatling Tank</t>
        </is>
      </c>
      <c r="B39" t="inlineStr">
        <is>
          <t>china</t>
        </is>
      </c>
      <c r="C39" t="inlineStr">
        <is>
          <t>gatling-chassis</t>
        </is>
      </c>
      <c r="D39" t="inlineStr">
        <is>
          <t>diesel</t>
        </is>
      </c>
      <c r="E39" t="inlineStr">
        <is>
          <t>baseline-generator</t>
        </is>
      </c>
      <c r="F39" t="inlineStr">
        <is>
          <t>heavy</t>
        </is>
      </c>
      <c r="G39" t="inlineStr">
        <is>
          <t>gatling-turret</t>
        </is>
      </c>
      <c r="H39" t="inlineStr">
        <is>
          <t>gatling-gun</t>
        </is>
      </c>
      <c r="I39" t="inlineStr">
        <is>
          <t>gatling-rounds</t>
        </is>
      </c>
      <c r="J39" t="inlineStr"/>
      <c r="K39" t="inlineStr"/>
      <c r="L39" t="inlineStr"/>
      <c r="M39">
        <f>IF(C39="",0,VLOOKUP(C39,Bausteine!$A$2:$AY$76,4,FALSE))+IF(D39="",0,VLOOKUP(D39,Bausteine!$A$2:$AY$76,4,FALSE))+IF(E39="",0,VLOOKUP(E39,Bausteine!$A$2:$AY$76,4,FALSE))+IF(F39="",0,VLOOKUP(F39,Bausteine!$A$2:$AY$76,4,FALSE))+IF(G39="",0,VLOOKUP(G39,Bausteine!$A$2:$AY$76,4,FALSE))+IF(H39="",0,VLOOKUP(H39,Bausteine!$A$2:$AY$76,4,FALSE))+IF(I39="",0,VLOOKUP(I39,Bausteine!$A$2:$AY$76,4,FALSE))+IF(J39="",0,VLOOKUP(J39,Bausteine!$A$2:$AY$76,4,FALSE))+IF(K39="",0,VLOOKUP(K39,Bausteine!$A$2:$AY$76,4,FALSE))+IF(L39="",0,VLOOKUP(L39,Bausteine!$A$2:$AY$76,4,FALSE))+IF(AC39="",0,VLOOKUP(AC39,Bausteine!$A$2:$AY$76,4,FALSE))+IF(AF39="",0,VLOOKUP(AF39,Bausteine!$A$2:$AY$76,4,FALSE))+IF(AG39="",0,VLOOKUP(AG39,Bausteine!$A$2:$AY$76,4,FALSE))+IF(AH39="",0,VLOOKUP(AH39,Bausteine!$A$2:$AY$76,4,FALSE))+IF(AQ39="",0,VLOOKUP(AQ39,Bausteine!$A$2:$AY$76,4,FALSE))</f>
        <v/>
      </c>
      <c r="N39">
        <f>IF(C39="",0,VLOOKUP(C39,Bausteine!$A$2:$AY$76,5,FALSE))+IF(D39="",0,VLOOKUP(D39,Bausteine!$A$2:$AY$76,5,FALSE))+IF(E39="",0,VLOOKUP(E39,Bausteine!$A$2:$AY$76,5,FALSE))+IF(F39="",0,VLOOKUP(F39,Bausteine!$A$2:$AY$76,5,FALSE))+IF(G39="",0,VLOOKUP(G39,Bausteine!$A$2:$AY$76,5,FALSE))+IF(H39="",0,VLOOKUP(H39,Bausteine!$A$2:$AY$76,5,FALSE))+IF(I39="",0,VLOOKUP(I39,Bausteine!$A$2:$AY$76,5,FALSE))+IF(J39="",0,VLOOKUP(J39,Bausteine!$A$2:$AY$76,5,FALSE))+IF(K39="",0,VLOOKUP(K39,Bausteine!$A$2:$AY$76,5,FALSE))+IF(L39="",0,VLOOKUP(L39,Bausteine!$A$2:$AY$76,5,FALSE))+IF(AC39="",0,VLOOKUP(AC39,Bausteine!$A$2:$AY$76,5,FALSE))+IF(AF39="",0,VLOOKUP(AF39,Bausteine!$A$2:$AY$76,5,FALSE))+IF(AG39="",0,VLOOKUP(AG39,Bausteine!$A$2:$AY$76,5,FALSE))+IF(AH39="",0,VLOOKUP(AH39,Bausteine!$A$2:$AY$76,5,FALSE))+IF(AQ39="",0,VLOOKUP(AQ39,Bausteine!$A$2:$AY$76,5,FALSE))</f>
        <v/>
      </c>
      <c r="O39">
        <f>MAX(IF(C39="",0,VLOOKUP(C39,Bausteine!$A$2:$AY$76,6,FALSE)),IF(D39="",0,VLOOKUP(D39,Bausteine!$A$2:$AY$76,6,FALSE)),IF(E39="",0,VLOOKUP(E39,Bausteine!$A$2:$AY$76,6,FALSE)),IF(F39="",0,VLOOKUP(F39,Bausteine!$A$2:$AY$76,6,FALSE)),IF(G39="",0,VLOOKUP(G39,Bausteine!$A$2:$AY$76,6,FALSE)),IF(H39="",0,VLOOKUP(H39,Bausteine!$A$2:$AY$76,6,FALSE)),IF(I39="",0,VLOOKUP(I39,Bausteine!$A$2:$AY$76,6,FALSE)),IF(J39="",0,VLOOKUP(J39,Bausteine!$A$2:$AY$76,6,FALSE)),IF(K39="",0,VLOOKUP(K39,Bausteine!$A$2:$AY$76,6,FALSE)),IF(L39="",0,VLOOKUP(L39,Bausteine!$A$2:$AY$76,6,FALSE)),IF(AC39="",0,VLOOKUP(AC39,Bausteine!$A$2:$AY$76,6,FALSE)),IF(AF39="",0,VLOOKUP(AF39,Bausteine!$A$2:$AY$76,6,FALSE)),IF(AG39="",0,VLOOKUP(AG39,Bausteine!$A$2:$AY$76,6,FALSE)),IF(AH39="",0,VLOOKUP(AH39,Bausteine!$A$2:$AY$76,6,FALSE)),IF(AQ39="",0,VLOOKUP(AQ39,Bausteine!$A$2:$AY$76,6,FALSE)),AK39)</f>
        <v/>
      </c>
      <c r="P39">
        <f>IF(C39="",0,VLOOKUP(C39,Bausteine!$A$2:$AY$76,7,FALSE))*IF(F39="",0,VLOOKUP(F39,Bausteine!$A$2:$AY$76,17,FALSE))/100+IF(D39="",0,VLOOKUP(D39,Bausteine!$A$2:$AY$76,7,FALSE))+IF(E39="",0,VLOOKUP(E39,Bausteine!$A$2:$AY$76,7,FALSE))+IF(G39="",0,VLOOKUP(G39,Bausteine!$A$2:$AY$76,7,FALSE))+IF(H39="",0,VLOOKUP(H39,Bausteine!$A$2:$AY$76,7,FALSE))+IF(I39="",0,VLOOKUP(I39,Bausteine!$A$2:$AY$76,7,FALSE))+IF(J39="",0,VLOOKUP(J39,Bausteine!$A$2:$AY$76,7,FALSE))+IF(K39="",0,VLOOKUP(K39,Bausteine!$A$2:$AY$76,7,FALSE))+IF(L39="",0,VLOOKUP(L39,Bausteine!$A$2:$AY$76,7,FALSE))+IF(AC39="",0,VLOOKUP(AC39,Bausteine!$A$2:$AY$76,7,FALSE))+IF(AF39="",0,VLOOKUP(AF39,Bausteine!$A$2:$AY$76,7,FALSE))+IF(AG39="",0,VLOOKUP(AG39,Bausteine!$A$2:$AY$76,7,FALSE))+IF(AH39="",0,VLOOKUP(AH39,Bausteine!$A$2:$AY$76,7,FALSE))+IF(AQ39="",0,VLOOKUP(AQ39,Bausteine!$A$2:$AY$76,7,FALSE))+AI39</f>
        <v/>
      </c>
      <c r="Q39">
        <f>N39*Parameter!$B$2</f>
        <v/>
      </c>
      <c r="R39">
        <f>AE39-Q39</f>
        <v/>
      </c>
      <c r="S39">
        <f>IF(C39="",0,VLOOKUP(C39,Bausteine!$A$2:$AY$76,13,FALSE))*IF(F39="",0,VLOOKUP(F39,Bausteine!$A$2:$AY$76,16,FALSE))/100</f>
        <v/>
      </c>
      <c r="T39">
        <f>IF(C39="",0,VLOOKUP(C39,Bausteine!$A$2:$AY$76,8,FALSE))*IF(F39="",0,VLOOKUP(F39,Bausteine!$A$2:$AY$76,15,FALSE))/100+IF(D39="",0,VLOOKUP(D39,Bausteine!$A$2:$AY$76,8,FALSE))+IF(E39="",0,VLOOKUP(E39,Bausteine!$A$2:$AY$76,8,FALSE))+IF(G39="",0,VLOOKUP(G39,Bausteine!$A$2:$AY$76,8,FALSE))+IF(H39="",0,VLOOKUP(H39,Bausteine!$A$2:$AY$76,8,FALSE))+IF(I39="",0,VLOOKUP(I39,Bausteine!$A$2:$AY$76,8,FALSE))+IF(J39="",0,VLOOKUP(J39,Bausteine!$A$2:$AY$76,8,FALSE))+IF(K39="",0,VLOOKUP(K39,Bausteine!$A$2:$AY$76,8,FALSE))+IF(L39="",0,VLOOKUP(L39,Bausteine!$A$2:$AY$76,8,FALSE))+IF(AC39="",0,VLOOKUP(AC39,Bausteine!$A$2:$AY$76,8,FALSE))+IF(AF39="",0,VLOOKUP(AF39,Bausteine!$A$2:$AY$76,8,FALSE))+IF(AG39="",0,VLOOKUP(AG39,Bausteine!$A$2:$AY$76,8,FALSE))+IF(AH39="",0,VLOOKUP(AH39,Bausteine!$A$2:$AY$76,8,FALSE))+IF(AQ39="",0,VLOOKUP(AQ39,Bausteine!$A$2:$AY$76,8,FALSE))+AJ39</f>
        <v/>
      </c>
      <c r="U39">
        <f>IF(C39="",0,VLOOKUP(C39,Bausteine!$A$2:$AY$76,9,FALSE))+IF(D39="",0,VLOOKUP(D39,Bausteine!$A$2:$AY$76,9,FALSE))+IF(E39="",0,VLOOKUP(E39,Bausteine!$A$2:$AY$76,9,FALSE))+IF(F39="",0,VLOOKUP(F39,Bausteine!$A$2:$AY$76,9,FALSE))+IF(G39="",0,VLOOKUP(G39,Bausteine!$A$2:$AY$76,9,FALSE))+IF(H39="",0,VLOOKUP(H39,Bausteine!$A$2:$AY$76,9,FALSE))+IF(I39="",0,VLOOKUP(I39,Bausteine!$A$2:$AY$76,9,FALSE))+IF(J39="",0,VLOOKUP(J39,Bausteine!$A$2:$AY$76,9,FALSE))+IF(K39="",0,VLOOKUP(K39,Bausteine!$A$2:$AY$76,9,FALSE))+IF(L39="",0,VLOOKUP(L39,Bausteine!$A$2:$AY$76,9,FALSE))+IF(AC39="",0,VLOOKUP(AC39,Bausteine!$A$2:$AY$76,9,FALSE))+IF(AF39="",0,VLOOKUP(AF39,Bausteine!$A$2:$AY$76,9,FALSE))+IF(AG39="",0,VLOOKUP(AG39,Bausteine!$A$2:$AY$76,9,FALSE))+IF(AH39="",0,VLOOKUP(AH39,Bausteine!$A$2:$AY$76,9,FALSE))+IF(AQ39="",0,VLOOKUP(AQ39,Bausteine!$A$2:$AY$76,9,FALSE))</f>
        <v/>
      </c>
      <c r="V39">
        <f>IF(D39="",0,VLOOKUP(D39,Bausteine!$A$2:$AY$76,10,FALSE))-U39/IF(E39="",0,VLOOKUP(E39,Bausteine!$A$2:$AY$76,11,FALSE))</f>
        <v/>
      </c>
      <c r="W39">
        <f>IF(Y39&lt;&gt;"OK","",ROUND(MIN(IF(C39="",0,VLOOKUP(C39,Bausteine!$A$2:$AY$76,21,FALSE)),IF(AQ39="",0,VLOOKUP(AQ39,Bausteine!$A$2:$AY$76,21,FALSE)),IF(C39="",0,VLOOKUP(C39,Bausteine!$A$2:$AY$76,20,FALSE))*(V39/T39/(IF(C39="",0,VLOOKUP(C39,Bausteine!$A$2:$AY$76,19,FALSE))/IF(C39="",0,VLOOKUP(C39,Bausteine!$A$2:$AY$76,18,FALSE))))^Parameter!$B$3),0))</f>
        <v/>
      </c>
      <c r="X39">
        <f>IF(F39="",0,VLOOKUP(F39,Bausteine!$A$2:$AY$76,14,FALSE))</f>
        <v/>
      </c>
      <c r="Y39">
        <f>IFERROR(IF(OR(AD39&lt;=0,AD39&gt;1,R39&lt;=0,T39&lt;=0,V39&lt;=0,U39&gt;IF(E39="",0,VLOOKUP(E39,Bausteine!$A$2:$AY$76,12,FALSE)),T39&gt;MIN(IF(C39="",0,VLOOKUP(C39,Bausteine!$A$2:$AY$76,22,FALSE)),IF(AQ39="",0,VLOOKUP(AQ39,Bausteine!$A$2:$AY$76,22,FALSE))),IF(E39="",0,VLOOKUP(E39,Bausteine!$A$2:$AY$76,11,FALSE))&lt;=0,IF(E39="",0,VLOOKUP(E39,Bausteine!$A$2:$AY$76,11,FALSE))&gt;1),"UNGUELTIG","OK"),"FEHLER")</f>
        <v/>
      </c>
      <c r="Z39" t="n">
        <v>800</v>
      </c>
      <c r="AA39" t="n">
        <v>108</v>
      </c>
      <c r="AB39" t="inlineStr">
        <is>
          <t>AA/ground spin-up and 6-cell sight override recorded, not implemented in calculator.</t>
        </is>
      </c>
      <c r="AC39" t="inlineStr"/>
      <c r="AD39">
        <f>IF(AC39="",1,IF(AC39="",0,VLOOKUP(AC39,Bausteine!$A$2:$AY$76,37,FALSE))/100)</f>
        <v/>
      </c>
      <c r="AE39">
        <f>P39*AD39</f>
        <v/>
      </c>
      <c r="AF39" t="inlineStr"/>
      <c r="AG39" t="inlineStr"/>
      <c r="AH39" t="inlineStr"/>
      <c r="AI39">
        <f>SUMIF(Startbesatzung!$A$2:$A$7,A39,Startbesatzung!$D$2:$D$7)</f>
        <v/>
      </c>
      <c r="AJ39">
        <f>SUMIF(Startbesatzung!$A$2:$A$7,A39,Startbesatzung!$E$2:$E$7)</f>
        <v/>
      </c>
      <c r="AK39">
        <f>MAX(0,IF(Startbesatzung!A2=A39,Startbesatzung!G2,0),IF(Startbesatzung!A3=A39,Startbesatzung!G3,0),IF(Startbesatzung!A4=A39,Startbesatzung!G4,0),IF(Startbesatzung!A5=A39,Startbesatzung!G5,0),IF(Startbesatzung!A6=A39,Startbesatzung!G6,0),IF(Startbesatzung!A7=A39,Startbesatzung!G7,0))</f>
        <v/>
      </c>
      <c r="AL39">
        <f>IF(AF39="","",IF(IF(AH39="",0,VLOOKUP(AH39,Bausteine!$A$2:$AY$76,38,FALSE))&gt;0,IF(AH39="",0,VLOOKUP(AH39,Bausteine!$A$2:$AY$76,38,FALSE)),IF(AG39="",0,VLOOKUP(AG39,Bausteine!$A$2:$AY$76,28,FALSE))))</f>
        <v/>
      </c>
      <c r="AM39">
        <f>IF(AF39="","",IF(AG39="",0,VLOOKUP(AG39,Bausteine!$A$2:$AY$76,44,FALSE)))</f>
        <v/>
      </c>
      <c r="AN39">
        <f>IF(AF39="","",IF(AF39="",0,VLOOKUP(AF39,Bausteine!$A$2:$AY$76,27,FALSE)))</f>
        <v/>
      </c>
      <c r="AO39">
        <f>IF(AF39="","",IF(AF39="",0,VLOOKUP(AF39,Bausteine!$A$2:$AY$76,25,FALSE)))</f>
        <v/>
      </c>
      <c r="AP39">
        <f>IF(AF39="","",IF(AH39="",0,VLOOKUP(AH39,Bausteine!$A$2:$AY$76,29,FALSE)))</f>
        <v/>
      </c>
      <c r="AQ39" t="inlineStr">
        <is>
          <t>tracks-standard</t>
        </is>
      </c>
      <c r="AR39">
        <f>IF(AQ39="",0,VLOOKUP(AQ39,Bausteine!$A$2:$AY$76,48,FALSE))</f>
        <v/>
      </c>
      <c r="AS39">
        <f>MIN(IF(AQ39="",0,VLOOKUP(AQ39,Bausteine!$A$2:$AY$76,50,FALSE)),IF(C39="",0,VLOOKUP(C39,Bausteine!$A$2:$AY$76,51,FALSE)))</f>
        <v/>
      </c>
    </row>
    <row r="40">
      <c r="A40" t="inlineStr">
        <is>
          <t>Gatling Tank PDL</t>
        </is>
      </c>
      <c r="B40" t="inlineStr">
        <is>
          <t>china</t>
        </is>
      </c>
      <c r="C40" t="inlineStr">
        <is>
          <t>gatling-chassis</t>
        </is>
      </c>
      <c r="D40" t="inlineStr">
        <is>
          <t>diesel-large</t>
        </is>
      </c>
      <c r="E40" t="inlineStr">
        <is>
          <t>efficient-generator</t>
        </is>
      </c>
      <c r="F40" t="inlineStr">
        <is>
          <t>heavy</t>
        </is>
      </c>
      <c r="G40" t="inlineStr">
        <is>
          <t>gatling-turret</t>
        </is>
      </c>
      <c r="H40" t="inlineStr">
        <is>
          <t>gatling-gun</t>
        </is>
      </c>
      <c r="I40" t="inlineStr">
        <is>
          <t>gatling-rounds</t>
        </is>
      </c>
      <c r="J40" t="inlineStr">
        <is>
          <t>pdl</t>
        </is>
      </c>
      <c r="K40" t="inlineStr"/>
      <c r="L40" t="inlineStr"/>
      <c r="M40">
        <f>IF(C40="",0,VLOOKUP(C40,Bausteine!$A$2:$AY$76,4,FALSE))+IF(D40="",0,VLOOKUP(D40,Bausteine!$A$2:$AY$76,4,FALSE))+IF(E40="",0,VLOOKUP(E40,Bausteine!$A$2:$AY$76,4,FALSE))+IF(F40="",0,VLOOKUP(F40,Bausteine!$A$2:$AY$76,4,FALSE))+IF(G40="",0,VLOOKUP(G40,Bausteine!$A$2:$AY$76,4,FALSE))+IF(H40="",0,VLOOKUP(H40,Bausteine!$A$2:$AY$76,4,FALSE))+IF(I40="",0,VLOOKUP(I40,Bausteine!$A$2:$AY$76,4,FALSE))+IF(J40="",0,VLOOKUP(J40,Bausteine!$A$2:$AY$76,4,FALSE))+IF(K40="",0,VLOOKUP(K40,Bausteine!$A$2:$AY$76,4,FALSE))+IF(L40="",0,VLOOKUP(L40,Bausteine!$A$2:$AY$76,4,FALSE))+IF(AC40="",0,VLOOKUP(AC40,Bausteine!$A$2:$AY$76,4,FALSE))+IF(AF40="",0,VLOOKUP(AF40,Bausteine!$A$2:$AY$76,4,FALSE))+IF(AG40="",0,VLOOKUP(AG40,Bausteine!$A$2:$AY$76,4,FALSE))+IF(AH40="",0,VLOOKUP(AH40,Bausteine!$A$2:$AY$76,4,FALSE))+IF(AQ40="",0,VLOOKUP(AQ40,Bausteine!$A$2:$AY$76,4,FALSE))</f>
        <v/>
      </c>
      <c r="N40">
        <f>IF(C40="",0,VLOOKUP(C40,Bausteine!$A$2:$AY$76,5,FALSE))+IF(D40="",0,VLOOKUP(D40,Bausteine!$A$2:$AY$76,5,FALSE))+IF(E40="",0,VLOOKUP(E40,Bausteine!$A$2:$AY$76,5,FALSE))+IF(F40="",0,VLOOKUP(F40,Bausteine!$A$2:$AY$76,5,FALSE))+IF(G40="",0,VLOOKUP(G40,Bausteine!$A$2:$AY$76,5,FALSE))+IF(H40="",0,VLOOKUP(H40,Bausteine!$A$2:$AY$76,5,FALSE))+IF(I40="",0,VLOOKUP(I40,Bausteine!$A$2:$AY$76,5,FALSE))+IF(J40="",0,VLOOKUP(J40,Bausteine!$A$2:$AY$76,5,FALSE))+IF(K40="",0,VLOOKUP(K40,Bausteine!$A$2:$AY$76,5,FALSE))+IF(L40="",0,VLOOKUP(L40,Bausteine!$A$2:$AY$76,5,FALSE))+IF(AC40="",0,VLOOKUP(AC40,Bausteine!$A$2:$AY$76,5,FALSE))+IF(AF40="",0,VLOOKUP(AF40,Bausteine!$A$2:$AY$76,5,FALSE))+IF(AG40="",0,VLOOKUP(AG40,Bausteine!$A$2:$AY$76,5,FALSE))+IF(AH40="",0,VLOOKUP(AH40,Bausteine!$A$2:$AY$76,5,FALSE))+IF(AQ40="",0,VLOOKUP(AQ40,Bausteine!$A$2:$AY$76,5,FALSE))</f>
        <v/>
      </c>
      <c r="O40">
        <f>MAX(IF(C40="",0,VLOOKUP(C40,Bausteine!$A$2:$AY$76,6,FALSE)),IF(D40="",0,VLOOKUP(D40,Bausteine!$A$2:$AY$76,6,FALSE)),IF(E40="",0,VLOOKUP(E40,Bausteine!$A$2:$AY$76,6,FALSE)),IF(F40="",0,VLOOKUP(F40,Bausteine!$A$2:$AY$76,6,FALSE)),IF(G40="",0,VLOOKUP(G40,Bausteine!$A$2:$AY$76,6,FALSE)),IF(H40="",0,VLOOKUP(H40,Bausteine!$A$2:$AY$76,6,FALSE)),IF(I40="",0,VLOOKUP(I40,Bausteine!$A$2:$AY$76,6,FALSE)),IF(J40="",0,VLOOKUP(J40,Bausteine!$A$2:$AY$76,6,FALSE)),IF(K40="",0,VLOOKUP(K40,Bausteine!$A$2:$AY$76,6,FALSE)),IF(L40="",0,VLOOKUP(L40,Bausteine!$A$2:$AY$76,6,FALSE)),IF(AC40="",0,VLOOKUP(AC40,Bausteine!$A$2:$AY$76,6,FALSE)),IF(AF40="",0,VLOOKUP(AF40,Bausteine!$A$2:$AY$76,6,FALSE)),IF(AG40="",0,VLOOKUP(AG40,Bausteine!$A$2:$AY$76,6,FALSE)),IF(AH40="",0,VLOOKUP(AH40,Bausteine!$A$2:$AY$76,6,FALSE)),IF(AQ40="",0,VLOOKUP(AQ40,Bausteine!$A$2:$AY$76,6,FALSE)),AK40)</f>
        <v/>
      </c>
      <c r="P40">
        <f>IF(C40="",0,VLOOKUP(C40,Bausteine!$A$2:$AY$76,7,FALSE))*IF(F40="",0,VLOOKUP(F40,Bausteine!$A$2:$AY$76,17,FALSE))/100+IF(D40="",0,VLOOKUP(D40,Bausteine!$A$2:$AY$76,7,FALSE))+IF(E40="",0,VLOOKUP(E40,Bausteine!$A$2:$AY$76,7,FALSE))+IF(G40="",0,VLOOKUP(G40,Bausteine!$A$2:$AY$76,7,FALSE))+IF(H40="",0,VLOOKUP(H40,Bausteine!$A$2:$AY$76,7,FALSE))+IF(I40="",0,VLOOKUP(I40,Bausteine!$A$2:$AY$76,7,FALSE))+IF(J40="",0,VLOOKUP(J40,Bausteine!$A$2:$AY$76,7,FALSE))+IF(K40="",0,VLOOKUP(K40,Bausteine!$A$2:$AY$76,7,FALSE))+IF(L40="",0,VLOOKUP(L40,Bausteine!$A$2:$AY$76,7,FALSE))+IF(AC40="",0,VLOOKUP(AC40,Bausteine!$A$2:$AY$76,7,FALSE))+IF(AF40="",0,VLOOKUP(AF40,Bausteine!$A$2:$AY$76,7,FALSE))+IF(AG40="",0,VLOOKUP(AG40,Bausteine!$A$2:$AY$76,7,FALSE))+IF(AH40="",0,VLOOKUP(AH40,Bausteine!$A$2:$AY$76,7,FALSE))+IF(AQ40="",0,VLOOKUP(AQ40,Bausteine!$A$2:$AY$76,7,FALSE))+AI40</f>
        <v/>
      </c>
      <c r="Q40">
        <f>N40*Parameter!$B$2</f>
        <v/>
      </c>
      <c r="R40">
        <f>AE40-Q40</f>
        <v/>
      </c>
      <c r="S40">
        <f>IF(C40="",0,VLOOKUP(C40,Bausteine!$A$2:$AY$76,13,FALSE))*IF(F40="",0,VLOOKUP(F40,Bausteine!$A$2:$AY$76,16,FALSE))/100</f>
        <v/>
      </c>
      <c r="T40">
        <f>IF(C40="",0,VLOOKUP(C40,Bausteine!$A$2:$AY$76,8,FALSE))*IF(F40="",0,VLOOKUP(F40,Bausteine!$A$2:$AY$76,15,FALSE))/100+IF(D40="",0,VLOOKUP(D40,Bausteine!$A$2:$AY$76,8,FALSE))+IF(E40="",0,VLOOKUP(E40,Bausteine!$A$2:$AY$76,8,FALSE))+IF(G40="",0,VLOOKUP(G40,Bausteine!$A$2:$AY$76,8,FALSE))+IF(H40="",0,VLOOKUP(H40,Bausteine!$A$2:$AY$76,8,FALSE))+IF(I40="",0,VLOOKUP(I40,Bausteine!$A$2:$AY$76,8,FALSE))+IF(J40="",0,VLOOKUP(J40,Bausteine!$A$2:$AY$76,8,FALSE))+IF(K40="",0,VLOOKUP(K40,Bausteine!$A$2:$AY$76,8,FALSE))+IF(L40="",0,VLOOKUP(L40,Bausteine!$A$2:$AY$76,8,FALSE))+IF(AC40="",0,VLOOKUP(AC40,Bausteine!$A$2:$AY$76,8,FALSE))+IF(AF40="",0,VLOOKUP(AF40,Bausteine!$A$2:$AY$76,8,FALSE))+IF(AG40="",0,VLOOKUP(AG40,Bausteine!$A$2:$AY$76,8,FALSE))+IF(AH40="",0,VLOOKUP(AH40,Bausteine!$A$2:$AY$76,8,FALSE))+IF(AQ40="",0,VLOOKUP(AQ40,Bausteine!$A$2:$AY$76,8,FALSE))+AJ40</f>
        <v/>
      </c>
      <c r="U40">
        <f>IF(C40="",0,VLOOKUP(C40,Bausteine!$A$2:$AY$76,9,FALSE))+IF(D40="",0,VLOOKUP(D40,Bausteine!$A$2:$AY$76,9,FALSE))+IF(E40="",0,VLOOKUP(E40,Bausteine!$A$2:$AY$76,9,FALSE))+IF(F40="",0,VLOOKUP(F40,Bausteine!$A$2:$AY$76,9,FALSE))+IF(G40="",0,VLOOKUP(G40,Bausteine!$A$2:$AY$76,9,FALSE))+IF(H40="",0,VLOOKUP(H40,Bausteine!$A$2:$AY$76,9,FALSE))+IF(I40="",0,VLOOKUP(I40,Bausteine!$A$2:$AY$76,9,FALSE))+IF(J40="",0,VLOOKUP(J40,Bausteine!$A$2:$AY$76,9,FALSE))+IF(K40="",0,VLOOKUP(K40,Bausteine!$A$2:$AY$76,9,FALSE))+IF(L40="",0,VLOOKUP(L40,Bausteine!$A$2:$AY$76,9,FALSE))+IF(AC40="",0,VLOOKUP(AC40,Bausteine!$A$2:$AY$76,9,FALSE))+IF(AF40="",0,VLOOKUP(AF40,Bausteine!$A$2:$AY$76,9,FALSE))+IF(AG40="",0,VLOOKUP(AG40,Bausteine!$A$2:$AY$76,9,FALSE))+IF(AH40="",0,VLOOKUP(AH40,Bausteine!$A$2:$AY$76,9,FALSE))+IF(AQ40="",0,VLOOKUP(AQ40,Bausteine!$A$2:$AY$76,9,FALSE))</f>
        <v/>
      </c>
      <c r="V40">
        <f>IF(D40="",0,VLOOKUP(D40,Bausteine!$A$2:$AY$76,10,FALSE))-U40/IF(E40="",0,VLOOKUP(E40,Bausteine!$A$2:$AY$76,11,FALSE))</f>
        <v/>
      </c>
      <c r="W40">
        <f>IF(Y40&lt;&gt;"OK","",ROUND(MIN(IF(C40="",0,VLOOKUP(C40,Bausteine!$A$2:$AY$76,21,FALSE)),IF(AQ40="",0,VLOOKUP(AQ40,Bausteine!$A$2:$AY$76,21,FALSE)),IF(C40="",0,VLOOKUP(C40,Bausteine!$A$2:$AY$76,20,FALSE))*(V40/T40/(IF(C40="",0,VLOOKUP(C40,Bausteine!$A$2:$AY$76,19,FALSE))/IF(C40="",0,VLOOKUP(C40,Bausteine!$A$2:$AY$76,18,FALSE))))^Parameter!$B$3),0))</f>
        <v/>
      </c>
      <c r="X40">
        <f>IF(F40="",0,VLOOKUP(F40,Bausteine!$A$2:$AY$76,14,FALSE))</f>
        <v/>
      </c>
      <c r="Y40">
        <f>IFERROR(IF(OR(AD40&lt;=0,AD40&gt;1,R40&lt;=0,T40&lt;=0,V40&lt;=0,U40&gt;IF(E40="",0,VLOOKUP(E40,Bausteine!$A$2:$AY$76,12,FALSE)),T40&gt;MIN(IF(C40="",0,VLOOKUP(C40,Bausteine!$A$2:$AY$76,22,FALSE)),IF(AQ40="",0,VLOOKUP(AQ40,Bausteine!$A$2:$AY$76,22,FALSE))),IF(E40="",0,VLOOKUP(E40,Bausteine!$A$2:$AY$76,11,FALSE))&lt;=0,IF(E40="",0,VLOOKUP(E40,Bausteine!$A$2:$AY$76,11,FALSE))&gt;1),"UNGUELTIG","OK"),"FEHLER")</f>
        <v/>
      </c>
      <c r="Z40" t="n">
        <v>1450</v>
      </c>
      <c r="AA40" t="n">
        <v>108</v>
      </c>
      <c r="AB40" t="inlineStr">
        <is>
          <t>Legacy promotion restricted to Tank General; catalog uses China base faction as agreed.</t>
        </is>
      </c>
      <c r="AC40" t="inlineStr"/>
      <c r="AD40">
        <f>IF(AC40="",1,IF(AC40="",0,VLOOKUP(AC40,Bausteine!$A$2:$AY$76,37,FALSE))/100)</f>
        <v/>
      </c>
      <c r="AE40">
        <f>P40*AD40</f>
        <v/>
      </c>
      <c r="AF40" t="inlineStr"/>
      <c r="AG40" t="inlineStr"/>
      <c r="AH40" t="inlineStr"/>
      <c r="AI40">
        <f>SUMIF(Startbesatzung!$A$2:$A$7,A40,Startbesatzung!$D$2:$D$7)</f>
        <v/>
      </c>
      <c r="AJ40">
        <f>SUMIF(Startbesatzung!$A$2:$A$7,A40,Startbesatzung!$E$2:$E$7)</f>
        <v/>
      </c>
      <c r="AK40">
        <f>MAX(0,IF(Startbesatzung!A2=A40,Startbesatzung!G2,0),IF(Startbesatzung!A3=A40,Startbesatzung!G3,0),IF(Startbesatzung!A4=A40,Startbesatzung!G4,0),IF(Startbesatzung!A5=A40,Startbesatzung!G5,0),IF(Startbesatzung!A6=A40,Startbesatzung!G6,0),IF(Startbesatzung!A7=A40,Startbesatzung!G7,0))</f>
        <v/>
      </c>
      <c r="AL40">
        <f>IF(AF40="","",IF(IF(AH40="",0,VLOOKUP(AH40,Bausteine!$A$2:$AY$76,38,FALSE))&gt;0,IF(AH40="",0,VLOOKUP(AH40,Bausteine!$A$2:$AY$76,38,FALSE)),IF(AG40="",0,VLOOKUP(AG40,Bausteine!$A$2:$AY$76,28,FALSE))))</f>
        <v/>
      </c>
      <c r="AM40">
        <f>IF(AF40="","",IF(AG40="",0,VLOOKUP(AG40,Bausteine!$A$2:$AY$76,44,FALSE)))</f>
        <v/>
      </c>
      <c r="AN40">
        <f>IF(AF40="","",IF(AF40="",0,VLOOKUP(AF40,Bausteine!$A$2:$AY$76,27,FALSE)))</f>
        <v/>
      </c>
      <c r="AO40">
        <f>IF(AF40="","",IF(AF40="",0,VLOOKUP(AF40,Bausteine!$A$2:$AY$76,25,FALSE)))</f>
        <v/>
      </c>
      <c r="AP40">
        <f>IF(AF40="","",IF(AH40="",0,VLOOKUP(AH40,Bausteine!$A$2:$AY$76,29,FALSE)))</f>
        <v/>
      </c>
      <c r="AQ40" t="inlineStr">
        <is>
          <t>tracks-standard</t>
        </is>
      </c>
      <c r="AR40">
        <f>IF(AQ40="",0,VLOOKUP(AQ40,Bausteine!$A$2:$AY$76,48,FALSE))</f>
        <v/>
      </c>
      <c r="AS40">
        <f>MIN(IF(AQ40="",0,VLOOKUP(AQ40,Bausteine!$A$2:$AY$76,50,FALSE)),IF(C40="",0,VLOOKUP(C40,Bausteine!$A$2:$AY$76,51,FALSE)))</f>
        <v/>
      </c>
    </row>
    <row r="41">
      <c r="A41" t="inlineStr">
        <is>
          <t>Gatling Tank Reflector</t>
        </is>
      </c>
      <c r="B41" t="inlineStr">
        <is>
          <t>china</t>
        </is>
      </c>
      <c r="C41" t="inlineStr">
        <is>
          <t>gatling-chassis</t>
        </is>
      </c>
      <c r="D41" t="inlineStr">
        <is>
          <t>diesel-large</t>
        </is>
      </c>
      <c r="E41" t="inlineStr">
        <is>
          <t>efficient-generator</t>
        </is>
      </c>
      <c r="F41" t="inlineStr">
        <is>
          <t>reflector</t>
        </is>
      </c>
      <c r="G41" t="inlineStr">
        <is>
          <t>gatling-turret</t>
        </is>
      </c>
      <c r="H41" t="inlineStr">
        <is>
          <t>gatling-gun</t>
        </is>
      </c>
      <c r="I41" t="inlineStr">
        <is>
          <t>gatling-rounds</t>
        </is>
      </c>
      <c r="J41" t="inlineStr"/>
      <c r="K41" t="inlineStr"/>
      <c r="L41" t="inlineStr"/>
      <c r="M41">
        <f>IF(C41="",0,VLOOKUP(C41,Bausteine!$A$2:$AY$76,4,FALSE))+IF(D41="",0,VLOOKUP(D41,Bausteine!$A$2:$AY$76,4,FALSE))+IF(E41="",0,VLOOKUP(E41,Bausteine!$A$2:$AY$76,4,FALSE))+IF(F41="",0,VLOOKUP(F41,Bausteine!$A$2:$AY$76,4,FALSE))+IF(G41="",0,VLOOKUP(G41,Bausteine!$A$2:$AY$76,4,FALSE))+IF(H41="",0,VLOOKUP(H41,Bausteine!$A$2:$AY$76,4,FALSE))+IF(I41="",0,VLOOKUP(I41,Bausteine!$A$2:$AY$76,4,FALSE))+IF(J41="",0,VLOOKUP(J41,Bausteine!$A$2:$AY$76,4,FALSE))+IF(K41="",0,VLOOKUP(K41,Bausteine!$A$2:$AY$76,4,FALSE))+IF(L41="",0,VLOOKUP(L41,Bausteine!$A$2:$AY$76,4,FALSE))+IF(AC41="",0,VLOOKUP(AC41,Bausteine!$A$2:$AY$76,4,FALSE))+IF(AF41="",0,VLOOKUP(AF41,Bausteine!$A$2:$AY$76,4,FALSE))+IF(AG41="",0,VLOOKUP(AG41,Bausteine!$A$2:$AY$76,4,FALSE))+IF(AH41="",0,VLOOKUP(AH41,Bausteine!$A$2:$AY$76,4,FALSE))+IF(AQ41="",0,VLOOKUP(AQ41,Bausteine!$A$2:$AY$76,4,FALSE))</f>
        <v/>
      </c>
      <c r="N41">
        <f>IF(C41="",0,VLOOKUP(C41,Bausteine!$A$2:$AY$76,5,FALSE))+IF(D41="",0,VLOOKUP(D41,Bausteine!$A$2:$AY$76,5,FALSE))+IF(E41="",0,VLOOKUP(E41,Bausteine!$A$2:$AY$76,5,FALSE))+IF(F41="",0,VLOOKUP(F41,Bausteine!$A$2:$AY$76,5,FALSE))+IF(G41="",0,VLOOKUP(G41,Bausteine!$A$2:$AY$76,5,FALSE))+IF(H41="",0,VLOOKUP(H41,Bausteine!$A$2:$AY$76,5,FALSE))+IF(I41="",0,VLOOKUP(I41,Bausteine!$A$2:$AY$76,5,FALSE))+IF(J41="",0,VLOOKUP(J41,Bausteine!$A$2:$AY$76,5,FALSE))+IF(K41="",0,VLOOKUP(K41,Bausteine!$A$2:$AY$76,5,FALSE))+IF(L41="",0,VLOOKUP(L41,Bausteine!$A$2:$AY$76,5,FALSE))+IF(AC41="",0,VLOOKUP(AC41,Bausteine!$A$2:$AY$76,5,FALSE))+IF(AF41="",0,VLOOKUP(AF41,Bausteine!$A$2:$AY$76,5,FALSE))+IF(AG41="",0,VLOOKUP(AG41,Bausteine!$A$2:$AY$76,5,FALSE))+IF(AH41="",0,VLOOKUP(AH41,Bausteine!$A$2:$AY$76,5,FALSE))+IF(AQ41="",0,VLOOKUP(AQ41,Bausteine!$A$2:$AY$76,5,FALSE))</f>
        <v/>
      </c>
      <c r="O41">
        <f>MAX(IF(C41="",0,VLOOKUP(C41,Bausteine!$A$2:$AY$76,6,FALSE)),IF(D41="",0,VLOOKUP(D41,Bausteine!$A$2:$AY$76,6,FALSE)),IF(E41="",0,VLOOKUP(E41,Bausteine!$A$2:$AY$76,6,FALSE)),IF(F41="",0,VLOOKUP(F41,Bausteine!$A$2:$AY$76,6,FALSE)),IF(G41="",0,VLOOKUP(G41,Bausteine!$A$2:$AY$76,6,FALSE)),IF(H41="",0,VLOOKUP(H41,Bausteine!$A$2:$AY$76,6,FALSE)),IF(I41="",0,VLOOKUP(I41,Bausteine!$A$2:$AY$76,6,FALSE)),IF(J41="",0,VLOOKUP(J41,Bausteine!$A$2:$AY$76,6,FALSE)),IF(K41="",0,VLOOKUP(K41,Bausteine!$A$2:$AY$76,6,FALSE)),IF(L41="",0,VLOOKUP(L41,Bausteine!$A$2:$AY$76,6,FALSE)),IF(AC41="",0,VLOOKUP(AC41,Bausteine!$A$2:$AY$76,6,FALSE)),IF(AF41="",0,VLOOKUP(AF41,Bausteine!$A$2:$AY$76,6,FALSE)),IF(AG41="",0,VLOOKUP(AG41,Bausteine!$A$2:$AY$76,6,FALSE)),IF(AH41="",0,VLOOKUP(AH41,Bausteine!$A$2:$AY$76,6,FALSE)),IF(AQ41="",0,VLOOKUP(AQ41,Bausteine!$A$2:$AY$76,6,FALSE)),AK41)</f>
        <v/>
      </c>
      <c r="P41">
        <f>IF(C41="",0,VLOOKUP(C41,Bausteine!$A$2:$AY$76,7,FALSE))*IF(F41="",0,VLOOKUP(F41,Bausteine!$A$2:$AY$76,17,FALSE))/100+IF(D41="",0,VLOOKUP(D41,Bausteine!$A$2:$AY$76,7,FALSE))+IF(E41="",0,VLOOKUP(E41,Bausteine!$A$2:$AY$76,7,FALSE))+IF(G41="",0,VLOOKUP(G41,Bausteine!$A$2:$AY$76,7,FALSE))+IF(H41="",0,VLOOKUP(H41,Bausteine!$A$2:$AY$76,7,FALSE))+IF(I41="",0,VLOOKUP(I41,Bausteine!$A$2:$AY$76,7,FALSE))+IF(J41="",0,VLOOKUP(J41,Bausteine!$A$2:$AY$76,7,FALSE))+IF(K41="",0,VLOOKUP(K41,Bausteine!$A$2:$AY$76,7,FALSE))+IF(L41="",0,VLOOKUP(L41,Bausteine!$A$2:$AY$76,7,FALSE))+IF(AC41="",0,VLOOKUP(AC41,Bausteine!$A$2:$AY$76,7,FALSE))+IF(AF41="",0,VLOOKUP(AF41,Bausteine!$A$2:$AY$76,7,FALSE))+IF(AG41="",0,VLOOKUP(AG41,Bausteine!$A$2:$AY$76,7,FALSE))+IF(AH41="",0,VLOOKUP(AH41,Bausteine!$A$2:$AY$76,7,FALSE))+IF(AQ41="",0,VLOOKUP(AQ41,Bausteine!$A$2:$AY$76,7,FALSE))+AI41</f>
        <v/>
      </c>
      <c r="Q41">
        <f>N41*Parameter!$B$2</f>
        <v/>
      </c>
      <c r="R41">
        <f>AE41-Q41</f>
        <v/>
      </c>
      <c r="S41">
        <f>IF(C41="",0,VLOOKUP(C41,Bausteine!$A$2:$AY$76,13,FALSE))*IF(F41="",0,VLOOKUP(F41,Bausteine!$A$2:$AY$76,16,FALSE))/100</f>
        <v/>
      </c>
      <c r="T41">
        <f>IF(C41="",0,VLOOKUP(C41,Bausteine!$A$2:$AY$76,8,FALSE))*IF(F41="",0,VLOOKUP(F41,Bausteine!$A$2:$AY$76,15,FALSE))/100+IF(D41="",0,VLOOKUP(D41,Bausteine!$A$2:$AY$76,8,FALSE))+IF(E41="",0,VLOOKUP(E41,Bausteine!$A$2:$AY$76,8,FALSE))+IF(G41="",0,VLOOKUP(G41,Bausteine!$A$2:$AY$76,8,FALSE))+IF(H41="",0,VLOOKUP(H41,Bausteine!$A$2:$AY$76,8,FALSE))+IF(I41="",0,VLOOKUP(I41,Bausteine!$A$2:$AY$76,8,FALSE))+IF(J41="",0,VLOOKUP(J41,Bausteine!$A$2:$AY$76,8,FALSE))+IF(K41="",0,VLOOKUP(K41,Bausteine!$A$2:$AY$76,8,FALSE))+IF(L41="",0,VLOOKUP(L41,Bausteine!$A$2:$AY$76,8,FALSE))+IF(AC41="",0,VLOOKUP(AC41,Bausteine!$A$2:$AY$76,8,FALSE))+IF(AF41="",0,VLOOKUP(AF41,Bausteine!$A$2:$AY$76,8,FALSE))+IF(AG41="",0,VLOOKUP(AG41,Bausteine!$A$2:$AY$76,8,FALSE))+IF(AH41="",0,VLOOKUP(AH41,Bausteine!$A$2:$AY$76,8,FALSE))+IF(AQ41="",0,VLOOKUP(AQ41,Bausteine!$A$2:$AY$76,8,FALSE))+AJ41</f>
        <v/>
      </c>
      <c r="U41">
        <f>IF(C41="",0,VLOOKUP(C41,Bausteine!$A$2:$AY$76,9,FALSE))+IF(D41="",0,VLOOKUP(D41,Bausteine!$A$2:$AY$76,9,FALSE))+IF(E41="",0,VLOOKUP(E41,Bausteine!$A$2:$AY$76,9,FALSE))+IF(F41="",0,VLOOKUP(F41,Bausteine!$A$2:$AY$76,9,FALSE))+IF(G41="",0,VLOOKUP(G41,Bausteine!$A$2:$AY$76,9,FALSE))+IF(H41="",0,VLOOKUP(H41,Bausteine!$A$2:$AY$76,9,FALSE))+IF(I41="",0,VLOOKUP(I41,Bausteine!$A$2:$AY$76,9,FALSE))+IF(J41="",0,VLOOKUP(J41,Bausteine!$A$2:$AY$76,9,FALSE))+IF(K41="",0,VLOOKUP(K41,Bausteine!$A$2:$AY$76,9,FALSE))+IF(L41="",0,VLOOKUP(L41,Bausteine!$A$2:$AY$76,9,FALSE))+IF(AC41="",0,VLOOKUP(AC41,Bausteine!$A$2:$AY$76,9,FALSE))+IF(AF41="",0,VLOOKUP(AF41,Bausteine!$A$2:$AY$76,9,FALSE))+IF(AG41="",0,VLOOKUP(AG41,Bausteine!$A$2:$AY$76,9,FALSE))+IF(AH41="",0,VLOOKUP(AH41,Bausteine!$A$2:$AY$76,9,FALSE))+IF(AQ41="",0,VLOOKUP(AQ41,Bausteine!$A$2:$AY$76,9,FALSE))</f>
        <v/>
      </c>
      <c r="V41">
        <f>IF(D41="",0,VLOOKUP(D41,Bausteine!$A$2:$AY$76,10,FALSE))-U41/IF(E41="",0,VLOOKUP(E41,Bausteine!$A$2:$AY$76,11,FALSE))</f>
        <v/>
      </c>
      <c r="W41">
        <f>IF(Y41&lt;&gt;"OK","",ROUND(MIN(IF(C41="",0,VLOOKUP(C41,Bausteine!$A$2:$AY$76,21,FALSE)),IF(AQ41="",0,VLOOKUP(AQ41,Bausteine!$A$2:$AY$76,21,FALSE)),IF(C41="",0,VLOOKUP(C41,Bausteine!$A$2:$AY$76,20,FALSE))*(V41/T41/(IF(C41="",0,VLOOKUP(C41,Bausteine!$A$2:$AY$76,19,FALSE))/IF(C41="",0,VLOOKUP(C41,Bausteine!$A$2:$AY$76,18,FALSE))))^Parameter!$B$3),0))</f>
        <v/>
      </c>
      <c r="X41">
        <f>IF(F41="",0,VLOOKUP(F41,Bausteine!$A$2:$AY$76,14,FALSE))</f>
        <v/>
      </c>
      <c r="Y41">
        <f>IFERROR(IF(OR(AD41&lt;=0,AD41&gt;1,R41&lt;=0,T41&lt;=0,V41&lt;=0,U41&gt;IF(E41="",0,VLOOKUP(E41,Bausteine!$A$2:$AY$76,12,FALSE)),T41&gt;MIN(IF(C41="",0,VLOOKUP(C41,Bausteine!$A$2:$AY$76,22,FALSE)),IF(AQ41="",0,VLOOKUP(AQ41,Bausteine!$A$2:$AY$76,22,FALSE))),IF(E41="",0,VLOOKUP(E41,Bausteine!$A$2:$AY$76,11,FALSE))&lt;=0,IF(E41="",0,VLOOKUP(E41,Bausteine!$A$2:$AY$76,11,FALSE))&gt;1),"UNGUELTIG","OK"),"FEHLER")</f>
        <v/>
      </c>
      <c r="Z41" t="n">
        <v>800</v>
      </c>
      <c r="AA41" t="n">
        <v>108</v>
      </c>
      <c r="AB41" t="inlineStr">
        <is>
          <t>Legacy promotion restricted to Tank General; catalog uses China base faction as agreed.</t>
        </is>
      </c>
      <c r="AC41" t="inlineStr"/>
      <c r="AD41">
        <f>IF(AC41="",1,IF(AC41="",0,VLOOKUP(AC41,Bausteine!$A$2:$AY$76,37,FALSE))/100)</f>
        <v/>
      </c>
      <c r="AE41">
        <f>P41*AD41</f>
        <v/>
      </c>
      <c r="AF41" t="inlineStr"/>
      <c r="AG41" t="inlineStr"/>
      <c r="AH41" t="inlineStr"/>
      <c r="AI41">
        <f>SUMIF(Startbesatzung!$A$2:$A$7,A41,Startbesatzung!$D$2:$D$7)</f>
        <v/>
      </c>
      <c r="AJ41">
        <f>SUMIF(Startbesatzung!$A$2:$A$7,A41,Startbesatzung!$E$2:$E$7)</f>
        <v/>
      </c>
      <c r="AK41">
        <f>MAX(0,IF(Startbesatzung!A2=A41,Startbesatzung!G2,0),IF(Startbesatzung!A3=A41,Startbesatzung!G3,0),IF(Startbesatzung!A4=A41,Startbesatzung!G4,0),IF(Startbesatzung!A5=A41,Startbesatzung!G5,0),IF(Startbesatzung!A6=A41,Startbesatzung!G6,0),IF(Startbesatzung!A7=A41,Startbesatzung!G7,0))</f>
        <v/>
      </c>
      <c r="AL41">
        <f>IF(AF41="","",IF(IF(AH41="",0,VLOOKUP(AH41,Bausteine!$A$2:$AY$76,38,FALSE))&gt;0,IF(AH41="",0,VLOOKUP(AH41,Bausteine!$A$2:$AY$76,38,FALSE)),IF(AG41="",0,VLOOKUP(AG41,Bausteine!$A$2:$AY$76,28,FALSE))))</f>
        <v/>
      </c>
      <c r="AM41">
        <f>IF(AF41="","",IF(AG41="",0,VLOOKUP(AG41,Bausteine!$A$2:$AY$76,44,FALSE)))</f>
        <v/>
      </c>
      <c r="AN41">
        <f>IF(AF41="","",IF(AF41="",0,VLOOKUP(AF41,Bausteine!$A$2:$AY$76,27,FALSE)))</f>
        <v/>
      </c>
      <c r="AO41">
        <f>IF(AF41="","",IF(AF41="",0,VLOOKUP(AF41,Bausteine!$A$2:$AY$76,25,FALSE)))</f>
        <v/>
      </c>
      <c r="AP41">
        <f>IF(AF41="","",IF(AH41="",0,VLOOKUP(AH41,Bausteine!$A$2:$AY$76,29,FALSE)))</f>
        <v/>
      </c>
      <c r="AQ41" t="inlineStr">
        <is>
          <t>tracks-standard</t>
        </is>
      </c>
      <c r="AR41">
        <f>IF(AQ41="",0,VLOOKUP(AQ41,Bausteine!$A$2:$AY$76,48,FALSE))</f>
        <v/>
      </c>
      <c r="AS41">
        <f>MIN(IF(AQ41="",0,VLOOKUP(AQ41,Bausteine!$A$2:$AY$76,50,FALSE)),IF(C41="",0,VLOOKUP(C41,Bausteine!$A$2:$AY$76,51,FALSE)))</f>
        <v/>
      </c>
    </row>
    <row r="42">
      <c r="A42" t="inlineStr">
        <is>
          <t>Battlemaster Nuclear Shells</t>
        </is>
      </c>
      <c r="B42" t="inlineStr">
        <is>
          <t>china</t>
        </is>
      </c>
      <c r="C42" t="inlineStr">
        <is>
          <t>battlemaster</t>
        </is>
      </c>
      <c r="D42" t="inlineStr">
        <is>
          <t>diesel</t>
        </is>
      </c>
      <c r="E42" t="inlineStr">
        <is>
          <t>baseline-generator</t>
        </is>
      </c>
      <c r="F42" t="inlineStr">
        <is>
          <t>heavy</t>
        </is>
      </c>
      <c r="G42" t="inlineStr">
        <is>
          <t>cannon-turret</t>
        </is>
      </c>
      <c r="H42" t="inlineStr">
        <is>
          <t>cannon</t>
        </is>
      </c>
      <c r="I42" t="inlineStr">
        <is>
          <t>nuclear-shell</t>
        </is>
      </c>
      <c r="J42" t="inlineStr"/>
      <c r="K42" t="inlineStr"/>
      <c r="L42" t="inlineStr"/>
      <c r="M42">
        <f>IF(C42="",0,VLOOKUP(C42,Bausteine!$A$2:$AY$76,4,FALSE))+IF(D42="",0,VLOOKUP(D42,Bausteine!$A$2:$AY$76,4,FALSE))+IF(E42="",0,VLOOKUP(E42,Bausteine!$A$2:$AY$76,4,FALSE))+IF(F42="",0,VLOOKUP(F42,Bausteine!$A$2:$AY$76,4,FALSE))+IF(G42="",0,VLOOKUP(G42,Bausteine!$A$2:$AY$76,4,FALSE))+IF(H42="",0,VLOOKUP(H42,Bausteine!$A$2:$AY$76,4,FALSE))+IF(I42="",0,VLOOKUP(I42,Bausteine!$A$2:$AY$76,4,FALSE))+IF(J42="",0,VLOOKUP(J42,Bausteine!$A$2:$AY$76,4,FALSE))+IF(K42="",0,VLOOKUP(K42,Bausteine!$A$2:$AY$76,4,FALSE))+IF(L42="",0,VLOOKUP(L42,Bausteine!$A$2:$AY$76,4,FALSE))+IF(AC42="",0,VLOOKUP(AC42,Bausteine!$A$2:$AY$76,4,FALSE))+IF(AF42="",0,VLOOKUP(AF42,Bausteine!$A$2:$AY$76,4,FALSE))+IF(AG42="",0,VLOOKUP(AG42,Bausteine!$A$2:$AY$76,4,FALSE))+IF(AH42="",0,VLOOKUP(AH42,Bausteine!$A$2:$AY$76,4,FALSE))+IF(AQ42="",0,VLOOKUP(AQ42,Bausteine!$A$2:$AY$76,4,FALSE))</f>
        <v/>
      </c>
      <c r="N42">
        <f>IF(C42="",0,VLOOKUP(C42,Bausteine!$A$2:$AY$76,5,FALSE))+IF(D42="",0,VLOOKUP(D42,Bausteine!$A$2:$AY$76,5,FALSE))+IF(E42="",0,VLOOKUP(E42,Bausteine!$A$2:$AY$76,5,FALSE))+IF(F42="",0,VLOOKUP(F42,Bausteine!$A$2:$AY$76,5,FALSE))+IF(G42="",0,VLOOKUP(G42,Bausteine!$A$2:$AY$76,5,FALSE))+IF(H42="",0,VLOOKUP(H42,Bausteine!$A$2:$AY$76,5,FALSE))+IF(I42="",0,VLOOKUP(I42,Bausteine!$A$2:$AY$76,5,FALSE))+IF(J42="",0,VLOOKUP(J42,Bausteine!$A$2:$AY$76,5,FALSE))+IF(K42="",0,VLOOKUP(K42,Bausteine!$A$2:$AY$76,5,FALSE))+IF(L42="",0,VLOOKUP(L42,Bausteine!$A$2:$AY$76,5,FALSE))+IF(AC42="",0,VLOOKUP(AC42,Bausteine!$A$2:$AY$76,5,FALSE))+IF(AF42="",0,VLOOKUP(AF42,Bausteine!$A$2:$AY$76,5,FALSE))+IF(AG42="",0,VLOOKUP(AG42,Bausteine!$A$2:$AY$76,5,FALSE))+IF(AH42="",0,VLOOKUP(AH42,Bausteine!$A$2:$AY$76,5,FALSE))+IF(AQ42="",0,VLOOKUP(AQ42,Bausteine!$A$2:$AY$76,5,FALSE))</f>
        <v/>
      </c>
      <c r="O42">
        <f>MAX(IF(C42="",0,VLOOKUP(C42,Bausteine!$A$2:$AY$76,6,FALSE)),IF(D42="",0,VLOOKUP(D42,Bausteine!$A$2:$AY$76,6,FALSE)),IF(E42="",0,VLOOKUP(E42,Bausteine!$A$2:$AY$76,6,FALSE)),IF(F42="",0,VLOOKUP(F42,Bausteine!$A$2:$AY$76,6,FALSE)),IF(G42="",0,VLOOKUP(G42,Bausteine!$A$2:$AY$76,6,FALSE)),IF(H42="",0,VLOOKUP(H42,Bausteine!$A$2:$AY$76,6,FALSE)),IF(I42="",0,VLOOKUP(I42,Bausteine!$A$2:$AY$76,6,FALSE)),IF(J42="",0,VLOOKUP(J42,Bausteine!$A$2:$AY$76,6,FALSE)),IF(K42="",0,VLOOKUP(K42,Bausteine!$A$2:$AY$76,6,FALSE)),IF(L42="",0,VLOOKUP(L42,Bausteine!$A$2:$AY$76,6,FALSE)),IF(AC42="",0,VLOOKUP(AC42,Bausteine!$A$2:$AY$76,6,FALSE)),IF(AF42="",0,VLOOKUP(AF42,Bausteine!$A$2:$AY$76,6,FALSE)),IF(AG42="",0,VLOOKUP(AG42,Bausteine!$A$2:$AY$76,6,FALSE)),IF(AH42="",0,VLOOKUP(AH42,Bausteine!$A$2:$AY$76,6,FALSE)),IF(AQ42="",0,VLOOKUP(AQ42,Bausteine!$A$2:$AY$76,6,FALSE)),AK42)</f>
        <v/>
      </c>
      <c r="P42">
        <f>IF(C42="",0,VLOOKUP(C42,Bausteine!$A$2:$AY$76,7,FALSE))*IF(F42="",0,VLOOKUP(F42,Bausteine!$A$2:$AY$76,17,FALSE))/100+IF(D42="",0,VLOOKUP(D42,Bausteine!$A$2:$AY$76,7,FALSE))+IF(E42="",0,VLOOKUP(E42,Bausteine!$A$2:$AY$76,7,FALSE))+IF(G42="",0,VLOOKUP(G42,Bausteine!$A$2:$AY$76,7,FALSE))+IF(H42="",0,VLOOKUP(H42,Bausteine!$A$2:$AY$76,7,FALSE))+IF(I42="",0,VLOOKUP(I42,Bausteine!$A$2:$AY$76,7,FALSE))+IF(J42="",0,VLOOKUP(J42,Bausteine!$A$2:$AY$76,7,FALSE))+IF(K42="",0,VLOOKUP(K42,Bausteine!$A$2:$AY$76,7,FALSE))+IF(L42="",0,VLOOKUP(L42,Bausteine!$A$2:$AY$76,7,FALSE))+IF(AC42="",0,VLOOKUP(AC42,Bausteine!$A$2:$AY$76,7,FALSE))+IF(AF42="",0,VLOOKUP(AF42,Bausteine!$A$2:$AY$76,7,FALSE))+IF(AG42="",0,VLOOKUP(AG42,Bausteine!$A$2:$AY$76,7,FALSE))+IF(AH42="",0,VLOOKUP(AH42,Bausteine!$A$2:$AY$76,7,FALSE))+IF(AQ42="",0,VLOOKUP(AQ42,Bausteine!$A$2:$AY$76,7,FALSE))+AI42</f>
        <v/>
      </c>
      <c r="Q42">
        <f>N42*Parameter!$B$2</f>
        <v/>
      </c>
      <c r="R42">
        <f>AE42-Q42</f>
        <v/>
      </c>
      <c r="S42">
        <f>IF(C42="",0,VLOOKUP(C42,Bausteine!$A$2:$AY$76,13,FALSE))*IF(F42="",0,VLOOKUP(F42,Bausteine!$A$2:$AY$76,16,FALSE))/100</f>
        <v/>
      </c>
      <c r="T42">
        <f>IF(C42="",0,VLOOKUP(C42,Bausteine!$A$2:$AY$76,8,FALSE))*IF(F42="",0,VLOOKUP(F42,Bausteine!$A$2:$AY$76,15,FALSE))/100+IF(D42="",0,VLOOKUP(D42,Bausteine!$A$2:$AY$76,8,FALSE))+IF(E42="",0,VLOOKUP(E42,Bausteine!$A$2:$AY$76,8,FALSE))+IF(G42="",0,VLOOKUP(G42,Bausteine!$A$2:$AY$76,8,FALSE))+IF(H42="",0,VLOOKUP(H42,Bausteine!$A$2:$AY$76,8,FALSE))+IF(I42="",0,VLOOKUP(I42,Bausteine!$A$2:$AY$76,8,FALSE))+IF(J42="",0,VLOOKUP(J42,Bausteine!$A$2:$AY$76,8,FALSE))+IF(K42="",0,VLOOKUP(K42,Bausteine!$A$2:$AY$76,8,FALSE))+IF(L42="",0,VLOOKUP(L42,Bausteine!$A$2:$AY$76,8,FALSE))+IF(AC42="",0,VLOOKUP(AC42,Bausteine!$A$2:$AY$76,8,FALSE))+IF(AF42="",0,VLOOKUP(AF42,Bausteine!$A$2:$AY$76,8,FALSE))+IF(AG42="",0,VLOOKUP(AG42,Bausteine!$A$2:$AY$76,8,FALSE))+IF(AH42="",0,VLOOKUP(AH42,Bausteine!$A$2:$AY$76,8,FALSE))+IF(AQ42="",0,VLOOKUP(AQ42,Bausteine!$A$2:$AY$76,8,FALSE))+AJ42</f>
        <v/>
      </c>
      <c r="U42">
        <f>IF(C42="",0,VLOOKUP(C42,Bausteine!$A$2:$AY$76,9,FALSE))+IF(D42="",0,VLOOKUP(D42,Bausteine!$A$2:$AY$76,9,FALSE))+IF(E42="",0,VLOOKUP(E42,Bausteine!$A$2:$AY$76,9,FALSE))+IF(F42="",0,VLOOKUP(F42,Bausteine!$A$2:$AY$76,9,FALSE))+IF(G42="",0,VLOOKUP(G42,Bausteine!$A$2:$AY$76,9,FALSE))+IF(H42="",0,VLOOKUP(H42,Bausteine!$A$2:$AY$76,9,FALSE))+IF(I42="",0,VLOOKUP(I42,Bausteine!$A$2:$AY$76,9,FALSE))+IF(J42="",0,VLOOKUP(J42,Bausteine!$A$2:$AY$76,9,FALSE))+IF(K42="",0,VLOOKUP(K42,Bausteine!$A$2:$AY$76,9,FALSE))+IF(L42="",0,VLOOKUP(L42,Bausteine!$A$2:$AY$76,9,FALSE))+IF(AC42="",0,VLOOKUP(AC42,Bausteine!$A$2:$AY$76,9,FALSE))+IF(AF42="",0,VLOOKUP(AF42,Bausteine!$A$2:$AY$76,9,FALSE))+IF(AG42="",0,VLOOKUP(AG42,Bausteine!$A$2:$AY$76,9,FALSE))+IF(AH42="",0,VLOOKUP(AH42,Bausteine!$A$2:$AY$76,9,FALSE))+IF(AQ42="",0,VLOOKUP(AQ42,Bausteine!$A$2:$AY$76,9,FALSE))</f>
        <v/>
      </c>
      <c r="V42">
        <f>IF(D42="",0,VLOOKUP(D42,Bausteine!$A$2:$AY$76,10,FALSE))-U42/IF(E42="",0,VLOOKUP(E42,Bausteine!$A$2:$AY$76,11,FALSE))</f>
        <v/>
      </c>
      <c r="W42">
        <f>IF(Y42&lt;&gt;"OK","",ROUND(MIN(IF(C42="",0,VLOOKUP(C42,Bausteine!$A$2:$AY$76,21,FALSE)),IF(AQ42="",0,VLOOKUP(AQ42,Bausteine!$A$2:$AY$76,21,FALSE)),IF(C42="",0,VLOOKUP(C42,Bausteine!$A$2:$AY$76,20,FALSE))*(V42/T42/(IF(C42="",0,VLOOKUP(C42,Bausteine!$A$2:$AY$76,19,FALSE))/IF(C42="",0,VLOOKUP(C42,Bausteine!$A$2:$AY$76,18,FALSE))))^Parameter!$B$3),0))</f>
        <v/>
      </c>
      <c r="X42">
        <f>IF(F42="",0,VLOOKUP(F42,Bausteine!$A$2:$AY$76,14,FALSE))</f>
        <v/>
      </c>
      <c r="Y42">
        <f>IFERROR(IF(OR(AD42&lt;=0,AD42&gt;1,R42&lt;=0,T42&lt;=0,V42&lt;=0,U42&gt;IF(E42="",0,VLOOKUP(E42,Bausteine!$A$2:$AY$76,12,FALSE)),T42&gt;MIN(IF(C42="",0,VLOOKUP(C42,Bausteine!$A$2:$AY$76,22,FALSE)),IF(AQ42="",0,VLOOKUP(AQ42,Bausteine!$A$2:$AY$76,22,FALSE))),IF(E42="",0,VLOOKUP(E42,Bausteine!$A$2:$AY$76,11,FALSE))&lt;=0,IF(E42="",0,VLOOKUP(E42,Bausteine!$A$2:$AY$76,11,FALSE))&gt;1),"UNGUELTIG","OK"),"FEHLER")</f>
        <v/>
      </c>
      <c r="Z42" t="n">
        <v>950</v>
      </c>
      <c r="AA42" t="n">
        <v>100</v>
      </c>
      <c r="AB42" t="inlineStr"/>
      <c r="AC42" t="inlineStr"/>
      <c r="AD42">
        <f>IF(AC42="",1,IF(AC42="",0,VLOOKUP(AC42,Bausteine!$A$2:$AY$76,37,FALSE))/100)</f>
        <v/>
      </c>
      <c r="AE42">
        <f>P42*AD42</f>
        <v/>
      </c>
      <c r="AF42" t="inlineStr"/>
      <c r="AG42" t="inlineStr"/>
      <c r="AH42" t="inlineStr"/>
      <c r="AI42">
        <f>SUMIF(Startbesatzung!$A$2:$A$7,A42,Startbesatzung!$D$2:$D$7)</f>
        <v/>
      </c>
      <c r="AJ42">
        <f>SUMIF(Startbesatzung!$A$2:$A$7,A42,Startbesatzung!$E$2:$E$7)</f>
        <v/>
      </c>
      <c r="AK42">
        <f>MAX(0,IF(Startbesatzung!A2=A42,Startbesatzung!G2,0),IF(Startbesatzung!A3=A42,Startbesatzung!G3,0),IF(Startbesatzung!A4=A42,Startbesatzung!G4,0),IF(Startbesatzung!A5=A42,Startbesatzung!G5,0),IF(Startbesatzung!A6=A42,Startbesatzung!G6,0),IF(Startbesatzung!A7=A42,Startbesatzung!G7,0))</f>
        <v/>
      </c>
      <c r="AL42">
        <f>IF(AF42="","",IF(IF(AH42="",0,VLOOKUP(AH42,Bausteine!$A$2:$AY$76,38,FALSE))&gt;0,IF(AH42="",0,VLOOKUP(AH42,Bausteine!$A$2:$AY$76,38,FALSE)),IF(AG42="",0,VLOOKUP(AG42,Bausteine!$A$2:$AY$76,28,FALSE))))</f>
        <v/>
      </c>
      <c r="AM42">
        <f>IF(AF42="","",IF(AG42="",0,VLOOKUP(AG42,Bausteine!$A$2:$AY$76,44,FALSE)))</f>
        <v/>
      </c>
      <c r="AN42">
        <f>IF(AF42="","",IF(AF42="",0,VLOOKUP(AF42,Bausteine!$A$2:$AY$76,27,FALSE)))</f>
        <v/>
      </c>
      <c r="AO42">
        <f>IF(AF42="","",IF(AF42="",0,VLOOKUP(AF42,Bausteine!$A$2:$AY$76,25,FALSE)))</f>
        <v/>
      </c>
      <c r="AP42">
        <f>IF(AF42="","",IF(AH42="",0,VLOOKUP(AH42,Bausteine!$A$2:$AY$76,29,FALSE)))</f>
        <v/>
      </c>
      <c r="AQ42" t="inlineStr">
        <is>
          <t>tracks-standard</t>
        </is>
      </c>
      <c r="AR42">
        <f>IF(AQ42="",0,VLOOKUP(AQ42,Bausteine!$A$2:$AY$76,48,FALSE))</f>
        <v/>
      </c>
      <c r="AS42">
        <f>MIN(IF(AQ42="",0,VLOOKUP(AQ42,Bausteine!$A$2:$AY$76,50,FALSE)),IF(C42="",0,VLOOKUP(C42,Bausteine!$A$2:$AY$76,51,FALSE)))</f>
        <v/>
      </c>
    </row>
    <row r="43">
      <c r="A43" t="inlineStr">
        <is>
          <t>Battlemaster Nuclear Shells PDL</t>
        </is>
      </c>
      <c r="B43" t="inlineStr">
        <is>
          <t>china</t>
        </is>
      </c>
      <c r="C43" t="inlineStr">
        <is>
          <t>battlemaster</t>
        </is>
      </c>
      <c r="D43" t="inlineStr">
        <is>
          <t>diesel-large</t>
        </is>
      </c>
      <c r="E43" t="inlineStr">
        <is>
          <t>efficient-generator</t>
        </is>
      </c>
      <c r="F43" t="inlineStr">
        <is>
          <t>heavy</t>
        </is>
      </c>
      <c r="G43" t="inlineStr">
        <is>
          <t>cannon-turret</t>
        </is>
      </c>
      <c r="H43" t="inlineStr">
        <is>
          <t>cannon</t>
        </is>
      </c>
      <c r="I43" t="inlineStr">
        <is>
          <t>nuclear-shell</t>
        </is>
      </c>
      <c r="J43" t="inlineStr">
        <is>
          <t>pdl</t>
        </is>
      </c>
      <c r="K43" t="inlineStr"/>
      <c r="L43" t="inlineStr"/>
      <c r="M43">
        <f>IF(C43="",0,VLOOKUP(C43,Bausteine!$A$2:$AY$76,4,FALSE))+IF(D43="",0,VLOOKUP(D43,Bausteine!$A$2:$AY$76,4,FALSE))+IF(E43="",0,VLOOKUP(E43,Bausteine!$A$2:$AY$76,4,FALSE))+IF(F43="",0,VLOOKUP(F43,Bausteine!$A$2:$AY$76,4,FALSE))+IF(G43="",0,VLOOKUP(G43,Bausteine!$A$2:$AY$76,4,FALSE))+IF(H43="",0,VLOOKUP(H43,Bausteine!$A$2:$AY$76,4,FALSE))+IF(I43="",0,VLOOKUP(I43,Bausteine!$A$2:$AY$76,4,FALSE))+IF(J43="",0,VLOOKUP(J43,Bausteine!$A$2:$AY$76,4,FALSE))+IF(K43="",0,VLOOKUP(K43,Bausteine!$A$2:$AY$76,4,FALSE))+IF(L43="",0,VLOOKUP(L43,Bausteine!$A$2:$AY$76,4,FALSE))+IF(AC43="",0,VLOOKUP(AC43,Bausteine!$A$2:$AY$76,4,FALSE))+IF(AF43="",0,VLOOKUP(AF43,Bausteine!$A$2:$AY$76,4,FALSE))+IF(AG43="",0,VLOOKUP(AG43,Bausteine!$A$2:$AY$76,4,FALSE))+IF(AH43="",0,VLOOKUP(AH43,Bausteine!$A$2:$AY$76,4,FALSE))+IF(AQ43="",0,VLOOKUP(AQ43,Bausteine!$A$2:$AY$76,4,FALSE))</f>
        <v/>
      </c>
      <c r="N43">
        <f>IF(C43="",0,VLOOKUP(C43,Bausteine!$A$2:$AY$76,5,FALSE))+IF(D43="",0,VLOOKUP(D43,Bausteine!$A$2:$AY$76,5,FALSE))+IF(E43="",0,VLOOKUP(E43,Bausteine!$A$2:$AY$76,5,FALSE))+IF(F43="",0,VLOOKUP(F43,Bausteine!$A$2:$AY$76,5,FALSE))+IF(G43="",0,VLOOKUP(G43,Bausteine!$A$2:$AY$76,5,FALSE))+IF(H43="",0,VLOOKUP(H43,Bausteine!$A$2:$AY$76,5,FALSE))+IF(I43="",0,VLOOKUP(I43,Bausteine!$A$2:$AY$76,5,FALSE))+IF(J43="",0,VLOOKUP(J43,Bausteine!$A$2:$AY$76,5,FALSE))+IF(K43="",0,VLOOKUP(K43,Bausteine!$A$2:$AY$76,5,FALSE))+IF(L43="",0,VLOOKUP(L43,Bausteine!$A$2:$AY$76,5,FALSE))+IF(AC43="",0,VLOOKUP(AC43,Bausteine!$A$2:$AY$76,5,FALSE))+IF(AF43="",0,VLOOKUP(AF43,Bausteine!$A$2:$AY$76,5,FALSE))+IF(AG43="",0,VLOOKUP(AG43,Bausteine!$A$2:$AY$76,5,FALSE))+IF(AH43="",0,VLOOKUP(AH43,Bausteine!$A$2:$AY$76,5,FALSE))+IF(AQ43="",0,VLOOKUP(AQ43,Bausteine!$A$2:$AY$76,5,FALSE))</f>
        <v/>
      </c>
      <c r="O43">
        <f>MAX(IF(C43="",0,VLOOKUP(C43,Bausteine!$A$2:$AY$76,6,FALSE)),IF(D43="",0,VLOOKUP(D43,Bausteine!$A$2:$AY$76,6,FALSE)),IF(E43="",0,VLOOKUP(E43,Bausteine!$A$2:$AY$76,6,FALSE)),IF(F43="",0,VLOOKUP(F43,Bausteine!$A$2:$AY$76,6,FALSE)),IF(G43="",0,VLOOKUP(G43,Bausteine!$A$2:$AY$76,6,FALSE)),IF(H43="",0,VLOOKUP(H43,Bausteine!$A$2:$AY$76,6,FALSE)),IF(I43="",0,VLOOKUP(I43,Bausteine!$A$2:$AY$76,6,FALSE)),IF(J43="",0,VLOOKUP(J43,Bausteine!$A$2:$AY$76,6,FALSE)),IF(K43="",0,VLOOKUP(K43,Bausteine!$A$2:$AY$76,6,FALSE)),IF(L43="",0,VLOOKUP(L43,Bausteine!$A$2:$AY$76,6,FALSE)),IF(AC43="",0,VLOOKUP(AC43,Bausteine!$A$2:$AY$76,6,FALSE)),IF(AF43="",0,VLOOKUP(AF43,Bausteine!$A$2:$AY$76,6,FALSE)),IF(AG43="",0,VLOOKUP(AG43,Bausteine!$A$2:$AY$76,6,FALSE)),IF(AH43="",0,VLOOKUP(AH43,Bausteine!$A$2:$AY$76,6,FALSE)),IF(AQ43="",0,VLOOKUP(AQ43,Bausteine!$A$2:$AY$76,6,FALSE)),AK43)</f>
        <v/>
      </c>
      <c r="P43">
        <f>IF(C43="",0,VLOOKUP(C43,Bausteine!$A$2:$AY$76,7,FALSE))*IF(F43="",0,VLOOKUP(F43,Bausteine!$A$2:$AY$76,17,FALSE))/100+IF(D43="",0,VLOOKUP(D43,Bausteine!$A$2:$AY$76,7,FALSE))+IF(E43="",0,VLOOKUP(E43,Bausteine!$A$2:$AY$76,7,FALSE))+IF(G43="",0,VLOOKUP(G43,Bausteine!$A$2:$AY$76,7,FALSE))+IF(H43="",0,VLOOKUP(H43,Bausteine!$A$2:$AY$76,7,FALSE))+IF(I43="",0,VLOOKUP(I43,Bausteine!$A$2:$AY$76,7,FALSE))+IF(J43="",0,VLOOKUP(J43,Bausteine!$A$2:$AY$76,7,FALSE))+IF(K43="",0,VLOOKUP(K43,Bausteine!$A$2:$AY$76,7,FALSE))+IF(L43="",0,VLOOKUP(L43,Bausteine!$A$2:$AY$76,7,FALSE))+IF(AC43="",0,VLOOKUP(AC43,Bausteine!$A$2:$AY$76,7,FALSE))+IF(AF43="",0,VLOOKUP(AF43,Bausteine!$A$2:$AY$76,7,FALSE))+IF(AG43="",0,VLOOKUP(AG43,Bausteine!$A$2:$AY$76,7,FALSE))+IF(AH43="",0,VLOOKUP(AH43,Bausteine!$A$2:$AY$76,7,FALSE))+IF(AQ43="",0,VLOOKUP(AQ43,Bausteine!$A$2:$AY$76,7,FALSE))+AI43</f>
        <v/>
      </c>
      <c r="Q43">
        <f>N43*Parameter!$B$2</f>
        <v/>
      </c>
      <c r="R43">
        <f>AE43-Q43</f>
        <v/>
      </c>
      <c r="S43">
        <f>IF(C43="",0,VLOOKUP(C43,Bausteine!$A$2:$AY$76,13,FALSE))*IF(F43="",0,VLOOKUP(F43,Bausteine!$A$2:$AY$76,16,FALSE))/100</f>
        <v/>
      </c>
      <c r="T43">
        <f>IF(C43="",0,VLOOKUP(C43,Bausteine!$A$2:$AY$76,8,FALSE))*IF(F43="",0,VLOOKUP(F43,Bausteine!$A$2:$AY$76,15,FALSE))/100+IF(D43="",0,VLOOKUP(D43,Bausteine!$A$2:$AY$76,8,FALSE))+IF(E43="",0,VLOOKUP(E43,Bausteine!$A$2:$AY$76,8,FALSE))+IF(G43="",0,VLOOKUP(G43,Bausteine!$A$2:$AY$76,8,FALSE))+IF(H43="",0,VLOOKUP(H43,Bausteine!$A$2:$AY$76,8,FALSE))+IF(I43="",0,VLOOKUP(I43,Bausteine!$A$2:$AY$76,8,FALSE))+IF(J43="",0,VLOOKUP(J43,Bausteine!$A$2:$AY$76,8,FALSE))+IF(K43="",0,VLOOKUP(K43,Bausteine!$A$2:$AY$76,8,FALSE))+IF(L43="",0,VLOOKUP(L43,Bausteine!$A$2:$AY$76,8,FALSE))+IF(AC43="",0,VLOOKUP(AC43,Bausteine!$A$2:$AY$76,8,FALSE))+IF(AF43="",0,VLOOKUP(AF43,Bausteine!$A$2:$AY$76,8,FALSE))+IF(AG43="",0,VLOOKUP(AG43,Bausteine!$A$2:$AY$76,8,FALSE))+IF(AH43="",0,VLOOKUP(AH43,Bausteine!$A$2:$AY$76,8,FALSE))+IF(AQ43="",0,VLOOKUP(AQ43,Bausteine!$A$2:$AY$76,8,FALSE))+AJ43</f>
        <v/>
      </c>
      <c r="U43">
        <f>IF(C43="",0,VLOOKUP(C43,Bausteine!$A$2:$AY$76,9,FALSE))+IF(D43="",0,VLOOKUP(D43,Bausteine!$A$2:$AY$76,9,FALSE))+IF(E43="",0,VLOOKUP(E43,Bausteine!$A$2:$AY$76,9,FALSE))+IF(F43="",0,VLOOKUP(F43,Bausteine!$A$2:$AY$76,9,FALSE))+IF(G43="",0,VLOOKUP(G43,Bausteine!$A$2:$AY$76,9,FALSE))+IF(H43="",0,VLOOKUP(H43,Bausteine!$A$2:$AY$76,9,FALSE))+IF(I43="",0,VLOOKUP(I43,Bausteine!$A$2:$AY$76,9,FALSE))+IF(J43="",0,VLOOKUP(J43,Bausteine!$A$2:$AY$76,9,FALSE))+IF(K43="",0,VLOOKUP(K43,Bausteine!$A$2:$AY$76,9,FALSE))+IF(L43="",0,VLOOKUP(L43,Bausteine!$A$2:$AY$76,9,FALSE))+IF(AC43="",0,VLOOKUP(AC43,Bausteine!$A$2:$AY$76,9,FALSE))+IF(AF43="",0,VLOOKUP(AF43,Bausteine!$A$2:$AY$76,9,FALSE))+IF(AG43="",0,VLOOKUP(AG43,Bausteine!$A$2:$AY$76,9,FALSE))+IF(AH43="",0,VLOOKUP(AH43,Bausteine!$A$2:$AY$76,9,FALSE))+IF(AQ43="",0,VLOOKUP(AQ43,Bausteine!$A$2:$AY$76,9,FALSE))</f>
        <v/>
      </c>
      <c r="V43">
        <f>IF(D43="",0,VLOOKUP(D43,Bausteine!$A$2:$AY$76,10,FALSE))-U43/IF(E43="",0,VLOOKUP(E43,Bausteine!$A$2:$AY$76,11,FALSE))</f>
        <v/>
      </c>
      <c r="W43">
        <f>IF(Y43&lt;&gt;"OK","",ROUND(MIN(IF(C43="",0,VLOOKUP(C43,Bausteine!$A$2:$AY$76,21,FALSE)),IF(AQ43="",0,VLOOKUP(AQ43,Bausteine!$A$2:$AY$76,21,FALSE)),IF(C43="",0,VLOOKUP(C43,Bausteine!$A$2:$AY$76,20,FALSE))*(V43/T43/(IF(C43="",0,VLOOKUP(C43,Bausteine!$A$2:$AY$76,19,FALSE))/IF(C43="",0,VLOOKUP(C43,Bausteine!$A$2:$AY$76,18,FALSE))))^Parameter!$B$3),0))</f>
        <v/>
      </c>
      <c r="X43">
        <f>IF(F43="",0,VLOOKUP(F43,Bausteine!$A$2:$AY$76,14,FALSE))</f>
        <v/>
      </c>
      <c r="Y43">
        <f>IFERROR(IF(OR(AD43&lt;=0,AD43&gt;1,R43&lt;=0,T43&lt;=0,V43&lt;=0,U43&gt;IF(E43="",0,VLOOKUP(E43,Bausteine!$A$2:$AY$76,12,FALSE)),T43&gt;MIN(IF(C43="",0,VLOOKUP(C43,Bausteine!$A$2:$AY$76,22,FALSE)),IF(AQ43="",0,VLOOKUP(AQ43,Bausteine!$A$2:$AY$76,22,FALSE))),IF(E43="",0,VLOOKUP(E43,Bausteine!$A$2:$AY$76,11,FALSE))&lt;=0,IF(E43="",0,VLOOKUP(E43,Bausteine!$A$2:$AY$76,11,FALSE))&gt;1),"UNGUELTIG","OK"),"FEHLER")</f>
        <v/>
      </c>
      <c r="Z43" t="n">
        <v>1600</v>
      </c>
      <c r="AA43" t="n">
        <v>100</v>
      </c>
      <c r="AB43" t="inlineStr"/>
      <c r="AC43" t="inlineStr"/>
      <c r="AD43">
        <f>IF(AC43="",1,IF(AC43="",0,VLOOKUP(AC43,Bausteine!$A$2:$AY$76,37,FALSE))/100)</f>
        <v/>
      </c>
      <c r="AE43">
        <f>P43*AD43</f>
        <v/>
      </c>
      <c r="AF43" t="inlineStr"/>
      <c r="AG43" t="inlineStr"/>
      <c r="AH43" t="inlineStr"/>
      <c r="AI43">
        <f>SUMIF(Startbesatzung!$A$2:$A$7,A43,Startbesatzung!$D$2:$D$7)</f>
        <v/>
      </c>
      <c r="AJ43">
        <f>SUMIF(Startbesatzung!$A$2:$A$7,A43,Startbesatzung!$E$2:$E$7)</f>
        <v/>
      </c>
      <c r="AK43">
        <f>MAX(0,IF(Startbesatzung!A2=A43,Startbesatzung!G2,0),IF(Startbesatzung!A3=A43,Startbesatzung!G3,0),IF(Startbesatzung!A4=A43,Startbesatzung!G4,0),IF(Startbesatzung!A5=A43,Startbesatzung!G5,0),IF(Startbesatzung!A6=A43,Startbesatzung!G6,0),IF(Startbesatzung!A7=A43,Startbesatzung!G7,0))</f>
        <v/>
      </c>
      <c r="AL43">
        <f>IF(AF43="","",IF(IF(AH43="",0,VLOOKUP(AH43,Bausteine!$A$2:$AY$76,38,FALSE))&gt;0,IF(AH43="",0,VLOOKUP(AH43,Bausteine!$A$2:$AY$76,38,FALSE)),IF(AG43="",0,VLOOKUP(AG43,Bausteine!$A$2:$AY$76,28,FALSE))))</f>
        <v/>
      </c>
      <c r="AM43">
        <f>IF(AF43="","",IF(AG43="",0,VLOOKUP(AG43,Bausteine!$A$2:$AY$76,44,FALSE)))</f>
        <v/>
      </c>
      <c r="AN43">
        <f>IF(AF43="","",IF(AF43="",0,VLOOKUP(AF43,Bausteine!$A$2:$AY$76,27,FALSE)))</f>
        <v/>
      </c>
      <c r="AO43">
        <f>IF(AF43="","",IF(AF43="",0,VLOOKUP(AF43,Bausteine!$A$2:$AY$76,25,FALSE)))</f>
        <v/>
      </c>
      <c r="AP43">
        <f>IF(AF43="","",IF(AH43="",0,VLOOKUP(AH43,Bausteine!$A$2:$AY$76,29,FALSE)))</f>
        <v/>
      </c>
      <c r="AQ43" t="inlineStr">
        <is>
          <t>tracks-standard</t>
        </is>
      </c>
      <c r="AR43">
        <f>IF(AQ43="",0,VLOOKUP(AQ43,Bausteine!$A$2:$AY$76,48,FALSE))</f>
        <v/>
      </c>
      <c r="AS43">
        <f>MIN(IF(AQ43="",0,VLOOKUP(AQ43,Bausteine!$A$2:$AY$76,50,FALSE)),IF(C43="",0,VLOOKUP(C43,Bausteine!$A$2:$AY$76,51,FALSE)))</f>
        <v/>
      </c>
    </row>
    <row r="44">
      <c r="A44" t="inlineStr">
        <is>
          <t>Battlemaster Nuclear Shells Reflector</t>
        </is>
      </c>
      <c r="B44" t="inlineStr">
        <is>
          <t>china</t>
        </is>
      </c>
      <c r="C44" t="inlineStr">
        <is>
          <t>battlemaster</t>
        </is>
      </c>
      <c r="D44" t="inlineStr">
        <is>
          <t>diesel-large</t>
        </is>
      </c>
      <c r="E44" t="inlineStr">
        <is>
          <t>efficient-generator</t>
        </is>
      </c>
      <c r="F44" t="inlineStr">
        <is>
          <t>reflector</t>
        </is>
      </c>
      <c r="G44" t="inlineStr">
        <is>
          <t>cannon-turret</t>
        </is>
      </c>
      <c r="H44" t="inlineStr">
        <is>
          <t>cannon</t>
        </is>
      </c>
      <c r="I44" t="inlineStr">
        <is>
          <t>nuclear-shell</t>
        </is>
      </c>
      <c r="J44" t="inlineStr"/>
      <c r="K44" t="inlineStr"/>
      <c r="L44" t="inlineStr"/>
      <c r="M44">
        <f>IF(C44="",0,VLOOKUP(C44,Bausteine!$A$2:$AY$76,4,FALSE))+IF(D44="",0,VLOOKUP(D44,Bausteine!$A$2:$AY$76,4,FALSE))+IF(E44="",0,VLOOKUP(E44,Bausteine!$A$2:$AY$76,4,FALSE))+IF(F44="",0,VLOOKUP(F44,Bausteine!$A$2:$AY$76,4,FALSE))+IF(G44="",0,VLOOKUP(G44,Bausteine!$A$2:$AY$76,4,FALSE))+IF(H44="",0,VLOOKUP(H44,Bausteine!$A$2:$AY$76,4,FALSE))+IF(I44="",0,VLOOKUP(I44,Bausteine!$A$2:$AY$76,4,FALSE))+IF(J44="",0,VLOOKUP(J44,Bausteine!$A$2:$AY$76,4,FALSE))+IF(K44="",0,VLOOKUP(K44,Bausteine!$A$2:$AY$76,4,FALSE))+IF(L44="",0,VLOOKUP(L44,Bausteine!$A$2:$AY$76,4,FALSE))+IF(AC44="",0,VLOOKUP(AC44,Bausteine!$A$2:$AY$76,4,FALSE))+IF(AF44="",0,VLOOKUP(AF44,Bausteine!$A$2:$AY$76,4,FALSE))+IF(AG44="",0,VLOOKUP(AG44,Bausteine!$A$2:$AY$76,4,FALSE))+IF(AH44="",0,VLOOKUP(AH44,Bausteine!$A$2:$AY$76,4,FALSE))+IF(AQ44="",0,VLOOKUP(AQ44,Bausteine!$A$2:$AY$76,4,FALSE))</f>
        <v/>
      </c>
      <c r="N44">
        <f>IF(C44="",0,VLOOKUP(C44,Bausteine!$A$2:$AY$76,5,FALSE))+IF(D44="",0,VLOOKUP(D44,Bausteine!$A$2:$AY$76,5,FALSE))+IF(E44="",0,VLOOKUP(E44,Bausteine!$A$2:$AY$76,5,FALSE))+IF(F44="",0,VLOOKUP(F44,Bausteine!$A$2:$AY$76,5,FALSE))+IF(G44="",0,VLOOKUP(G44,Bausteine!$A$2:$AY$76,5,FALSE))+IF(H44="",0,VLOOKUP(H44,Bausteine!$A$2:$AY$76,5,FALSE))+IF(I44="",0,VLOOKUP(I44,Bausteine!$A$2:$AY$76,5,FALSE))+IF(J44="",0,VLOOKUP(J44,Bausteine!$A$2:$AY$76,5,FALSE))+IF(K44="",0,VLOOKUP(K44,Bausteine!$A$2:$AY$76,5,FALSE))+IF(L44="",0,VLOOKUP(L44,Bausteine!$A$2:$AY$76,5,FALSE))+IF(AC44="",0,VLOOKUP(AC44,Bausteine!$A$2:$AY$76,5,FALSE))+IF(AF44="",0,VLOOKUP(AF44,Bausteine!$A$2:$AY$76,5,FALSE))+IF(AG44="",0,VLOOKUP(AG44,Bausteine!$A$2:$AY$76,5,FALSE))+IF(AH44="",0,VLOOKUP(AH44,Bausteine!$A$2:$AY$76,5,FALSE))+IF(AQ44="",0,VLOOKUP(AQ44,Bausteine!$A$2:$AY$76,5,FALSE))</f>
        <v/>
      </c>
      <c r="O44">
        <f>MAX(IF(C44="",0,VLOOKUP(C44,Bausteine!$A$2:$AY$76,6,FALSE)),IF(D44="",0,VLOOKUP(D44,Bausteine!$A$2:$AY$76,6,FALSE)),IF(E44="",0,VLOOKUP(E44,Bausteine!$A$2:$AY$76,6,FALSE)),IF(F44="",0,VLOOKUP(F44,Bausteine!$A$2:$AY$76,6,FALSE)),IF(G44="",0,VLOOKUP(G44,Bausteine!$A$2:$AY$76,6,FALSE)),IF(H44="",0,VLOOKUP(H44,Bausteine!$A$2:$AY$76,6,FALSE)),IF(I44="",0,VLOOKUP(I44,Bausteine!$A$2:$AY$76,6,FALSE)),IF(J44="",0,VLOOKUP(J44,Bausteine!$A$2:$AY$76,6,FALSE)),IF(K44="",0,VLOOKUP(K44,Bausteine!$A$2:$AY$76,6,FALSE)),IF(L44="",0,VLOOKUP(L44,Bausteine!$A$2:$AY$76,6,FALSE)),IF(AC44="",0,VLOOKUP(AC44,Bausteine!$A$2:$AY$76,6,FALSE)),IF(AF44="",0,VLOOKUP(AF44,Bausteine!$A$2:$AY$76,6,FALSE)),IF(AG44="",0,VLOOKUP(AG44,Bausteine!$A$2:$AY$76,6,FALSE)),IF(AH44="",0,VLOOKUP(AH44,Bausteine!$A$2:$AY$76,6,FALSE)),IF(AQ44="",0,VLOOKUP(AQ44,Bausteine!$A$2:$AY$76,6,FALSE)),AK44)</f>
        <v/>
      </c>
      <c r="P44">
        <f>IF(C44="",0,VLOOKUP(C44,Bausteine!$A$2:$AY$76,7,FALSE))*IF(F44="",0,VLOOKUP(F44,Bausteine!$A$2:$AY$76,17,FALSE))/100+IF(D44="",0,VLOOKUP(D44,Bausteine!$A$2:$AY$76,7,FALSE))+IF(E44="",0,VLOOKUP(E44,Bausteine!$A$2:$AY$76,7,FALSE))+IF(G44="",0,VLOOKUP(G44,Bausteine!$A$2:$AY$76,7,FALSE))+IF(H44="",0,VLOOKUP(H44,Bausteine!$A$2:$AY$76,7,FALSE))+IF(I44="",0,VLOOKUP(I44,Bausteine!$A$2:$AY$76,7,FALSE))+IF(J44="",0,VLOOKUP(J44,Bausteine!$A$2:$AY$76,7,FALSE))+IF(K44="",0,VLOOKUP(K44,Bausteine!$A$2:$AY$76,7,FALSE))+IF(L44="",0,VLOOKUP(L44,Bausteine!$A$2:$AY$76,7,FALSE))+IF(AC44="",0,VLOOKUP(AC44,Bausteine!$A$2:$AY$76,7,FALSE))+IF(AF44="",0,VLOOKUP(AF44,Bausteine!$A$2:$AY$76,7,FALSE))+IF(AG44="",0,VLOOKUP(AG44,Bausteine!$A$2:$AY$76,7,FALSE))+IF(AH44="",0,VLOOKUP(AH44,Bausteine!$A$2:$AY$76,7,FALSE))+IF(AQ44="",0,VLOOKUP(AQ44,Bausteine!$A$2:$AY$76,7,FALSE))+AI44</f>
        <v/>
      </c>
      <c r="Q44">
        <f>N44*Parameter!$B$2</f>
        <v/>
      </c>
      <c r="R44">
        <f>AE44-Q44</f>
        <v/>
      </c>
      <c r="S44">
        <f>IF(C44="",0,VLOOKUP(C44,Bausteine!$A$2:$AY$76,13,FALSE))*IF(F44="",0,VLOOKUP(F44,Bausteine!$A$2:$AY$76,16,FALSE))/100</f>
        <v/>
      </c>
      <c r="T44">
        <f>IF(C44="",0,VLOOKUP(C44,Bausteine!$A$2:$AY$76,8,FALSE))*IF(F44="",0,VLOOKUP(F44,Bausteine!$A$2:$AY$76,15,FALSE))/100+IF(D44="",0,VLOOKUP(D44,Bausteine!$A$2:$AY$76,8,FALSE))+IF(E44="",0,VLOOKUP(E44,Bausteine!$A$2:$AY$76,8,FALSE))+IF(G44="",0,VLOOKUP(G44,Bausteine!$A$2:$AY$76,8,FALSE))+IF(H44="",0,VLOOKUP(H44,Bausteine!$A$2:$AY$76,8,FALSE))+IF(I44="",0,VLOOKUP(I44,Bausteine!$A$2:$AY$76,8,FALSE))+IF(J44="",0,VLOOKUP(J44,Bausteine!$A$2:$AY$76,8,FALSE))+IF(K44="",0,VLOOKUP(K44,Bausteine!$A$2:$AY$76,8,FALSE))+IF(L44="",0,VLOOKUP(L44,Bausteine!$A$2:$AY$76,8,FALSE))+IF(AC44="",0,VLOOKUP(AC44,Bausteine!$A$2:$AY$76,8,FALSE))+IF(AF44="",0,VLOOKUP(AF44,Bausteine!$A$2:$AY$76,8,FALSE))+IF(AG44="",0,VLOOKUP(AG44,Bausteine!$A$2:$AY$76,8,FALSE))+IF(AH44="",0,VLOOKUP(AH44,Bausteine!$A$2:$AY$76,8,FALSE))+IF(AQ44="",0,VLOOKUP(AQ44,Bausteine!$A$2:$AY$76,8,FALSE))+AJ44</f>
        <v/>
      </c>
      <c r="U44">
        <f>IF(C44="",0,VLOOKUP(C44,Bausteine!$A$2:$AY$76,9,FALSE))+IF(D44="",0,VLOOKUP(D44,Bausteine!$A$2:$AY$76,9,FALSE))+IF(E44="",0,VLOOKUP(E44,Bausteine!$A$2:$AY$76,9,FALSE))+IF(F44="",0,VLOOKUP(F44,Bausteine!$A$2:$AY$76,9,FALSE))+IF(G44="",0,VLOOKUP(G44,Bausteine!$A$2:$AY$76,9,FALSE))+IF(H44="",0,VLOOKUP(H44,Bausteine!$A$2:$AY$76,9,FALSE))+IF(I44="",0,VLOOKUP(I44,Bausteine!$A$2:$AY$76,9,FALSE))+IF(J44="",0,VLOOKUP(J44,Bausteine!$A$2:$AY$76,9,FALSE))+IF(K44="",0,VLOOKUP(K44,Bausteine!$A$2:$AY$76,9,FALSE))+IF(L44="",0,VLOOKUP(L44,Bausteine!$A$2:$AY$76,9,FALSE))+IF(AC44="",0,VLOOKUP(AC44,Bausteine!$A$2:$AY$76,9,FALSE))+IF(AF44="",0,VLOOKUP(AF44,Bausteine!$A$2:$AY$76,9,FALSE))+IF(AG44="",0,VLOOKUP(AG44,Bausteine!$A$2:$AY$76,9,FALSE))+IF(AH44="",0,VLOOKUP(AH44,Bausteine!$A$2:$AY$76,9,FALSE))+IF(AQ44="",0,VLOOKUP(AQ44,Bausteine!$A$2:$AY$76,9,FALSE))</f>
        <v/>
      </c>
      <c r="V44">
        <f>IF(D44="",0,VLOOKUP(D44,Bausteine!$A$2:$AY$76,10,FALSE))-U44/IF(E44="",0,VLOOKUP(E44,Bausteine!$A$2:$AY$76,11,FALSE))</f>
        <v/>
      </c>
      <c r="W44">
        <f>IF(Y44&lt;&gt;"OK","",ROUND(MIN(IF(C44="",0,VLOOKUP(C44,Bausteine!$A$2:$AY$76,21,FALSE)),IF(AQ44="",0,VLOOKUP(AQ44,Bausteine!$A$2:$AY$76,21,FALSE)),IF(C44="",0,VLOOKUP(C44,Bausteine!$A$2:$AY$76,20,FALSE))*(V44/T44/(IF(C44="",0,VLOOKUP(C44,Bausteine!$A$2:$AY$76,19,FALSE))/IF(C44="",0,VLOOKUP(C44,Bausteine!$A$2:$AY$76,18,FALSE))))^Parameter!$B$3),0))</f>
        <v/>
      </c>
      <c r="X44">
        <f>IF(F44="",0,VLOOKUP(F44,Bausteine!$A$2:$AY$76,14,FALSE))</f>
        <v/>
      </c>
      <c r="Y44">
        <f>IFERROR(IF(OR(AD44&lt;=0,AD44&gt;1,R44&lt;=0,T44&lt;=0,V44&lt;=0,U44&gt;IF(E44="",0,VLOOKUP(E44,Bausteine!$A$2:$AY$76,12,FALSE)),T44&gt;MIN(IF(C44="",0,VLOOKUP(C44,Bausteine!$A$2:$AY$76,22,FALSE)),IF(AQ44="",0,VLOOKUP(AQ44,Bausteine!$A$2:$AY$76,22,FALSE))),IF(E44="",0,VLOOKUP(E44,Bausteine!$A$2:$AY$76,11,FALSE))&lt;=0,IF(E44="",0,VLOOKUP(E44,Bausteine!$A$2:$AY$76,11,FALSE))&gt;1),"UNGUELTIG","OK"),"FEHLER")</f>
        <v/>
      </c>
      <c r="Z44" t="n">
        <v>950</v>
      </c>
      <c r="AA44" t="n">
        <v>100</v>
      </c>
      <c r="AB44" t="inlineStr"/>
      <c r="AC44" t="inlineStr"/>
      <c r="AD44">
        <f>IF(AC44="",1,IF(AC44="",0,VLOOKUP(AC44,Bausteine!$A$2:$AY$76,37,FALSE))/100)</f>
        <v/>
      </c>
      <c r="AE44">
        <f>P44*AD44</f>
        <v/>
      </c>
      <c r="AF44" t="inlineStr"/>
      <c r="AG44" t="inlineStr"/>
      <c r="AH44" t="inlineStr"/>
      <c r="AI44">
        <f>SUMIF(Startbesatzung!$A$2:$A$7,A44,Startbesatzung!$D$2:$D$7)</f>
        <v/>
      </c>
      <c r="AJ44">
        <f>SUMIF(Startbesatzung!$A$2:$A$7,A44,Startbesatzung!$E$2:$E$7)</f>
        <v/>
      </c>
      <c r="AK44">
        <f>MAX(0,IF(Startbesatzung!A2=A44,Startbesatzung!G2,0),IF(Startbesatzung!A3=A44,Startbesatzung!G3,0),IF(Startbesatzung!A4=A44,Startbesatzung!G4,0),IF(Startbesatzung!A5=A44,Startbesatzung!G5,0),IF(Startbesatzung!A6=A44,Startbesatzung!G6,0),IF(Startbesatzung!A7=A44,Startbesatzung!G7,0))</f>
        <v/>
      </c>
      <c r="AL44">
        <f>IF(AF44="","",IF(IF(AH44="",0,VLOOKUP(AH44,Bausteine!$A$2:$AY$76,38,FALSE))&gt;0,IF(AH44="",0,VLOOKUP(AH44,Bausteine!$A$2:$AY$76,38,FALSE)),IF(AG44="",0,VLOOKUP(AG44,Bausteine!$A$2:$AY$76,28,FALSE))))</f>
        <v/>
      </c>
      <c r="AM44">
        <f>IF(AF44="","",IF(AG44="",0,VLOOKUP(AG44,Bausteine!$A$2:$AY$76,44,FALSE)))</f>
        <v/>
      </c>
      <c r="AN44">
        <f>IF(AF44="","",IF(AF44="",0,VLOOKUP(AF44,Bausteine!$A$2:$AY$76,27,FALSE)))</f>
        <v/>
      </c>
      <c r="AO44">
        <f>IF(AF44="","",IF(AF44="",0,VLOOKUP(AF44,Bausteine!$A$2:$AY$76,25,FALSE)))</f>
        <v/>
      </c>
      <c r="AP44">
        <f>IF(AF44="","",IF(AH44="",0,VLOOKUP(AH44,Bausteine!$A$2:$AY$76,29,FALSE)))</f>
        <v/>
      </c>
      <c r="AQ44" t="inlineStr">
        <is>
          <t>tracks-standard</t>
        </is>
      </c>
      <c r="AR44">
        <f>IF(AQ44="",0,VLOOKUP(AQ44,Bausteine!$A$2:$AY$76,48,FALSE))</f>
        <v/>
      </c>
      <c r="AS44">
        <f>MIN(IF(AQ44="",0,VLOOKUP(AQ44,Bausteine!$A$2:$AY$76,50,FALSE)),IF(C44="",0,VLOOKUP(C44,Bausteine!$A$2:$AY$76,51,FALSE)))</f>
        <v/>
      </c>
    </row>
    <row r="45">
      <c r="A45" t="inlineStr">
        <is>
          <t>Battlemaster Mass Production</t>
        </is>
      </c>
      <c r="B45" t="inlineStr">
        <is>
          <t>china</t>
        </is>
      </c>
      <c r="C45" t="inlineStr">
        <is>
          <t>battlemaster</t>
        </is>
      </c>
      <c r="D45" t="inlineStr">
        <is>
          <t>diesel</t>
        </is>
      </c>
      <c r="E45" t="inlineStr">
        <is>
          <t>baseline-generator</t>
        </is>
      </c>
      <c r="F45" t="inlineStr">
        <is>
          <t>heavy</t>
        </is>
      </c>
      <c r="G45" t="inlineStr">
        <is>
          <t>cannon-turret</t>
        </is>
      </c>
      <c r="H45" t="inlineStr">
        <is>
          <t>cannon</t>
        </is>
      </c>
      <c r="I45" t="inlineStr">
        <is>
          <t>shell</t>
        </is>
      </c>
      <c r="J45" t="inlineStr"/>
      <c r="K45" t="inlineStr"/>
      <c r="L45" t="inlineStr"/>
      <c r="M45">
        <f>IF(C45="",0,VLOOKUP(C45,Bausteine!$A$2:$AY$76,4,FALSE))+IF(D45="",0,VLOOKUP(D45,Bausteine!$A$2:$AY$76,4,FALSE))+IF(E45="",0,VLOOKUP(E45,Bausteine!$A$2:$AY$76,4,FALSE))+IF(F45="",0,VLOOKUP(F45,Bausteine!$A$2:$AY$76,4,FALSE))+IF(G45="",0,VLOOKUP(G45,Bausteine!$A$2:$AY$76,4,FALSE))+IF(H45="",0,VLOOKUP(H45,Bausteine!$A$2:$AY$76,4,FALSE))+IF(I45="",0,VLOOKUP(I45,Bausteine!$A$2:$AY$76,4,FALSE))+IF(J45="",0,VLOOKUP(J45,Bausteine!$A$2:$AY$76,4,FALSE))+IF(K45="",0,VLOOKUP(K45,Bausteine!$A$2:$AY$76,4,FALSE))+IF(L45="",0,VLOOKUP(L45,Bausteine!$A$2:$AY$76,4,FALSE))+IF(AC45="",0,VLOOKUP(AC45,Bausteine!$A$2:$AY$76,4,FALSE))+IF(AF45="",0,VLOOKUP(AF45,Bausteine!$A$2:$AY$76,4,FALSE))+IF(AG45="",0,VLOOKUP(AG45,Bausteine!$A$2:$AY$76,4,FALSE))+IF(AH45="",0,VLOOKUP(AH45,Bausteine!$A$2:$AY$76,4,FALSE))+IF(AQ45="",0,VLOOKUP(AQ45,Bausteine!$A$2:$AY$76,4,FALSE))</f>
        <v/>
      </c>
      <c r="N45">
        <f>IF(C45="",0,VLOOKUP(C45,Bausteine!$A$2:$AY$76,5,FALSE))+IF(D45="",0,VLOOKUP(D45,Bausteine!$A$2:$AY$76,5,FALSE))+IF(E45="",0,VLOOKUP(E45,Bausteine!$A$2:$AY$76,5,FALSE))+IF(F45="",0,VLOOKUP(F45,Bausteine!$A$2:$AY$76,5,FALSE))+IF(G45="",0,VLOOKUP(G45,Bausteine!$A$2:$AY$76,5,FALSE))+IF(H45="",0,VLOOKUP(H45,Bausteine!$A$2:$AY$76,5,FALSE))+IF(I45="",0,VLOOKUP(I45,Bausteine!$A$2:$AY$76,5,FALSE))+IF(J45="",0,VLOOKUP(J45,Bausteine!$A$2:$AY$76,5,FALSE))+IF(K45="",0,VLOOKUP(K45,Bausteine!$A$2:$AY$76,5,FALSE))+IF(L45="",0,VLOOKUP(L45,Bausteine!$A$2:$AY$76,5,FALSE))+IF(AC45="",0,VLOOKUP(AC45,Bausteine!$A$2:$AY$76,5,FALSE))+IF(AF45="",0,VLOOKUP(AF45,Bausteine!$A$2:$AY$76,5,FALSE))+IF(AG45="",0,VLOOKUP(AG45,Bausteine!$A$2:$AY$76,5,FALSE))+IF(AH45="",0,VLOOKUP(AH45,Bausteine!$A$2:$AY$76,5,FALSE))+IF(AQ45="",0,VLOOKUP(AQ45,Bausteine!$A$2:$AY$76,5,FALSE))</f>
        <v/>
      </c>
      <c r="O45">
        <f>MAX(IF(C45="",0,VLOOKUP(C45,Bausteine!$A$2:$AY$76,6,FALSE)),IF(D45="",0,VLOOKUP(D45,Bausteine!$A$2:$AY$76,6,FALSE)),IF(E45="",0,VLOOKUP(E45,Bausteine!$A$2:$AY$76,6,FALSE)),IF(F45="",0,VLOOKUP(F45,Bausteine!$A$2:$AY$76,6,FALSE)),IF(G45="",0,VLOOKUP(G45,Bausteine!$A$2:$AY$76,6,FALSE)),IF(H45="",0,VLOOKUP(H45,Bausteine!$A$2:$AY$76,6,FALSE)),IF(I45="",0,VLOOKUP(I45,Bausteine!$A$2:$AY$76,6,FALSE)),IF(J45="",0,VLOOKUP(J45,Bausteine!$A$2:$AY$76,6,FALSE)),IF(K45="",0,VLOOKUP(K45,Bausteine!$A$2:$AY$76,6,FALSE)),IF(L45="",0,VLOOKUP(L45,Bausteine!$A$2:$AY$76,6,FALSE)),IF(AC45="",0,VLOOKUP(AC45,Bausteine!$A$2:$AY$76,6,FALSE)),IF(AF45="",0,VLOOKUP(AF45,Bausteine!$A$2:$AY$76,6,FALSE)),IF(AG45="",0,VLOOKUP(AG45,Bausteine!$A$2:$AY$76,6,FALSE)),IF(AH45="",0,VLOOKUP(AH45,Bausteine!$A$2:$AY$76,6,FALSE)),IF(AQ45="",0,VLOOKUP(AQ45,Bausteine!$A$2:$AY$76,6,FALSE)),AK45)</f>
        <v/>
      </c>
      <c r="P45">
        <f>IF(C45="",0,VLOOKUP(C45,Bausteine!$A$2:$AY$76,7,FALSE))*IF(F45="",0,VLOOKUP(F45,Bausteine!$A$2:$AY$76,17,FALSE))/100+IF(D45="",0,VLOOKUP(D45,Bausteine!$A$2:$AY$76,7,FALSE))+IF(E45="",0,VLOOKUP(E45,Bausteine!$A$2:$AY$76,7,FALSE))+IF(G45="",0,VLOOKUP(G45,Bausteine!$A$2:$AY$76,7,FALSE))+IF(H45="",0,VLOOKUP(H45,Bausteine!$A$2:$AY$76,7,FALSE))+IF(I45="",0,VLOOKUP(I45,Bausteine!$A$2:$AY$76,7,FALSE))+IF(J45="",0,VLOOKUP(J45,Bausteine!$A$2:$AY$76,7,FALSE))+IF(K45="",0,VLOOKUP(K45,Bausteine!$A$2:$AY$76,7,FALSE))+IF(L45="",0,VLOOKUP(L45,Bausteine!$A$2:$AY$76,7,FALSE))+IF(AC45="",0,VLOOKUP(AC45,Bausteine!$A$2:$AY$76,7,FALSE))+IF(AF45="",0,VLOOKUP(AF45,Bausteine!$A$2:$AY$76,7,FALSE))+IF(AG45="",0,VLOOKUP(AG45,Bausteine!$A$2:$AY$76,7,FALSE))+IF(AH45="",0,VLOOKUP(AH45,Bausteine!$A$2:$AY$76,7,FALSE))+IF(AQ45="",0,VLOOKUP(AQ45,Bausteine!$A$2:$AY$76,7,FALSE))+AI45</f>
        <v/>
      </c>
      <c r="Q45">
        <f>N45*Parameter!$B$2</f>
        <v/>
      </c>
      <c r="R45">
        <f>AE45-Q45</f>
        <v/>
      </c>
      <c r="S45">
        <f>IF(C45="",0,VLOOKUP(C45,Bausteine!$A$2:$AY$76,13,FALSE))*IF(F45="",0,VLOOKUP(F45,Bausteine!$A$2:$AY$76,16,FALSE))/100</f>
        <v/>
      </c>
      <c r="T45">
        <f>IF(C45="",0,VLOOKUP(C45,Bausteine!$A$2:$AY$76,8,FALSE))*IF(F45="",0,VLOOKUP(F45,Bausteine!$A$2:$AY$76,15,FALSE))/100+IF(D45="",0,VLOOKUP(D45,Bausteine!$A$2:$AY$76,8,FALSE))+IF(E45="",0,VLOOKUP(E45,Bausteine!$A$2:$AY$76,8,FALSE))+IF(G45="",0,VLOOKUP(G45,Bausteine!$A$2:$AY$76,8,FALSE))+IF(H45="",0,VLOOKUP(H45,Bausteine!$A$2:$AY$76,8,FALSE))+IF(I45="",0,VLOOKUP(I45,Bausteine!$A$2:$AY$76,8,FALSE))+IF(J45="",0,VLOOKUP(J45,Bausteine!$A$2:$AY$76,8,FALSE))+IF(K45="",0,VLOOKUP(K45,Bausteine!$A$2:$AY$76,8,FALSE))+IF(L45="",0,VLOOKUP(L45,Bausteine!$A$2:$AY$76,8,FALSE))+IF(AC45="",0,VLOOKUP(AC45,Bausteine!$A$2:$AY$76,8,FALSE))+IF(AF45="",0,VLOOKUP(AF45,Bausteine!$A$2:$AY$76,8,FALSE))+IF(AG45="",0,VLOOKUP(AG45,Bausteine!$A$2:$AY$76,8,FALSE))+IF(AH45="",0,VLOOKUP(AH45,Bausteine!$A$2:$AY$76,8,FALSE))+IF(AQ45="",0,VLOOKUP(AQ45,Bausteine!$A$2:$AY$76,8,FALSE))+AJ45</f>
        <v/>
      </c>
      <c r="U45">
        <f>IF(C45="",0,VLOOKUP(C45,Bausteine!$A$2:$AY$76,9,FALSE))+IF(D45="",0,VLOOKUP(D45,Bausteine!$A$2:$AY$76,9,FALSE))+IF(E45="",0,VLOOKUP(E45,Bausteine!$A$2:$AY$76,9,FALSE))+IF(F45="",0,VLOOKUP(F45,Bausteine!$A$2:$AY$76,9,FALSE))+IF(G45="",0,VLOOKUP(G45,Bausteine!$A$2:$AY$76,9,FALSE))+IF(H45="",0,VLOOKUP(H45,Bausteine!$A$2:$AY$76,9,FALSE))+IF(I45="",0,VLOOKUP(I45,Bausteine!$A$2:$AY$76,9,FALSE))+IF(J45="",0,VLOOKUP(J45,Bausteine!$A$2:$AY$76,9,FALSE))+IF(K45="",0,VLOOKUP(K45,Bausteine!$A$2:$AY$76,9,FALSE))+IF(L45="",0,VLOOKUP(L45,Bausteine!$A$2:$AY$76,9,FALSE))+IF(AC45="",0,VLOOKUP(AC45,Bausteine!$A$2:$AY$76,9,FALSE))+IF(AF45="",0,VLOOKUP(AF45,Bausteine!$A$2:$AY$76,9,FALSE))+IF(AG45="",0,VLOOKUP(AG45,Bausteine!$A$2:$AY$76,9,FALSE))+IF(AH45="",0,VLOOKUP(AH45,Bausteine!$A$2:$AY$76,9,FALSE))+IF(AQ45="",0,VLOOKUP(AQ45,Bausteine!$A$2:$AY$76,9,FALSE))</f>
        <v/>
      </c>
      <c r="V45">
        <f>IF(D45="",0,VLOOKUP(D45,Bausteine!$A$2:$AY$76,10,FALSE))-U45/IF(E45="",0,VLOOKUP(E45,Bausteine!$A$2:$AY$76,11,FALSE))</f>
        <v/>
      </c>
      <c r="W45">
        <f>IF(Y45&lt;&gt;"OK","",ROUND(MIN(IF(C45="",0,VLOOKUP(C45,Bausteine!$A$2:$AY$76,21,FALSE)),IF(AQ45="",0,VLOOKUP(AQ45,Bausteine!$A$2:$AY$76,21,FALSE)),IF(C45="",0,VLOOKUP(C45,Bausteine!$A$2:$AY$76,20,FALSE))*(V45/T45/(IF(C45="",0,VLOOKUP(C45,Bausteine!$A$2:$AY$76,19,FALSE))/IF(C45="",0,VLOOKUP(C45,Bausteine!$A$2:$AY$76,18,FALSE))))^Parameter!$B$3),0))</f>
        <v/>
      </c>
      <c r="X45">
        <f>IF(F45="",0,VLOOKUP(F45,Bausteine!$A$2:$AY$76,14,FALSE))</f>
        <v/>
      </c>
      <c r="Y45">
        <f>IFERROR(IF(OR(AD45&lt;=0,AD45&gt;1,R45&lt;=0,T45&lt;=0,V45&lt;=0,U45&gt;IF(E45="",0,VLOOKUP(E45,Bausteine!$A$2:$AY$76,12,FALSE)),T45&gt;MIN(IF(C45="",0,VLOOKUP(C45,Bausteine!$A$2:$AY$76,22,FALSE)),IF(AQ45="",0,VLOOKUP(AQ45,Bausteine!$A$2:$AY$76,22,FALSE))),IF(E45="",0,VLOOKUP(E45,Bausteine!$A$2:$AY$76,11,FALSE))&lt;=0,IF(E45="",0,VLOOKUP(E45,Bausteine!$A$2:$AY$76,11,FALSE))&gt;1),"UNGUELTIG","OK"),"FEHLER")</f>
        <v/>
      </c>
      <c r="Z45" t="n">
        <v>602.5</v>
      </c>
      <c r="AA45" t="n">
        <v>100</v>
      </c>
      <c r="AB45" t="inlineStr"/>
      <c r="AC45" t="inlineStr">
        <is>
          <t>mass-production</t>
        </is>
      </c>
      <c r="AD45">
        <f>IF(AC45="",1,IF(AC45="",0,VLOOKUP(AC45,Bausteine!$A$2:$AY$76,37,FALSE))/100)</f>
        <v/>
      </c>
      <c r="AE45">
        <f>P45*AD45</f>
        <v/>
      </c>
      <c r="AF45" t="inlineStr"/>
      <c r="AG45" t="inlineStr"/>
      <c r="AH45" t="inlineStr"/>
      <c r="AI45">
        <f>SUMIF(Startbesatzung!$A$2:$A$7,A45,Startbesatzung!$D$2:$D$7)</f>
        <v/>
      </c>
      <c r="AJ45">
        <f>SUMIF(Startbesatzung!$A$2:$A$7,A45,Startbesatzung!$E$2:$E$7)</f>
        <v/>
      </c>
      <c r="AK45">
        <f>MAX(0,IF(Startbesatzung!A2=A45,Startbesatzung!G2,0),IF(Startbesatzung!A3=A45,Startbesatzung!G3,0),IF(Startbesatzung!A4=A45,Startbesatzung!G4,0),IF(Startbesatzung!A5=A45,Startbesatzung!G5,0),IF(Startbesatzung!A6=A45,Startbesatzung!G6,0),IF(Startbesatzung!A7=A45,Startbesatzung!G7,0))</f>
        <v/>
      </c>
      <c r="AL45">
        <f>IF(AF45="","",IF(IF(AH45="",0,VLOOKUP(AH45,Bausteine!$A$2:$AY$76,38,FALSE))&gt;0,IF(AH45="",0,VLOOKUP(AH45,Bausteine!$A$2:$AY$76,38,FALSE)),IF(AG45="",0,VLOOKUP(AG45,Bausteine!$A$2:$AY$76,28,FALSE))))</f>
        <v/>
      </c>
      <c r="AM45">
        <f>IF(AF45="","",IF(AG45="",0,VLOOKUP(AG45,Bausteine!$A$2:$AY$76,44,FALSE)))</f>
        <v/>
      </c>
      <c r="AN45">
        <f>IF(AF45="","",IF(AF45="",0,VLOOKUP(AF45,Bausteine!$A$2:$AY$76,27,FALSE)))</f>
        <v/>
      </c>
      <c r="AO45">
        <f>IF(AF45="","",IF(AF45="",0,VLOOKUP(AF45,Bausteine!$A$2:$AY$76,25,FALSE)))</f>
        <v/>
      </c>
      <c r="AP45">
        <f>IF(AF45="","",IF(AH45="",0,VLOOKUP(AH45,Bausteine!$A$2:$AY$76,29,FALSE)))</f>
        <v/>
      </c>
      <c r="AQ45" t="inlineStr">
        <is>
          <t>tracks-standard</t>
        </is>
      </c>
      <c r="AR45">
        <f>IF(AQ45="",0,VLOOKUP(AQ45,Bausteine!$A$2:$AY$76,48,FALSE))</f>
        <v/>
      </c>
      <c r="AS45">
        <f>MIN(IF(AQ45="",0,VLOOKUP(AQ45,Bausteine!$A$2:$AY$76,50,FALSE)),IF(C45="",0,VLOOKUP(C45,Bausteine!$A$2:$AY$76,51,FALSE)))</f>
        <v/>
      </c>
    </row>
    <row r="46">
      <c r="A46" t="inlineStr">
        <is>
          <t>Battlemaster Mass Production PDL</t>
        </is>
      </c>
      <c r="B46" t="inlineStr">
        <is>
          <t>china</t>
        </is>
      </c>
      <c r="C46" t="inlineStr">
        <is>
          <t>battlemaster</t>
        </is>
      </c>
      <c r="D46" t="inlineStr">
        <is>
          <t>diesel-large</t>
        </is>
      </c>
      <c r="E46" t="inlineStr">
        <is>
          <t>efficient-generator</t>
        </is>
      </c>
      <c r="F46" t="inlineStr">
        <is>
          <t>heavy</t>
        </is>
      </c>
      <c r="G46" t="inlineStr">
        <is>
          <t>cannon-turret</t>
        </is>
      </c>
      <c r="H46" t="inlineStr">
        <is>
          <t>cannon</t>
        </is>
      </c>
      <c r="I46" t="inlineStr">
        <is>
          <t>shell</t>
        </is>
      </c>
      <c r="J46" t="inlineStr">
        <is>
          <t>pdl</t>
        </is>
      </c>
      <c r="K46" t="inlineStr"/>
      <c r="L46" t="inlineStr"/>
      <c r="M46">
        <f>IF(C46="",0,VLOOKUP(C46,Bausteine!$A$2:$AY$76,4,FALSE))+IF(D46="",0,VLOOKUP(D46,Bausteine!$A$2:$AY$76,4,FALSE))+IF(E46="",0,VLOOKUP(E46,Bausteine!$A$2:$AY$76,4,FALSE))+IF(F46="",0,VLOOKUP(F46,Bausteine!$A$2:$AY$76,4,FALSE))+IF(G46="",0,VLOOKUP(G46,Bausteine!$A$2:$AY$76,4,FALSE))+IF(H46="",0,VLOOKUP(H46,Bausteine!$A$2:$AY$76,4,FALSE))+IF(I46="",0,VLOOKUP(I46,Bausteine!$A$2:$AY$76,4,FALSE))+IF(J46="",0,VLOOKUP(J46,Bausteine!$A$2:$AY$76,4,FALSE))+IF(K46="",0,VLOOKUP(K46,Bausteine!$A$2:$AY$76,4,FALSE))+IF(L46="",0,VLOOKUP(L46,Bausteine!$A$2:$AY$76,4,FALSE))+IF(AC46="",0,VLOOKUP(AC46,Bausteine!$A$2:$AY$76,4,FALSE))+IF(AF46="",0,VLOOKUP(AF46,Bausteine!$A$2:$AY$76,4,FALSE))+IF(AG46="",0,VLOOKUP(AG46,Bausteine!$A$2:$AY$76,4,FALSE))+IF(AH46="",0,VLOOKUP(AH46,Bausteine!$A$2:$AY$76,4,FALSE))+IF(AQ46="",0,VLOOKUP(AQ46,Bausteine!$A$2:$AY$76,4,FALSE))</f>
        <v/>
      </c>
      <c r="N46">
        <f>IF(C46="",0,VLOOKUP(C46,Bausteine!$A$2:$AY$76,5,FALSE))+IF(D46="",0,VLOOKUP(D46,Bausteine!$A$2:$AY$76,5,FALSE))+IF(E46="",0,VLOOKUP(E46,Bausteine!$A$2:$AY$76,5,FALSE))+IF(F46="",0,VLOOKUP(F46,Bausteine!$A$2:$AY$76,5,FALSE))+IF(G46="",0,VLOOKUP(G46,Bausteine!$A$2:$AY$76,5,FALSE))+IF(H46="",0,VLOOKUP(H46,Bausteine!$A$2:$AY$76,5,FALSE))+IF(I46="",0,VLOOKUP(I46,Bausteine!$A$2:$AY$76,5,FALSE))+IF(J46="",0,VLOOKUP(J46,Bausteine!$A$2:$AY$76,5,FALSE))+IF(K46="",0,VLOOKUP(K46,Bausteine!$A$2:$AY$76,5,FALSE))+IF(L46="",0,VLOOKUP(L46,Bausteine!$A$2:$AY$76,5,FALSE))+IF(AC46="",0,VLOOKUP(AC46,Bausteine!$A$2:$AY$76,5,FALSE))+IF(AF46="",0,VLOOKUP(AF46,Bausteine!$A$2:$AY$76,5,FALSE))+IF(AG46="",0,VLOOKUP(AG46,Bausteine!$A$2:$AY$76,5,FALSE))+IF(AH46="",0,VLOOKUP(AH46,Bausteine!$A$2:$AY$76,5,FALSE))+IF(AQ46="",0,VLOOKUP(AQ46,Bausteine!$A$2:$AY$76,5,FALSE))</f>
        <v/>
      </c>
      <c r="O46">
        <f>MAX(IF(C46="",0,VLOOKUP(C46,Bausteine!$A$2:$AY$76,6,FALSE)),IF(D46="",0,VLOOKUP(D46,Bausteine!$A$2:$AY$76,6,FALSE)),IF(E46="",0,VLOOKUP(E46,Bausteine!$A$2:$AY$76,6,FALSE)),IF(F46="",0,VLOOKUP(F46,Bausteine!$A$2:$AY$76,6,FALSE)),IF(G46="",0,VLOOKUP(G46,Bausteine!$A$2:$AY$76,6,FALSE)),IF(H46="",0,VLOOKUP(H46,Bausteine!$A$2:$AY$76,6,FALSE)),IF(I46="",0,VLOOKUP(I46,Bausteine!$A$2:$AY$76,6,FALSE)),IF(J46="",0,VLOOKUP(J46,Bausteine!$A$2:$AY$76,6,FALSE)),IF(K46="",0,VLOOKUP(K46,Bausteine!$A$2:$AY$76,6,FALSE)),IF(L46="",0,VLOOKUP(L46,Bausteine!$A$2:$AY$76,6,FALSE)),IF(AC46="",0,VLOOKUP(AC46,Bausteine!$A$2:$AY$76,6,FALSE)),IF(AF46="",0,VLOOKUP(AF46,Bausteine!$A$2:$AY$76,6,FALSE)),IF(AG46="",0,VLOOKUP(AG46,Bausteine!$A$2:$AY$76,6,FALSE)),IF(AH46="",0,VLOOKUP(AH46,Bausteine!$A$2:$AY$76,6,FALSE)),IF(AQ46="",0,VLOOKUP(AQ46,Bausteine!$A$2:$AY$76,6,FALSE)),AK46)</f>
        <v/>
      </c>
      <c r="P46">
        <f>IF(C46="",0,VLOOKUP(C46,Bausteine!$A$2:$AY$76,7,FALSE))*IF(F46="",0,VLOOKUP(F46,Bausteine!$A$2:$AY$76,17,FALSE))/100+IF(D46="",0,VLOOKUP(D46,Bausteine!$A$2:$AY$76,7,FALSE))+IF(E46="",0,VLOOKUP(E46,Bausteine!$A$2:$AY$76,7,FALSE))+IF(G46="",0,VLOOKUP(G46,Bausteine!$A$2:$AY$76,7,FALSE))+IF(H46="",0,VLOOKUP(H46,Bausteine!$A$2:$AY$76,7,FALSE))+IF(I46="",0,VLOOKUP(I46,Bausteine!$A$2:$AY$76,7,FALSE))+IF(J46="",0,VLOOKUP(J46,Bausteine!$A$2:$AY$76,7,FALSE))+IF(K46="",0,VLOOKUP(K46,Bausteine!$A$2:$AY$76,7,FALSE))+IF(L46="",0,VLOOKUP(L46,Bausteine!$A$2:$AY$76,7,FALSE))+IF(AC46="",0,VLOOKUP(AC46,Bausteine!$A$2:$AY$76,7,FALSE))+IF(AF46="",0,VLOOKUP(AF46,Bausteine!$A$2:$AY$76,7,FALSE))+IF(AG46="",0,VLOOKUP(AG46,Bausteine!$A$2:$AY$76,7,FALSE))+IF(AH46="",0,VLOOKUP(AH46,Bausteine!$A$2:$AY$76,7,FALSE))+IF(AQ46="",0,VLOOKUP(AQ46,Bausteine!$A$2:$AY$76,7,FALSE))+AI46</f>
        <v/>
      </c>
      <c r="Q46">
        <f>N46*Parameter!$B$2</f>
        <v/>
      </c>
      <c r="R46">
        <f>AE46-Q46</f>
        <v/>
      </c>
      <c r="S46">
        <f>IF(C46="",0,VLOOKUP(C46,Bausteine!$A$2:$AY$76,13,FALSE))*IF(F46="",0,VLOOKUP(F46,Bausteine!$A$2:$AY$76,16,FALSE))/100</f>
        <v/>
      </c>
      <c r="T46">
        <f>IF(C46="",0,VLOOKUP(C46,Bausteine!$A$2:$AY$76,8,FALSE))*IF(F46="",0,VLOOKUP(F46,Bausteine!$A$2:$AY$76,15,FALSE))/100+IF(D46="",0,VLOOKUP(D46,Bausteine!$A$2:$AY$76,8,FALSE))+IF(E46="",0,VLOOKUP(E46,Bausteine!$A$2:$AY$76,8,FALSE))+IF(G46="",0,VLOOKUP(G46,Bausteine!$A$2:$AY$76,8,FALSE))+IF(H46="",0,VLOOKUP(H46,Bausteine!$A$2:$AY$76,8,FALSE))+IF(I46="",0,VLOOKUP(I46,Bausteine!$A$2:$AY$76,8,FALSE))+IF(J46="",0,VLOOKUP(J46,Bausteine!$A$2:$AY$76,8,FALSE))+IF(K46="",0,VLOOKUP(K46,Bausteine!$A$2:$AY$76,8,FALSE))+IF(L46="",0,VLOOKUP(L46,Bausteine!$A$2:$AY$76,8,FALSE))+IF(AC46="",0,VLOOKUP(AC46,Bausteine!$A$2:$AY$76,8,FALSE))+IF(AF46="",0,VLOOKUP(AF46,Bausteine!$A$2:$AY$76,8,FALSE))+IF(AG46="",0,VLOOKUP(AG46,Bausteine!$A$2:$AY$76,8,FALSE))+IF(AH46="",0,VLOOKUP(AH46,Bausteine!$A$2:$AY$76,8,FALSE))+IF(AQ46="",0,VLOOKUP(AQ46,Bausteine!$A$2:$AY$76,8,FALSE))+AJ46</f>
        <v/>
      </c>
      <c r="U46">
        <f>IF(C46="",0,VLOOKUP(C46,Bausteine!$A$2:$AY$76,9,FALSE))+IF(D46="",0,VLOOKUP(D46,Bausteine!$A$2:$AY$76,9,FALSE))+IF(E46="",0,VLOOKUP(E46,Bausteine!$A$2:$AY$76,9,FALSE))+IF(F46="",0,VLOOKUP(F46,Bausteine!$A$2:$AY$76,9,FALSE))+IF(G46="",0,VLOOKUP(G46,Bausteine!$A$2:$AY$76,9,FALSE))+IF(H46="",0,VLOOKUP(H46,Bausteine!$A$2:$AY$76,9,FALSE))+IF(I46="",0,VLOOKUP(I46,Bausteine!$A$2:$AY$76,9,FALSE))+IF(J46="",0,VLOOKUP(J46,Bausteine!$A$2:$AY$76,9,FALSE))+IF(K46="",0,VLOOKUP(K46,Bausteine!$A$2:$AY$76,9,FALSE))+IF(L46="",0,VLOOKUP(L46,Bausteine!$A$2:$AY$76,9,FALSE))+IF(AC46="",0,VLOOKUP(AC46,Bausteine!$A$2:$AY$76,9,FALSE))+IF(AF46="",0,VLOOKUP(AF46,Bausteine!$A$2:$AY$76,9,FALSE))+IF(AG46="",0,VLOOKUP(AG46,Bausteine!$A$2:$AY$76,9,FALSE))+IF(AH46="",0,VLOOKUP(AH46,Bausteine!$A$2:$AY$76,9,FALSE))+IF(AQ46="",0,VLOOKUP(AQ46,Bausteine!$A$2:$AY$76,9,FALSE))</f>
        <v/>
      </c>
      <c r="V46">
        <f>IF(D46="",0,VLOOKUP(D46,Bausteine!$A$2:$AY$76,10,FALSE))-U46/IF(E46="",0,VLOOKUP(E46,Bausteine!$A$2:$AY$76,11,FALSE))</f>
        <v/>
      </c>
      <c r="W46">
        <f>IF(Y46&lt;&gt;"OK","",ROUND(MIN(IF(C46="",0,VLOOKUP(C46,Bausteine!$A$2:$AY$76,21,FALSE)),IF(AQ46="",0,VLOOKUP(AQ46,Bausteine!$A$2:$AY$76,21,FALSE)),IF(C46="",0,VLOOKUP(C46,Bausteine!$A$2:$AY$76,20,FALSE))*(V46/T46/(IF(C46="",0,VLOOKUP(C46,Bausteine!$A$2:$AY$76,19,FALSE))/IF(C46="",0,VLOOKUP(C46,Bausteine!$A$2:$AY$76,18,FALSE))))^Parameter!$B$3),0))</f>
        <v/>
      </c>
      <c r="X46">
        <f>IF(F46="",0,VLOOKUP(F46,Bausteine!$A$2:$AY$76,14,FALSE))</f>
        <v/>
      </c>
      <c r="Y46">
        <f>IFERROR(IF(OR(AD46&lt;=0,AD46&gt;1,R46&lt;=0,T46&lt;=0,V46&lt;=0,U46&gt;IF(E46="",0,VLOOKUP(E46,Bausteine!$A$2:$AY$76,12,FALSE)),T46&gt;MIN(IF(C46="",0,VLOOKUP(C46,Bausteine!$A$2:$AY$76,22,FALSE)),IF(AQ46="",0,VLOOKUP(AQ46,Bausteine!$A$2:$AY$76,22,FALSE))),IF(E46="",0,VLOOKUP(E46,Bausteine!$A$2:$AY$76,11,FALSE))&lt;=0,IF(E46="",0,VLOOKUP(E46,Bausteine!$A$2:$AY$76,11,FALSE))&gt;1),"UNGUELTIG","OK"),"FEHLER")</f>
        <v/>
      </c>
      <c r="Z46" t="n">
        <v>1205</v>
      </c>
      <c r="AA46" t="n">
        <v>100</v>
      </c>
      <c r="AB46" t="inlineStr"/>
      <c r="AC46" t="inlineStr">
        <is>
          <t>mass-production</t>
        </is>
      </c>
      <c r="AD46">
        <f>IF(AC46="",1,IF(AC46="",0,VLOOKUP(AC46,Bausteine!$A$2:$AY$76,37,FALSE))/100)</f>
        <v/>
      </c>
      <c r="AE46">
        <f>P46*AD46</f>
        <v/>
      </c>
      <c r="AF46" t="inlineStr"/>
      <c r="AG46" t="inlineStr"/>
      <c r="AH46" t="inlineStr"/>
      <c r="AI46">
        <f>SUMIF(Startbesatzung!$A$2:$A$7,A46,Startbesatzung!$D$2:$D$7)</f>
        <v/>
      </c>
      <c r="AJ46">
        <f>SUMIF(Startbesatzung!$A$2:$A$7,A46,Startbesatzung!$E$2:$E$7)</f>
        <v/>
      </c>
      <c r="AK46">
        <f>MAX(0,IF(Startbesatzung!A2=A46,Startbesatzung!G2,0),IF(Startbesatzung!A3=A46,Startbesatzung!G3,0),IF(Startbesatzung!A4=A46,Startbesatzung!G4,0),IF(Startbesatzung!A5=A46,Startbesatzung!G5,0),IF(Startbesatzung!A6=A46,Startbesatzung!G6,0),IF(Startbesatzung!A7=A46,Startbesatzung!G7,0))</f>
        <v/>
      </c>
      <c r="AL46">
        <f>IF(AF46="","",IF(IF(AH46="",0,VLOOKUP(AH46,Bausteine!$A$2:$AY$76,38,FALSE))&gt;0,IF(AH46="",0,VLOOKUP(AH46,Bausteine!$A$2:$AY$76,38,FALSE)),IF(AG46="",0,VLOOKUP(AG46,Bausteine!$A$2:$AY$76,28,FALSE))))</f>
        <v/>
      </c>
      <c r="AM46">
        <f>IF(AF46="","",IF(AG46="",0,VLOOKUP(AG46,Bausteine!$A$2:$AY$76,44,FALSE)))</f>
        <v/>
      </c>
      <c r="AN46">
        <f>IF(AF46="","",IF(AF46="",0,VLOOKUP(AF46,Bausteine!$A$2:$AY$76,27,FALSE)))</f>
        <v/>
      </c>
      <c r="AO46">
        <f>IF(AF46="","",IF(AF46="",0,VLOOKUP(AF46,Bausteine!$A$2:$AY$76,25,FALSE)))</f>
        <v/>
      </c>
      <c r="AP46">
        <f>IF(AF46="","",IF(AH46="",0,VLOOKUP(AH46,Bausteine!$A$2:$AY$76,29,FALSE)))</f>
        <v/>
      </c>
      <c r="AQ46" t="inlineStr">
        <is>
          <t>tracks-standard</t>
        </is>
      </c>
      <c r="AR46">
        <f>IF(AQ46="",0,VLOOKUP(AQ46,Bausteine!$A$2:$AY$76,48,FALSE))</f>
        <v/>
      </c>
      <c r="AS46">
        <f>MIN(IF(AQ46="",0,VLOOKUP(AQ46,Bausteine!$A$2:$AY$76,50,FALSE)),IF(C46="",0,VLOOKUP(C46,Bausteine!$A$2:$AY$76,51,FALSE)))</f>
        <v/>
      </c>
    </row>
    <row r="47">
      <c r="A47" t="inlineStr">
        <is>
          <t>Battlemaster Mass Production Reflector</t>
        </is>
      </c>
      <c r="B47" t="inlineStr">
        <is>
          <t>china</t>
        </is>
      </c>
      <c r="C47" t="inlineStr">
        <is>
          <t>battlemaster</t>
        </is>
      </c>
      <c r="D47" t="inlineStr">
        <is>
          <t>diesel-large</t>
        </is>
      </c>
      <c r="E47" t="inlineStr">
        <is>
          <t>efficient-generator</t>
        </is>
      </c>
      <c r="F47" t="inlineStr">
        <is>
          <t>reflector</t>
        </is>
      </c>
      <c r="G47" t="inlineStr">
        <is>
          <t>cannon-turret</t>
        </is>
      </c>
      <c r="H47" t="inlineStr">
        <is>
          <t>cannon</t>
        </is>
      </c>
      <c r="I47" t="inlineStr">
        <is>
          <t>shell</t>
        </is>
      </c>
      <c r="J47" t="inlineStr"/>
      <c r="K47" t="inlineStr"/>
      <c r="L47" t="inlineStr"/>
      <c r="M47">
        <f>IF(C47="",0,VLOOKUP(C47,Bausteine!$A$2:$AY$76,4,FALSE))+IF(D47="",0,VLOOKUP(D47,Bausteine!$A$2:$AY$76,4,FALSE))+IF(E47="",0,VLOOKUP(E47,Bausteine!$A$2:$AY$76,4,FALSE))+IF(F47="",0,VLOOKUP(F47,Bausteine!$A$2:$AY$76,4,FALSE))+IF(G47="",0,VLOOKUP(G47,Bausteine!$A$2:$AY$76,4,FALSE))+IF(H47="",0,VLOOKUP(H47,Bausteine!$A$2:$AY$76,4,FALSE))+IF(I47="",0,VLOOKUP(I47,Bausteine!$A$2:$AY$76,4,FALSE))+IF(J47="",0,VLOOKUP(J47,Bausteine!$A$2:$AY$76,4,FALSE))+IF(K47="",0,VLOOKUP(K47,Bausteine!$A$2:$AY$76,4,FALSE))+IF(L47="",0,VLOOKUP(L47,Bausteine!$A$2:$AY$76,4,FALSE))+IF(AC47="",0,VLOOKUP(AC47,Bausteine!$A$2:$AY$76,4,FALSE))+IF(AF47="",0,VLOOKUP(AF47,Bausteine!$A$2:$AY$76,4,FALSE))+IF(AG47="",0,VLOOKUP(AG47,Bausteine!$A$2:$AY$76,4,FALSE))+IF(AH47="",0,VLOOKUP(AH47,Bausteine!$A$2:$AY$76,4,FALSE))+IF(AQ47="",0,VLOOKUP(AQ47,Bausteine!$A$2:$AY$76,4,FALSE))</f>
        <v/>
      </c>
      <c r="N47">
        <f>IF(C47="",0,VLOOKUP(C47,Bausteine!$A$2:$AY$76,5,FALSE))+IF(D47="",0,VLOOKUP(D47,Bausteine!$A$2:$AY$76,5,FALSE))+IF(E47="",0,VLOOKUP(E47,Bausteine!$A$2:$AY$76,5,FALSE))+IF(F47="",0,VLOOKUP(F47,Bausteine!$A$2:$AY$76,5,FALSE))+IF(G47="",0,VLOOKUP(G47,Bausteine!$A$2:$AY$76,5,FALSE))+IF(H47="",0,VLOOKUP(H47,Bausteine!$A$2:$AY$76,5,FALSE))+IF(I47="",0,VLOOKUP(I47,Bausteine!$A$2:$AY$76,5,FALSE))+IF(J47="",0,VLOOKUP(J47,Bausteine!$A$2:$AY$76,5,FALSE))+IF(K47="",0,VLOOKUP(K47,Bausteine!$A$2:$AY$76,5,FALSE))+IF(L47="",0,VLOOKUP(L47,Bausteine!$A$2:$AY$76,5,FALSE))+IF(AC47="",0,VLOOKUP(AC47,Bausteine!$A$2:$AY$76,5,FALSE))+IF(AF47="",0,VLOOKUP(AF47,Bausteine!$A$2:$AY$76,5,FALSE))+IF(AG47="",0,VLOOKUP(AG47,Bausteine!$A$2:$AY$76,5,FALSE))+IF(AH47="",0,VLOOKUP(AH47,Bausteine!$A$2:$AY$76,5,FALSE))+IF(AQ47="",0,VLOOKUP(AQ47,Bausteine!$A$2:$AY$76,5,FALSE))</f>
        <v/>
      </c>
      <c r="O47">
        <f>MAX(IF(C47="",0,VLOOKUP(C47,Bausteine!$A$2:$AY$76,6,FALSE)),IF(D47="",0,VLOOKUP(D47,Bausteine!$A$2:$AY$76,6,FALSE)),IF(E47="",0,VLOOKUP(E47,Bausteine!$A$2:$AY$76,6,FALSE)),IF(F47="",0,VLOOKUP(F47,Bausteine!$A$2:$AY$76,6,FALSE)),IF(G47="",0,VLOOKUP(G47,Bausteine!$A$2:$AY$76,6,FALSE)),IF(H47="",0,VLOOKUP(H47,Bausteine!$A$2:$AY$76,6,FALSE)),IF(I47="",0,VLOOKUP(I47,Bausteine!$A$2:$AY$76,6,FALSE)),IF(J47="",0,VLOOKUP(J47,Bausteine!$A$2:$AY$76,6,FALSE)),IF(K47="",0,VLOOKUP(K47,Bausteine!$A$2:$AY$76,6,FALSE)),IF(L47="",0,VLOOKUP(L47,Bausteine!$A$2:$AY$76,6,FALSE)),IF(AC47="",0,VLOOKUP(AC47,Bausteine!$A$2:$AY$76,6,FALSE)),IF(AF47="",0,VLOOKUP(AF47,Bausteine!$A$2:$AY$76,6,FALSE)),IF(AG47="",0,VLOOKUP(AG47,Bausteine!$A$2:$AY$76,6,FALSE)),IF(AH47="",0,VLOOKUP(AH47,Bausteine!$A$2:$AY$76,6,FALSE)),IF(AQ47="",0,VLOOKUP(AQ47,Bausteine!$A$2:$AY$76,6,FALSE)),AK47)</f>
        <v/>
      </c>
      <c r="P47">
        <f>IF(C47="",0,VLOOKUP(C47,Bausteine!$A$2:$AY$76,7,FALSE))*IF(F47="",0,VLOOKUP(F47,Bausteine!$A$2:$AY$76,17,FALSE))/100+IF(D47="",0,VLOOKUP(D47,Bausteine!$A$2:$AY$76,7,FALSE))+IF(E47="",0,VLOOKUP(E47,Bausteine!$A$2:$AY$76,7,FALSE))+IF(G47="",0,VLOOKUP(G47,Bausteine!$A$2:$AY$76,7,FALSE))+IF(H47="",0,VLOOKUP(H47,Bausteine!$A$2:$AY$76,7,FALSE))+IF(I47="",0,VLOOKUP(I47,Bausteine!$A$2:$AY$76,7,FALSE))+IF(J47="",0,VLOOKUP(J47,Bausteine!$A$2:$AY$76,7,FALSE))+IF(K47="",0,VLOOKUP(K47,Bausteine!$A$2:$AY$76,7,FALSE))+IF(L47="",0,VLOOKUP(L47,Bausteine!$A$2:$AY$76,7,FALSE))+IF(AC47="",0,VLOOKUP(AC47,Bausteine!$A$2:$AY$76,7,FALSE))+IF(AF47="",0,VLOOKUP(AF47,Bausteine!$A$2:$AY$76,7,FALSE))+IF(AG47="",0,VLOOKUP(AG47,Bausteine!$A$2:$AY$76,7,FALSE))+IF(AH47="",0,VLOOKUP(AH47,Bausteine!$A$2:$AY$76,7,FALSE))+IF(AQ47="",0,VLOOKUP(AQ47,Bausteine!$A$2:$AY$76,7,FALSE))+AI47</f>
        <v/>
      </c>
      <c r="Q47">
        <f>N47*Parameter!$B$2</f>
        <v/>
      </c>
      <c r="R47">
        <f>AE47-Q47</f>
        <v/>
      </c>
      <c r="S47">
        <f>IF(C47="",0,VLOOKUP(C47,Bausteine!$A$2:$AY$76,13,FALSE))*IF(F47="",0,VLOOKUP(F47,Bausteine!$A$2:$AY$76,16,FALSE))/100</f>
        <v/>
      </c>
      <c r="T47">
        <f>IF(C47="",0,VLOOKUP(C47,Bausteine!$A$2:$AY$76,8,FALSE))*IF(F47="",0,VLOOKUP(F47,Bausteine!$A$2:$AY$76,15,FALSE))/100+IF(D47="",0,VLOOKUP(D47,Bausteine!$A$2:$AY$76,8,FALSE))+IF(E47="",0,VLOOKUP(E47,Bausteine!$A$2:$AY$76,8,FALSE))+IF(G47="",0,VLOOKUP(G47,Bausteine!$A$2:$AY$76,8,FALSE))+IF(H47="",0,VLOOKUP(H47,Bausteine!$A$2:$AY$76,8,FALSE))+IF(I47="",0,VLOOKUP(I47,Bausteine!$A$2:$AY$76,8,FALSE))+IF(J47="",0,VLOOKUP(J47,Bausteine!$A$2:$AY$76,8,FALSE))+IF(K47="",0,VLOOKUP(K47,Bausteine!$A$2:$AY$76,8,FALSE))+IF(L47="",0,VLOOKUP(L47,Bausteine!$A$2:$AY$76,8,FALSE))+IF(AC47="",0,VLOOKUP(AC47,Bausteine!$A$2:$AY$76,8,FALSE))+IF(AF47="",0,VLOOKUP(AF47,Bausteine!$A$2:$AY$76,8,FALSE))+IF(AG47="",0,VLOOKUP(AG47,Bausteine!$A$2:$AY$76,8,FALSE))+IF(AH47="",0,VLOOKUP(AH47,Bausteine!$A$2:$AY$76,8,FALSE))+IF(AQ47="",0,VLOOKUP(AQ47,Bausteine!$A$2:$AY$76,8,FALSE))+AJ47</f>
        <v/>
      </c>
      <c r="U47">
        <f>IF(C47="",0,VLOOKUP(C47,Bausteine!$A$2:$AY$76,9,FALSE))+IF(D47="",0,VLOOKUP(D47,Bausteine!$A$2:$AY$76,9,FALSE))+IF(E47="",0,VLOOKUP(E47,Bausteine!$A$2:$AY$76,9,FALSE))+IF(F47="",0,VLOOKUP(F47,Bausteine!$A$2:$AY$76,9,FALSE))+IF(G47="",0,VLOOKUP(G47,Bausteine!$A$2:$AY$76,9,FALSE))+IF(H47="",0,VLOOKUP(H47,Bausteine!$A$2:$AY$76,9,FALSE))+IF(I47="",0,VLOOKUP(I47,Bausteine!$A$2:$AY$76,9,FALSE))+IF(J47="",0,VLOOKUP(J47,Bausteine!$A$2:$AY$76,9,FALSE))+IF(K47="",0,VLOOKUP(K47,Bausteine!$A$2:$AY$76,9,FALSE))+IF(L47="",0,VLOOKUP(L47,Bausteine!$A$2:$AY$76,9,FALSE))+IF(AC47="",0,VLOOKUP(AC47,Bausteine!$A$2:$AY$76,9,FALSE))+IF(AF47="",0,VLOOKUP(AF47,Bausteine!$A$2:$AY$76,9,FALSE))+IF(AG47="",0,VLOOKUP(AG47,Bausteine!$A$2:$AY$76,9,FALSE))+IF(AH47="",0,VLOOKUP(AH47,Bausteine!$A$2:$AY$76,9,FALSE))+IF(AQ47="",0,VLOOKUP(AQ47,Bausteine!$A$2:$AY$76,9,FALSE))</f>
        <v/>
      </c>
      <c r="V47">
        <f>IF(D47="",0,VLOOKUP(D47,Bausteine!$A$2:$AY$76,10,FALSE))-U47/IF(E47="",0,VLOOKUP(E47,Bausteine!$A$2:$AY$76,11,FALSE))</f>
        <v/>
      </c>
      <c r="W47">
        <f>IF(Y47&lt;&gt;"OK","",ROUND(MIN(IF(C47="",0,VLOOKUP(C47,Bausteine!$A$2:$AY$76,21,FALSE)),IF(AQ47="",0,VLOOKUP(AQ47,Bausteine!$A$2:$AY$76,21,FALSE)),IF(C47="",0,VLOOKUP(C47,Bausteine!$A$2:$AY$76,20,FALSE))*(V47/T47/(IF(C47="",0,VLOOKUP(C47,Bausteine!$A$2:$AY$76,19,FALSE))/IF(C47="",0,VLOOKUP(C47,Bausteine!$A$2:$AY$76,18,FALSE))))^Parameter!$B$3),0))</f>
        <v/>
      </c>
      <c r="X47">
        <f>IF(F47="",0,VLOOKUP(F47,Bausteine!$A$2:$AY$76,14,FALSE))</f>
        <v/>
      </c>
      <c r="Y47">
        <f>IFERROR(IF(OR(AD47&lt;=0,AD47&gt;1,R47&lt;=0,T47&lt;=0,V47&lt;=0,U47&gt;IF(E47="",0,VLOOKUP(E47,Bausteine!$A$2:$AY$76,12,FALSE)),T47&gt;MIN(IF(C47="",0,VLOOKUP(C47,Bausteine!$A$2:$AY$76,22,FALSE)),IF(AQ47="",0,VLOOKUP(AQ47,Bausteine!$A$2:$AY$76,22,FALSE))),IF(E47="",0,VLOOKUP(E47,Bausteine!$A$2:$AY$76,11,FALSE))&lt;=0,IF(E47="",0,VLOOKUP(E47,Bausteine!$A$2:$AY$76,11,FALSE))&gt;1),"UNGUELTIG","OK"),"FEHLER")</f>
        <v/>
      </c>
      <c r="Z47" t="n">
        <v>587.5</v>
      </c>
      <c r="AA47" t="n">
        <v>100</v>
      </c>
      <c r="AB47" t="inlineStr"/>
      <c r="AC47" t="inlineStr">
        <is>
          <t>mass-production</t>
        </is>
      </c>
      <c r="AD47">
        <f>IF(AC47="",1,IF(AC47="",0,VLOOKUP(AC47,Bausteine!$A$2:$AY$76,37,FALSE))/100)</f>
        <v/>
      </c>
      <c r="AE47">
        <f>P47*AD47</f>
        <v/>
      </c>
      <c r="AF47" t="inlineStr"/>
      <c r="AG47" t="inlineStr"/>
      <c r="AH47" t="inlineStr"/>
      <c r="AI47">
        <f>SUMIF(Startbesatzung!$A$2:$A$7,A47,Startbesatzung!$D$2:$D$7)</f>
        <v/>
      </c>
      <c r="AJ47">
        <f>SUMIF(Startbesatzung!$A$2:$A$7,A47,Startbesatzung!$E$2:$E$7)</f>
        <v/>
      </c>
      <c r="AK47">
        <f>MAX(0,IF(Startbesatzung!A2=A47,Startbesatzung!G2,0),IF(Startbesatzung!A3=A47,Startbesatzung!G3,0),IF(Startbesatzung!A4=A47,Startbesatzung!G4,0),IF(Startbesatzung!A5=A47,Startbesatzung!G5,0),IF(Startbesatzung!A6=A47,Startbesatzung!G6,0),IF(Startbesatzung!A7=A47,Startbesatzung!G7,0))</f>
        <v/>
      </c>
      <c r="AL47">
        <f>IF(AF47="","",IF(IF(AH47="",0,VLOOKUP(AH47,Bausteine!$A$2:$AY$76,38,FALSE))&gt;0,IF(AH47="",0,VLOOKUP(AH47,Bausteine!$A$2:$AY$76,38,FALSE)),IF(AG47="",0,VLOOKUP(AG47,Bausteine!$A$2:$AY$76,28,FALSE))))</f>
        <v/>
      </c>
      <c r="AM47">
        <f>IF(AF47="","",IF(AG47="",0,VLOOKUP(AG47,Bausteine!$A$2:$AY$76,44,FALSE)))</f>
        <v/>
      </c>
      <c r="AN47">
        <f>IF(AF47="","",IF(AF47="",0,VLOOKUP(AF47,Bausteine!$A$2:$AY$76,27,FALSE)))</f>
        <v/>
      </c>
      <c r="AO47">
        <f>IF(AF47="","",IF(AF47="",0,VLOOKUP(AF47,Bausteine!$A$2:$AY$76,25,FALSE)))</f>
        <v/>
      </c>
      <c r="AP47">
        <f>IF(AF47="","",IF(AH47="",0,VLOOKUP(AH47,Bausteine!$A$2:$AY$76,29,FALSE)))</f>
        <v/>
      </c>
      <c r="AQ47" t="inlineStr">
        <is>
          <t>tracks-standard</t>
        </is>
      </c>
      <c r="AR47">
        <f>IF(AQ47="",0,VLOOKUP(AQ47,Bausteine!$A$2:$AY$76,48,FALSE))</f>
        <v/>
      </c>
      <c r="AS47">
        <f>MIN(IF(AQ47="",0,VLOOKUP(AQ47,Bausteine!$A$2:$AY$76,50,FALSE)),IF(C47="",0,VLOOKUP(C47,Bausteine!$A$2:$AY$76,51,FALSE)))</f>
        <v/>
      </c>
    </row>
    <row r="48">
      <c r="A48" t="inlineStr">
        <is>
          <t>Battlemaster Autoloader</t>
        </is>
      </c>
      <c r="B48" t="inlineStr">
        <is>
          <t>china</t>
        </is>
      </c>
      <c r="C48" t="inlineStr">
        <is>
          <t>battlemaster</t>
        </is>
      </c>
      <c r="D48" t="inlineStr">
        <is>
          <t>diesel</t>
        </is>
      </c>
      <c r="E48" t="inlineStr">
        <is>
          <t>baseline-generator</t>
        </is>
      </c>
      <c r="F48" t="inlineStr">
        <is>
          <t>heavy</t>
        </is>
      </c>
      <c r="G48" t="inlineStr">
        <is>
          <t>autoloader-turret</t>
        </is>
      </c>
      <c r="H48" t="inlineStr">
        <is>
          <t>cannon</t>
        </is>
      </c>
      <c r="I48" t="inlineStr">
        <is>
          <t>shell</t>
        </is>
      </c>
      <c r="J48" t="inlineStr"/>
      <c r="K48" t="inlineStr"/>
      <c r="L48" t="inlineStr"/>
      <c r="M48">
        <f>IF(C48="",0,VLOOKUP(C48,Bausteine!$A$2:$AY$76,4,FALSE))+IF(D48="",0,VLOOKUP(D48,Bausteine!$A$2:$AY$76,4,FALSE))+IF(E48="",0,VLOOKUP(E48,Bausteine!$A$2:$AY$76,4,FALSE))+IF(F48="",0,VLOOKUP(F48,Bausteine!$A$2:$AY$76,4,FALSE))+IF(G48="",0,VLOOKUP(G48,Bausteine!$A$2:$AY$76,4,FALSE))+IF(H48="",0,VLOOKUP(H48,Bausteine!$A$2:$AY$76,4,FALSE))+IF(I48="",0,VLOOKUP(I48,Bausteine!$A$2:$AY$76,4,FALSE))+IF(J48="",0,VLOOKUP(J48,Bausteine!$A$2:$AY$76,4,FALSE))+IF(K48="",0,VLOOKUP(K48,Bausteine!$A$2:$AY$76,4,FALSE))+IF(L48="",0,VLOOKUP(L48,Bausteine!$A$2:$AY$76,4,FALSE))+IF(AC48="",0,VLOOKUP(AC48,Bausteine!$A$2:$AY$76,4,FALSE))+IF(AF48="",0,VLOOKUP(AF48,Bausteine!$A$2:$AY$76,4,FALSE))+IF(AG48="",0,VLOOKUP(AG48,Bausteine!$A$2:$AY$76,4,FALSE))+IF(AH48="",0,VLOOKUP(AH48,Bausteine!$A$2:$AY$76,4,FALSE))+IF(AQ48="",0,VLOOKUP(AQ48,Bausteine!$A$2:$AY$76,4,FALSE))</f>
        <v/>
      </c>
      <c r="N48">
        <f>IF(C48="",0,VLOOKUP(C48,Bausteine!$A$2:$AY$76,5,FALSE))+IF(D48="",0,VLOOKUP(D48,Bausteine!$A$2:$AY$76,5,FALSE))+IF(E48="",0,VLOOKUP(E48,Bausteine!$A$2:$AY$76,5,FALSE))+IF(F48="",0,VLOOKUP(F48,Bausteine!$A$2:$AY$76,5,FALSE))+IF(G48="",0,VLOOKUP(G48,Bausteine!$A$2:$AY$76,5,FALSE))+IF(H48="",0,VLOOKUP(H48,Bausteine!$A$2:$AY$76,5,FALSE))+IF(I48="",0,VLOOKUP(I48,Bausteine!$A$2:$AY$76,5,FALSE))+IF(J48="",0,VLOOKUP(J48,Bausteine!$A$2:$AY$76,5,FALSE))+IF(K48="",0,VLOOKUP(K48,Bausteine!$A$2:$AY$76,5,FALSE))+IF(L48="",0,VLOOKUP(L48,Bausteine!$A$2:$AY$76,5,FALSE))+IF(AC48="",0,VLOOKUP(AC48,Bausteine!$A$2:$AY$76,5,FALSE))+IF(AF48="",0,VLOOKUP(AF48,Bausteine!$A$2:$AY$76,5,FALSE))+IF(AG48="",0,VLOOKUP(AG48,Bausteine!$A$2:$AY$76,5,FALSE))+IF(AH48="",0,VLOOKUP(AH48,Bausteine!$A$2:$AY$76,5,FALSE))+IF(AQ48="",0,VLOOKUP(AQ48,Bausteine!$A$2:$AY$76,5,FALSE))</f>
        <v/>
      </c>
      <c r="O48">
        <f>MAX(IF(C48="",0,VLOOKUP(C48,Bausteine!$A$2:$AY$76,6,FALSE)),IF(D48="",0,VLOOKUP(D48,Bausteine!$A$2:$AY$76,6,FALSE)),IF(E48="",0,VLOOKUP(E48,Bausteine!$A$2:$AY$76,6,FALSE)),IF(F48="",0,VLOOKUP(F48,Bausteine!$A$2:$AY$76,6,FALSE)),IF(G48="",0,VLOOKUP(G48,Bausteine!$A$2:$AY$76,6,FALSE)),IF(H48="",0,VLOOKUP(H48,Bausteine!$A$2:$AY$76,6,FALSE)),IF(I48="",0,VLOOKUP(I48,Bausteine!$A$2:$AY$76,6,FALSE)),IF(J48="",0,VLOOKUP(J48,Bausteine!$A$2:$AY$76,6,FALSE)),IF(K48="",0,VLOOKUP(K48,Bausteine!$A$2:$AY$76,6,FALSE)),IF(L48="",0,VLOOKUP(L48,Bausteine!$A$2:$AY$76,6,FALSE)),IF(AC48="",0,VLOOKUP(AC48,Bausteine!$A$2:$AY$76,6,FALSE)),IF(AF48="",0,VLOOKUP(AF48,Bausteine!$A$2:$AY$76,6,FALSE)),IF(AG48="",0,VLOOKUP(AG48,Bausteine!$A$2:$AY$76,6,FALSE)),IF(AH48="",0,VLOOKUP(AH48,Bausteine!$A$2:$AY$76,6,FALSE)),IF(AQ48="",0,VLOOKUP(AQ48,Bausteine!$A$2:$AY$76,6,FALSE)),AK48)</f>
        <v/>
      </c>
      <c r="P48">
        <f>IF(C48="",0,VLOOKUP(C48,Bausteine!$A$2:$AY$76,7,FALSE))*IF(F48="",0,VLOOKUP(F48,Bausteine!$A$2:$AY$76,17,FALSE))/100+IF(D48="",0,VLOOKUP(D48,Bausteine!$A$2:$AY$76,7,FALSE))+IF(E48="",0,VLOOKUP(E48,Bausteine!$A$2:$AY$76,7,FALSE))+IF(G48="",0,VLOOKUP(G48,Bausteine!$A$2:$AY$76,7,FALSE))+IF(H48="",0,VLOOKUP(H48,Bausteine!$A$2:$AY$76,7,FALSE))+IF(I48="",0,VLOOKUP(I48,Bausteine!$A$2:$AY$76,7,FALSE))+IF(J48="",0,VLOOKUP(J48,Bausteine!$A$2:$AY$76,7,FALSE))+IF(K48="",0,VLOOKUP(K48,Bausteine!$A$2:$AY$76,7,FALSE))+IF(L48="",0,VLOOKUP(L48,Bausteine!$A$2:$AY$76,7,FALSE))+IF(AC48="",0,VLOOKUP(AC48,Bausteine!$A$2:$AY$76,7,FALSE))+IF(AF48="",0,VLOOKUP(AF48,Bausteine!$A$2:$AY$76,7,FALSE))+IF(AG48="",0,VLOOKUP(AG48,Bausteine!$A$2:$AY$76,7,FALSE))+IF(AH48="",0,VLOOKUP(AH48,Bausteine!$A$2:$AY$76,7,FALSE))+IF(AQ48="",0,VLOOKUP(AQ48,Bausteine!$A$2:$AY$76,7,FALSE))+AI48</f>
        <v/>
      </c>
      <c r="Q48">
        <f>N48*Parameter!$B$2</f>
        <v/>
      </c>
      <c r="R48">
        <f>AE48-Q48</f>
        <v/>
      </c>
      <c r="S48">
        <f>IF(C48="",0,VLOOKUP(C48,Bausteine!$A$2:$AY$76,13,FALSE))*IF(F48="",0,VLOOKUP(F48,Bausteine!$A$2:$AY$76,16,FALSE))/100</f>
        <v/>
      </c>
      <c r="T48">
        <f>IF(C48="",0,VLOOKUP(C48,Bausteine!$A$2:$AY$76,8,FALSE))*IF(F48="",0,VLOOKUP(F48,Bausteine!$A$2:$AY$76,15,FALSE))/100+IF(D48="",0,VLOOKUP(D48,Bausteine!$A$2:$AY$76,8,FALSE))+IF(E48="",0,VLOOKUP(E48,Bausteine!$A$2:$AY$76,8,FALSE))+IF(G48="",0,VLOOKUP(G48,Bausteine!$A$2:$AY$76,8,FALSE))+IF(H48="",0,VLOOKUP(H48,Bausteine!$A$2:$AY$76,8,FALSE))+IF(I48="",0,VLOOKUP(I48,Bausteine!$A$2:$AY$76,8,FALSE))+IF(J48="",0,VLOOKUP(J48,Bausteine!$A$2:$AY$76,8,FALSE))+IF(K48="",0,VLOOKUP(K48,Bausteine!$A$2:$AY$76,8,FALSE))+IF(L48="",0,VLOOKUP(L48,Bausteine!$A$2:$AY$76,8,FALSE))+IF(AC48="",0,VLOOKUP(AC48,Bausteine!$A$2:$AY$76,8,FALSE))+IF(AF48="",0,VLOOKUP(AF48,Bausteine!$A$2:$AY$76,8,FALSE))+IF(AG48="",0,VLOOKUP(AG48,Bausteine!$A$2:$AY$76,8,FALSE))+IF(AH48="",0,VLOOKUP(AH48,Bausteine!$A$2:$AY$76,8,FALSE))+IF(AQ48="",0,VLOOKUP(AQ48,Bausteine!$A$2:$AY$76,8,FALSE))+AJ48</f>
        <v/>
      </c>
      <c r="U48">
        <f>IF(C48="",0,VLOOKUP(C48,Bausteine!$A$2:$AY$76,9,FALSE))+IF(D48="",0,VLOOKUP(D48,Bausteine!$A$2:$AY$76,9,FALSE))+IF(E48="",0,VLOOKUP(E48,Bausteine!$A$2:$AY$76,9,FALSE))+IF(F48="",0,VLOOKUP(F48,Bausteine!$A$2:$AY$76,9,FALSE))+IF(G48="",0,VLOOKUP(G48,Bausteine!$A$2:$AY$76,9,FALSE))+IF(H48="",0,VLOOKUP(H48,Bausteine!$A$2:$AY$76,9,FALSE))+IF(I48="",0,VLOOKUP(I48,Bausteine!$A$2:$AY$76,9,FALSE))+IF(J48="",0,VLOOKUP(J48,Bausteine!$A$2:$AY$76,9,FALSE))+IF(K48="",0,VLOOKUP(K48,Bausteine!$A$2:$AY$76,9,FALSE))+IF(L48="",0,VLOOKUP(L48,Bausteine!$A$2:$AY$76,9,FALSE))+IF(AC48="",0,VLOOKUP(AC48,Bausteine!$A$2:$AY$76,9,FALSE))+IF(AF48="",0,VLOOKUP(AF48,Bausteine!$A$2:$AY$76,9,FALSE))+IF(AG48="",0,VLOOKUP(AG48,Bausteine!$A$2:$AY$76,9,FALSE))+IF(AH48="",0,VLOOKUP(AH48,Bausteine!$A$2:$AY$76,9,FALSE))+IF(AQ48="",0,VLOOKUP(AQ48,Bausteine!$A$2:$AY$76,9,FALSE))</f>
        <v/>
      </c>
      <c r="V48">
        <f>IF(D48="",0,VLOOKUP(D48,Bausteine!$A$2:$AY$76,10,FALSE))-U48/IF(E48="",0,VLOOKUP(E48,Bausteine!$A$2:$AY$76,11,FALSE))</f>
        <v/>
      </c>
      <c r="W48">
        <f>IF(Y48&lt;&gt;"OK","",ROUND(MIN(IF(C48="",0,VLOOKUP(C48,Bausteine!$A$2:$AY$76,21,FALSE)),IF(AQ48="",0,VLOOKUP(AQ48,Bausteine!$A$2:$AY$76,21,FALSE)),IF(C48="",0,VLOOKUP(C48,Bausteine!$A$2:$AY$76,20,FALSE))*(V48/T48/(IF(C48="",0,VLOOKUP(C48,Bausteine!$A$2:$AY$76,19,FALSE))/IF(C48="",0,VLOOKUP(C48,Bausteine!$A$2:$AY$76,18,FALSE))))^Parameter!$B$3),0))</f>
        <v/>
      </c>
      <c r="X48">
        <f>IF(F48="",0,VLOOKUP(F48,Bausteine!$A$2:$AY$76,14,FALSE))</f>
        <v/>
      </c>
      <c r="Y48">
        <f>IFERROR(IF(OR(AD48&lt;=0,AD48&gt;1,R48&lt;=0,T48&lt;=0,V48&lt;=0,U48&gt;IF(E48="",0,VLOOKUP(E48,Bausteine!$A$2:$AY$76,12,FALSE)),T48&gt;MIN(IF(C48="",0,VLOOKUP(C48,Bausteine!$A$2:$AY$76,22,FALSE)),IF(AQ48="",0,VLOOKUP(AQ48,Bausteine!$A$2:$AY$76,22,FALSE))),IF(E48="",0,VLOOKUP(E48,Bausteine!$A$2:$AY$76,11,FALSE))&lt;=0,IF(E48="",0,VLOOKUP(E48,Bausteine!$A$2:$AY$76,11,FALSE))&gt;1),"UNGUELTIG","OK"),"FEHLER")</f>
        <v/>
      </c>
      <c r="Z48" t="n">
        <v>950</v>
      </c>
      <c r="AA48" t="n">
        <v>100</v>
      </c>
      <c r="AB48" t="inlineStr"/>
      <c r="AC48" t="inlineStr"/>
      <c r="AD48">
        <f>IF(AC48="",1,IF(AC48="",0,VLOOKUP(AC48,Bausteine!$A$2:$AY$76,37,FALSE))/100)</f>
        <v/>
      </c>
      <c r="AE48">
        <f>P48*AD48</f>
        <v/>
      </c>
      <c r="AF48" t="inlineStr"/>
      <c r="AG48" t="inlineStr"/>
      <c r="AH48" t="inlineStr"/>
      <c r="AI48">
        <f>SUMIF(Startbesatzung!$A$2:$A$7,A48,Startbesatzung!$D$2:$D$7)</f>
        <v/>
      </c>
      <c r="AJ48">
        <f>SUMIF(Startbesatzung!$A$2:$A$7,A48,Startbesatzung!$E$2:$E$7)</f>
        <v/>
      </c>
      <c r="AK48">
        <f>MAX(0,IF(Startbesatzung!A2=A48,Startbesatzung!G2,0),IF(Startbesatzung!A3=A48,Startbesatzung!G3,0),IF(Startbesatzung!A4=A48,Startbesatzung!G4,0),IF(Startbesatzung!A5=A48,Startbesatzung!G5,0),IF(Startbesatzung!A6=A48,Startbesatzung!G6,0),IF(Startbesatzung!A7=A48,Startbesatzung!G7,0))</f>
        <v/>
      </c>
      <c r="AL48">
        <f>IF(AF48="","",IF(IF(AH48="",0,VLOOKUP(AH48,Bausteine!$A$2:$AY$76,38,FALSE))&gt;0,IF(AH48="",0,VLOOKUP(AH48,Bausteine!$A$2:$AY$76,38,FALSE)),IF(AG48="",0,VLOOKUP(AG48,Bausteine!$A$2:$AY$76,28,FALSE))))</f>
        <v/>
      </c>
      <c r="AM48">
        <f>IF(AF48="","",IF(AG48="",0,VLOOKUP(AG48,Bausteine!$A$2:$AY$76,44,FALSE)))</f>
        <v/>
      </c>
      <c r="AN48">
        <f>IF(AF48="","",IF(AF48="",0,VLOOKUP(AF48,Bausteine!$A$2:$AY$76,27,FALSE)))</f>
        <v/>
      </c>
      <c r="AO48">
        <f>IF(AF48="","",IF(AF48="",0,VLOOKUP(AF48,Bausteine!$A$2:$AY$76,25,FALSE)))</f>
        <v/>
      </c>
      <c r="AP48">
        <f>IF(AF48="","",IF(AH48="",0,VLOOKUP(AH48,Bausteine!$A$2:$AY$76,29,FALSE)))</f>
        <v/>
      </c>
      <c r="AQ48" t="inlineStr">
        <is>
          <t>tracks-standard</t>
        </is>
      </c>
      <c r="AR48">
        <f>IF(AQ48="",0,VLOOKUP(AQ48,Bausteine!$A$2:$AY$76,48,FALSE))</f>
        <v/>
      </c>
      <c r="AS48">
        <f>MIN(IF(AQ48="",0,VLOOKUP(AQ48,Bausteine!$A$2:$AY$76,50,FALSE)),IF(C48="",0,VLOOKUP(C48,Bausteine!$A$2:$AY$76,51,FALSE)))</f>
        <v/>
      </c>
    </row>
    <row r="49">
      <c r="A49" t="inlineStr">
        <is>
          <t>Battlemaster Autoloader PDL</t>
        </is>
      </c>
      <c r="B49" t="inlineStr">
        <is>
          <t>china</t>
        </is>
      </c>
      <c r="C49" t="inlineStr">
        <is>
          <t>battlemaster</t>
        </is>
      </c>
      <c r="D49" t="inlineStr">
        <is>
          <t>diesel-large</t>
        </is>
      </c>
      <c r="E49" t="inlineStr">
        <is>
          <t>efficient-generator</t>
        </is>
      </c>
      <c r="F49" t="inlineStr">
        <is>
          <t>heavy</t>
        </is>
      </c>
      <c r="G49" t="inlineStr">
        <is>
          <t>autoloader-turret</t>
        </is>
      </c>
      <c r="H49" t="inlineStr">
        <is>
          <t>cannon</t>
        </is>
      </c>
      <c r="I49" t="inlineStr">
        <is>
          <t>shell</t>
        </is>
      </c>
      <c r="J49" t="inlineStr">
        <is>
          <t>pdl</t>
        </is>
      </c>
      <c r="K49" t="inlineStr"/>
      <c r="L49" t="inlineStr"/>
      <c r="M49">
        <f>IF(C49="",0,VLOOKUP(C49,Bausteine!$A$2:$AY$76,4,FALSE))+IF(D49="",0,VLOOKUP(D49,Bausteine!$A$2:$AY$76,4,FALSE))+IF(E49="",0,VLOOKUP(E49,Bausteine!$A$2:$AY$76,4,FALSE))+IF(F49="",0,VLOOKUP(F49,Bausteine!$A$2:$AY$76,4,FALSE))+IF(G49="",0,VLOOKUP(G49,Bausteine!$A$2:$AY$76,4,FALSE))+IF(H49="",0,VLOOKUP(H49,Bausteine!$A$2:$AY$76,4,FALSE))+IF(I49="",0,VLOOKUP(I49,Bausteine!$A$2:$AY$76,4,FALSE))+IF(J49="",0,VLOOKUP(J49,Bausteine!$A$2:$AY$76,4,FALSE))+IF(K49="",0,VLOOKUP(K49,Bausteine!$A$2:$AY$76,4,FALSE))+IF(L49="",0,VLOOKUP(L49,Bausteine!$A$2:$AY$76,4,FALSE))+IF(AC49="",0,VLOOKUP(AC49,Bausteine!$A$2:$AY$76,4,FALSE))+IF(AF49="",0,VLOOKUP(AF49,Bausteine!$A$2:$AY$76,4,FALSE))+IF(AG49="",0,VLOOKUP(AG49,Bausteine!$A$2:$AY$76,4,FALSE))+IF(AH49="",0,VLOOKUP(AH49,Bausteine!$A$2:$AY$76,4,FALSE))+IF(AQ49="",0,VLOOKUP(AQ49,Bausteine!$A$2:$AY$76,4,FALSE))</f>
        <v/>
      </c>
      <c r="N49">
        <f>IF(C49="",0,VLOOKUP(C49,Bausteine!$A$2:$AY$76,5,FALSE))+IF(D49="",0,VLOOKUP(D49,Bausteine!$A$2:$AY$76,5,FALSE))+IF(E49="",0,VLOOKUP(E49,Bausteine!$A$2:$AY$76,5,FALSE))+IF(F49="",0,VLOOKUP(F49,Bausteine!$A$2:$AY$76,5,FALSE))+IF(G49="",0,VLOOKUP(G49,Bausteine!$A$2:$AY$76,5,FALSE))+IF(H49="",0,VLOOKUP(H49,Bausteine!$A$2:$AY$76,5,FALSE))+IF(I49="",0,VLOOKUP(I49,Bausteine!$A$2:$AY$76,5,FALSE))+IF(J49="",0,VLOOKUP(J49,Bausteine!$A$2:$AY$76,5,FALSE))+IF(K49="",0,VLOOKUP(K49,Bausteine!$A$2:$AY$76,5,FALSE))+IF(L49="",0,VLOOKUP(L49,Bausteine!$A$2:$AY$76,5,FALSE))+IF(AC49="",0,VLOOKUP(AC49,Bausteine!$A$2:$AY$76,5,FALSE))+IF(AF49="",0,VLOOKUP(AF49,Bausteine!$A$2:$AY$76,5,FALSE))+IF(AG49="",0,VLOOKUP(AG49,Bausteine!$A$2:$AY$76,5,FALSE))+IF(AH49="",0,VLOOKUP(AH49,Bausteine!$A$2:$AY$76,5,FALSE))+IF(AQ49="",0,VLOOKUP(AQ49,Bausteine!$A$2:$AY$76,5,FALSE))</f>
        <v/>
      </c>
      <c r="O49">
        <f>MAX(IF(C49="",0,VLOOKUP(C49,Bausteine!$A$2:$AY$76,6,FALSE)),IF(D49="",0,VLOOKUP(D49,Bausteine!$A$2:$AY$76,6,FALSE)),IF(E49="",0,VLOOKUP(E49,Bausteine!$A$2:$AY$76,6,FALSE)),IF(F49="",0,VLOOKUP(F49,Bausteine!$A$2:$AY$76,6,FALSE)),IF(G49="",0,VLOOKUP(G49,Bausteine!$A$2:$AY$76,6,FALSE)),IF(H49="",0,VLOOKUP(H49,Bausteine!$A$2:$AY$76,6,FALSE)),IF(I49="",0,VLOOKUP(I49,Bausteine!$A$2:$AY$76,6,FALSE)),IF(J49="",0,VLOOKUP(J49,Bausteine!$A$2:$AY$76,6,FALSE)),IF(K49="",0,VLOOKUP(K49,Bausteine!$A$2:$AY$76,6,FALSE)),IF(L49="",0,VLOOKUP(L49,Bausteine!$A$2:$AY$76,6,FALSE)),IF(AC49="",0,VLOOKUP(AC49,Bausteine!$A$2:$AY$76,6,FALSE)),IF(AF49="",0,VLOOKUP(AF49,Bausteine!$A$2:$AY$76,6,FALSE)),IF(AG49="",0,VLOOKUP(AG49,Bausteine!$A$2:$AY$76,6,FALSE)),IF(AH49="",0,VLOOKUP(AH49,Bausteine!$A$2:$AY$76,6,FALSE)),IF(AQ49="",0,VLOOKUP(AQ49,Bausteine!$A$2:$AY$76,6,FALSE)),AK49)</f>
        <v/>
      </c>
      <c r="P49">
        <f>IF(C49="",0,VLOOKUP(C49,Bausteine!$A$2:$AY$76,7,FALSE))*IF(F49="",0,VLOOKUP(F49,Bausteine!$A$2:$AY$76,17,FALSE))/100+IF(D49="",0,VLOOKUP(D49,Bausteine!$A$2:$AY$76,7,FALSE))+IF(E49="",0,VLOOKUP(E49,Bausteine!$A$2:$AY$76,7,FALSE))+IF(G49="",0,VLOOKUP(G49,Bausteine!$A$2:$AY$76,7,FALSE))+IF(H49="",0,VLOOKUP(H49,Bausteine!$A$2:$AY$76,7,FALSE))+IF(I49="",0,VLOOKUP(I49,Bausteine!$A$2:$AY$76,7,FALSE))+IF(J49="",0,VLOOKUP(J49,Bausteine!$A$2:$AY$76,7,FALSE))+IF(K49="",0,VLOOKUP(K49,Bausteine!$A$2:$AY$76,7,FALSE))+IF(L49="",0,VLOOKUP(L49,Bausteine!$A$2:$AY$76,7,FALSE))+IF(AC49="",0,VLOOKUP(AC49,Bausteine!$A$2:$AY$76,7,FALSE))+IF(AF49="",0,VLOOKUP(AF49,Bausteine!$A$2:$AY$76,7,FALSE))+IF(AG49="",0,VLOOKUP(AG49,Bausteine!$A$2:$AY$76,7,FALSE))+IF(AH49="",0,VLOOKUP(AH49,Bausteine!$A$2:$AY$76,7,FALSE))+IF(AQ49="",0,VLOOKUP(AQ49,Bausteine!$A$2:$AY$76,7,FALSE))+AI49</f>
        <v/>
      </c>
      <c r="Q49">
        <f>N49*Parameter!$B$2</f>
        <v/>
      </c>
      <c r="R49">
        <f>AE49-Q49</f>
        <v/>
      </c>
      <c r="S49">
        <f>IF(C49="",0,VLOOKUP(C49,Bausteine!$A$2:$AY$76,13,FALSE))*IF(F49="",0,VLOOKUP(F49,Bausteine!$A$2:$AY$76,16,FALSE))/100</f>
        <v/>
      </c>
      <c r="T49">
        <f>IF(C49="",0,VLOOKUP(C49,Bausteine!$A$2:$AY$76,8,FALSE))*IF(F49="",0,VLOOKUP(F49,Bausteine!$A$2:$AY$76,15,FALSE))/100+IF(D49="",0,VLOOKUP(D49,Bausteine!$A$2:$AY$76,8,FALSE))+IF(E49="",0,VLOOKUP(E49,Bausteine!$A$2:$AY$76,8,FALSE))+IF(G49="",0,VLOOKUP(G49,Bausteine!$A$2:$AY$76,8,FALSE))+IF(H49="",0,VLOOKUP(H49,Bausteine!$A$2:$AY$76,8,FALSE))+IF(I49="",0,VLOOKUP(I49,Bausteine!$A$2:$AY$76,8,FALSE))+IF(J49="",0,VLOOKUP(J49,Bausteine!$A$2:$AY$76,8,FALSE))+IF(K49="",0,VLOOKUP(K49,Bausteine!$A$2:$AY$76,8,FALSE))+IF(L49="",0,VLOOKUP(L49,Bausteine!$A$2:$AY$76,8,FALSE))+IF(AC49="",0,VLOOKUP(AC49,Bausteine!$A$2:$AY$76,8,FALSE))+IF(AF49="",0,VLOOKUP(AF49,Bausteine!$A$2:$AY$76,8,FALSE))+IF(AG49="",0,VLOOKUP(AG49,Bausteine!$A$2:$AY$76,8,FALSE))+IF(AH49="",0,VLOOKUP(AH49,Bausteine!$A$2:$AY$76,8,FALSE))+IF(AQ49="",0,VLOOKUP(AQ49,Bausteine!$A$2:$AY$76,8,FALSE))+AJ49</f>
        <v/>
      </c>
      <c r="U49">
        <f>IF(C49="",0,VLOOKUP(C49,Bausteine!$A$2:$AY$76,9,FALSE))+IF(D49="",0,VLOOKUP(D49,Bausteine!$A$2:$AY$76,9,FALSE))+IF(E49="",0,VLOOKUP(E49,Bausteine!$A$2:$AY$76,9,FALSE))+IF(F49="",0,VLOOKUP(F49,Bausteine!$A$2:$AY$76,9,FALSE))+IF(G49="",0,VLOOKUP(G49,Bausteine!$A$2:$AY$76,9,FALSE))+IF(H49="",0,VLOOKUP(H49,Bausteine!$A$2:$AY$76,9,FALSE))+IF(I49="",0,VLOOKUP(I49,Bausteine!$A$2:$AY$76,9,FALSE))+IF(J49="",0,VLOOKUP(J49,Bausteine!$A$2:$AY$76,9,FALSE))+IF(K49="",0,VLOOKUP(K49,Bausteine!$A$2:$AY$76,9,FALSE))+IF(L49="",0,VLOOKUP(L49,Bausteine!$A$2:$AY$76,9,FALSE))+IF(AC49="",0,VLOOKUP(AC49,Bausteine!$A$2:$AY$76,9,FALSE))+IF(AF49="",0,VLOOKUP(AF49,Bausteine!$A$2:$AY$76,9,FALSE))+IF(AG49="",0,VLOOKUP(AG49,Bausteine!$A$2:$AY$76,9,FALSE))+IF(AH49="",0,VLOOKUP(AH49,Bausteine!$A$2:$AY$76,9,FALSE))+IF(AQ49="",0,VLOOKUP(AQ49,Bausteine!$A$2:$AY$76,9,FALSE))</f>
        <v/>
      </c>
      <c r="V49">
        <f>IF(D49="",0,VLOOKUP(D49,Bausteine!$A$2:$AY$76,10,FALSE))-U49/IF(E49="",0,VLOOKUP(E49,Bausteine!$A$2:$AY$76,11,FALSE))</f>
        <v/>
      </c>
      <c r="W49">
        <f>IF(Y49&lt;&gt;"OK","",ROUND(MIN(IF(C49="",0,VLOOKUP(C49,Bausteine!$A$2:$AY$76,21,FALSE)),IF(AQ49="",0,VLOOKUP(AQ49,Bausteine!$A$2:$AY$76,21,FALSE)),IF(C49="",0,VLOOKUP(C49,Bausteine!$A$2:$AY$76,20,FALSE))*(V49/T49/(IF(C49="",0,VLOOKUP(C49,Bausteine!$A$2:$AY$76,19,FALSE))/IF(C49="",0,VLOOKUP(C49,Bausteine!$A$2:$AY$76,18,FALSE))))^Parameter!$B$3),0))</f>
        <v/>
      </c>
      <c r="X49">
        <f>IF(F49="",0,VLOOKUP(F49,Bausteine!$A$2:$AY$76,14,FALSE))</f>
        <v/>
      </c>
      <c r="Y49">
        <f>IFERROR(IF(OR(AD49&lt;=0,AD49&gt;1,R49&lt;=0,T49&lt;=0,V49&lt;=0,U49&gt;IF(E49="",0,VLOOKUP(E49,Bausteine!$A$2:$AY$76,12,FALSE)),T49&gt;MIN(IF(C49="",0,VLOOKUP(C49,Bausteine!$A$2:$AY$76,22,FALSE)),IF(AQ49="",0,VLOOKUP(AQ49,Bausteine!$A$2:$AY$76,22,FALSE))),IF(E49="",0,VLOOKUP(E49,Bausteine!$A$2:$AY$76,11,FALSE))&lt;=0,IF(E49="",0,VLOOKUP(E49,Bausteine!$A$2:$AY$76,11,FALSE))&gt;1),"UNGUELTIG","OK"),"FEHLER")</f>
        <v/>
      </c>
      <c r="Z49" t="n">
        <v>1600</v>
      </c>
      <c r="AA49" t="n">
        <v>100</v>
      </c>
      <c r="AB49" t="inlineStr"/>
      <c r="AC49" t="inlineStr"/>
      <c r="AD49">
        <f>IF(AC49="",1,IF(AC49="",0,VLOOKUP(AC49,Bausteine!$A$2:$AY$76,37,FALSE))/100)</f>
        <v/>
      </c>
      <c r="AE49">
        <f>P49*AD49</f>
        <v/>
      </c>
      <c r="AF49" t="inlineStr"/>
      <c r="AG49" t="inlineStr"/>
      <c r="AH49" t="inlineStr"/>
      <c r="AI49">
        <f>SUMIF(Startbesatzung!$A$2:$A$7,A49,Startbesatzung!$D$2:$D$7)</f>
        <v/>
      </c>
      <c r="AJ49">
        <f>SUMIF(Startbesatzung!$A$2:$A$7,A49,Startbesatzung!$E$2:$E$7)</f>
        <v/>
      </c>
      <c r="AK49">
        <f>MAX(0,IF(Startbesatzung!A2=A49,Startbesatzung!G2,0),IF(Startbesatzung!A3=A49,Startbesatzung!G3,0),IF(Startbesatzung!A4=A49,Startbesatzung!G4,0),IF(Startbesatzung!A5=A49,Startbesatzung!G5,0),IF(Startbesatzung!A6=A49,Startbesatzung!G6,0),IF(Startbesatzung!A7=A49,Startbesatzung!G7,0))</f>
        <v/>
      </c>
      <c r="AL49">
        <f>IF(AF49="","",IF(IF(AH49="",0,VLOOKUP(AH49,Bausteine!$A$2:$AY$76,38,FALSE))&gt;0,IF(AH49="",0,VLOOKUP(AH49,Bausteine!$A$2:$AY$76,38,FALSE)),IF(AG49="",0,VLOOKUP(AG49,Bausteine!$A$2:$AY$76,28,FALSE))))</f>
        <v/>
      </c>
      <c r="AM49">
        <f>IF(AF49="","",IF(AG49="",0,VLOOKUP(AG49,Bausteine!$A$2:$AY$76,44,FALSE)))</f>
        <v/>
      </c>
      <c r="AN49">
        <f>IF(AF49="","",IF(AF49="",0,VLOOKUP(AF49,Bausteine!$A$2:$AY$76,27,FALSE)))</f>
        <v/>
      </c>
      <c r="AO49">
        <f>IF(AF49="","",IF(AF49="",0,VLOOKUP(AF49,Bausteine!$A$2:$AY$76,25,FALSE)))</f>
        <v/>
      </c>
      <c r="AP49">
        <f>IF(AF49="","",IF(AH49="",0,VLOOKUP(AH49,Bausteine!$A$2:$AY$76,29,FALSE)))</f>
        <v/>
      </c>
      <c r="AQ49" t="inlineStr">
        <is>
          <t>tracks-standard</t>
        </is>
      </c>
      <c r="AR49">
        <f>IF(AQ49="",0,VLOOKUP(AQ49,Bausteine!$A$2:$AY$76,48,FALSE))</f>
        <v/>
      </c>
      <c r="AS49">
        <f>MIN(IF(AQ49="",0,VLOOKUP(AQ49,Bausteine!$A$2:$AY$76,50,FALSE)),IF(C49="",0,VLOOKUP(C49,Bausteine!$A$2:$AY$76,51,FALSE)))</f>
        <v/>
      </c>
    </row>
    <row r="50">
      <c r="A50" t="inlineStr">
        <is>
          <t>Battlemaster Autoloader Reflector</t>
        </is>
      </c>
      <c r="B50" t="inlineStr">
        <is>
          <t>china</t>
        </is>
      </c>
      <c r="C50" t="inlineStr">
        <is>
          <t>battlemaster</t>
        </is>
      </c>
      <c r="D50" t="inlineStr">
        <is>
          <t>diesel-large</t>
        </is>
      </c>
      <c r="E50" t="inlineStr">
        <is>
          <t>efficient-generator</t>
        </is>
      </c>
      <c r="F50" t="inlineStr">
        <is>
          <t>reflector</t>
        </is>
      </c>
      <c r="G50" t="inlineStr">
        <is>
          <t>autoloader-turret</t>
        </is>
      </c>
      <c r="H50" t="inlineStr">
        <is>
          <t>cannon</t>
        </is>
      </c>
      <c r="I50" t="inlineStr">
        <is>
          <t>shell</t>
        </is>
      </c>
      <c r="J50" t="inlineStr"/>
      <c r="K50" t="inlineStr"/>
      <c r="L50" t="inlineStr"/>
      <c r="M50">
        <f>IF(C50="",0,VLOOKUP(C50,Bausteine!$A$2:$AY$76,4,FALSE))+IF(D50="",0,VLOOKUP(D50,Bausteine!$A$2:$AY$76,4,FALSE))+IF(E50="",0,VLOOKUP(E50,Bausteine!$A$2:$AY$76,4,FALSE))+IF(F50="",0,VLOOKUP(F50,Bausteine!$A$2:$AY$76,4,FALSE))+IF(G50="",0,VLOOKUP(G50,Bausteine!$A$2:$AY$76,4,FALSE))+IF(H50="",0,VLOOKUP(H50,Bausteine!$A$2:$AY$76,4,FALSE))+IF(I50="",0,VLOOKUP(I50,Bausteine!$A$2:$AY$76,4,FALSE))+IF(J50="",0,VLOOKUP(J50,Bausteine!$A$2:$AY$76,4,FALSE))+IF(K50="",0,VLOOKUP(K50,Bausteine!$A$2:$AY$76,4,FALSE))+IF(L50="",0,VLOOKUP(L50,Bausteine!$A$2:$AY$76,4,FALSE))+IF(AC50="",0,VLOOKUP(AC50,Bausteine!$A$2:$AY$76,4,FALSE))+IF(AF50="",0,VLOOKUP(AF50,Bausteine!$A$2:$AY$76,4,FALSE))+IF(AG50="",0,VLOOKUP(AG50,Bausteine!$A$2:$AY$76,4,FALSE))+IF(AH50="",0,VLOOKUP(AH50,Bausteine!$A$2:$AY$76,4,FALSE))+IF(AQ50="",0,VLOOKUP(AQ50,Bausteine!$A$2:$AY$76,4,FALSE))</f>
        <v/>
      </c>
      <c r="N50">
        <f>IF(C50="",0,VLOOKUP(C50,Bausteine!$A$2:$AY$76,5,FALSE))+IF(D50="",0,VLOOKUP(D50,Bausteine!$A$2:$AY$76,5,FALSE))+IF(E50="",0,VLOOKUP(E50,Bausteine!$A$2:$AY$76,5,FALSE))+IF(F50="",0,VLOOKUP(F50,Bausteine!$A$2:$AY$76,5,FALSE))+IF(G50="",0,VLOOKUP(G50,Bausteine!$A$2:$AY$76,5,FALSE))+IF(H50="",0,VLOOKUP(H50,Bausteine!$A$2:$AY$76,5,FALSE))+IF(I50="",0,VLOOKUP(I50,Bausteine!$A$2:$AY$76,5,FALSE))+IF(J50="",0,VLOOKUP(J50,Bausteine!$A$2:$AY$76,5,FALSE))+IF(K50="",0,VLOOKUP(K50,Bausteine!$A$2:$AY$76,5,FALSE))+IF(L50="",0,VLOOKUP(L50,Bausteine!$A$2:$AY$76,5,FALSE))+IF(AC50="",0,VLOOKUP(AC50,Bausteine!$A$2:$AY$76,5,FALSE))+IF(AF50="",0,VLOOKUP(AF50,Bausteine!$A$2:$AY$76,5,FALSE))+IF(AG50="",0,VLOOKUP(AG50,Bausteine!$A$2:$AY$76,5,FALSE))+IF(AH50="",0,VLOOKUP(AH50,Bausteine!$A$2:$AY$76,5,FALSE))+IF(AQ50="",0,VLOOKUP(AQ50,Bausteine!$A$2:$AY$76,5,FALSE))</f>
        <v/>
      </c>
      <c r="O50">
        <f>MAX(IF(C50="",0,VLOOKUP(C50,Bausteine!$A$2:$AY$76,6,FALSE)),IF(D50="",0,VLOOKUP(D50,Bausteine!$A$2:$AY$76,6,FALSE)),IF(E50="",0,VLOOKUP(E50,Bausteine!$A$2:$AY$76,6,FALSE)),IF(F50="",0,VLOOKUP(F50,Bausteine!$A$2:$AY$76,6,FALSE)),IF(G50="",0,VLOOKUP(G50,Bausteine!$A$2:$AY$76,6,FALSE)),IF(H50="",0,VLOOKUP(H50,Bausteine!$A$2:$AY$76,6,FALSE)),IF(I50="",0,VLOOKUP(I50,Bausteine!$A$2:$AY$76,6,FALSE)),IF(J50="",0,VLOOKUP(J50,Bausteine!$A$2:$AY$76,6,FALSE)),IF(K50="",0,VLOOKUP(K50,Bausteine!$A$2:$AY$76,6,FALSE)),IF(L50="",0,VLOOKUP(L50,Bausteine!$A$2:$AY$76,6,FALSE)),IF(AC50="",0,VLOOKUP(AC50,Bausteine!$A$2:$AY$76,6,FALSE)),IF(AF50="",0,VLOOKUP(AF50,Bausteine!$A$2:$AY$76,6,FALSE)),IF(AG50="",0,VLOOKUP(AG50,Bausteine!$A$2:$AY$76,6,FALSE)),IF(AH50="",0,VLOOKUP(AH50,Bausteine!$A$2:$AY$76,6,FALSE)),IF(AQ50="",0,VLOOKUP(AQ50,Bausteine!$A$2:$AY$76,6,FALSE)),AK50)</f>
        <v/>
      </c>
      <c r="P50">
        <f>IF(C50="",0,VLOOKUP(C50,Bausteine!$A$2:$AY$76,7,FALSE))*IF(F50="",0,VLOOKUP(F50,Bausteine!$A$2:$AY$76,17,FALSE))/100+IF(D50="",0,VLOOKUP(D50,Bausteine!$A$2:$AY$76,7,FALSE))+IF(E50="",0,VLOOKUP(E50,Bausteine!$A$2:$AY$76,7,FALSE))+IF(G50="",0,VLOOKUP(G50,Bausteine!$A$2:$AY$76,7,FALSE))+IF(H50="",0,VLOOKUP(H50,Bausteine!$A$2:$AY$76,7,FALSE))+IF(I50="",0,VLOOKUP(I50,Bausteine!$A$2:$AY$76,7,FALSE))+IF(J50="",0,VLOOKUP(J50,Bausteine!$A$2:$AY$76,7,FALSE))+IF(K50="",0,VLOOKUP(K50,Bausteine!$A$2:$AY$76,7,FALSE))+IF(L50="",0,VLOOKUP(L50,Bausteine!$A$2:$AY$76,7,FALSE))+IF(AC50="",0,VLOOKUP(AC50,Bausteine!$A$2:$AY$76,7,FALSE))+IF(AF50="",0,VLOOKUP(AF50,Bausteine!$A$2:$AY$76,7,FALSE))+IF(AG50="",0,VLOOKUP(AG50,Bausteine!$A$2:$AY$76,7,FALSE))+IF(AH50="",0,VLOOKUP(AH50,Bausteine!$A$2:$AY$76,7,FALSE))+IF(AQ50="",0,VLOOKUP(AQ50,Bausteine!$A$2:$AY$76,7,FALSE))+AI50</f>
        <v/>
      </c>
      <c r="Q50">
        <f>N50*Parameter!$B$2</f>
        <v/>
      </c>
      <c r="R50">
        <f>AE50-Q50</f>
        <v/>
      </c>
      <c r="S50">
        <f>IF(C50="",0,VLOOKUP(C50,Bausteine!$A$2:$AY$76,13,FALSE))*IF(F50="",0,VLOOKUP(F50,Bausteine!$A$2:$AY$76,16,FALSE))/100</f>
        <v/>
      </c>
      <c r="T50">
        <f>IF(C50="",0,VLOOKUP(C50,Bausteine!$A$2:$AY$76,8,FALSE))*IF(F50="",0,VLOOKUP(F50,Bausteine!$A$2:$AY$76,15,FALSE))/100+IF(D50="",0,VLOOKUP(D50,Bausteine!$A$2:$AY$76,8,FALSE))+IF(E50="",0,VLOOKUP(E50,Bausteine!$A$2:$AY$76,8,FALSE))+IF(G50="",0,VLOOKUP(G50,Bausteine!$A$2:$AY$76,8,FALSE))+IF(H50="",0,VLOOKUP(H50,Bausteine!$A$2:$AY$76,8,FALSE))+IF(I50="",0,VLOOKUP(I50,Bausteine!$A$2:$AY$76,8,FALSE))+IF(J50="",0,VLOOKUP(J50,Bausteine!$A$2:$AY$76,8,FALSE))+IF(K50="",0,VLOOKUP(K50,Bausteine!$A$2:$AY$76,8,FALSE))+IF(L50="",0,VLOOKUP(L50,Bausteine!$A$2:$AY$76,8,FALSE))+IF(AC50="",0,VLOOKUP(AC50,Bausteine!$A$2:$AY$76,8,FALSE))+IF(AF50="",0,VLOOKUP(AF50,Bausteine!$A$2:$AY$76,8,FALSE))+IF(AG50="",0,VLOOKUP(AG50,Bausteine!$A$2:$AY$76,8,FALSE))+IF(AH50="",0,VLOOKUP(AH50,Bausteine!$A$2:$AY$76,8,FALSE))+IF(AQ50="",0,VLOOKUP(AQ50,Bausteine!$A$2:$AY$76,8,FALSE))+AJ50</f>
        <v/>
      </c>
      <c r="U50">
        <f>IF(C50="",0,VLOOKUP(C50,Bausteine!$A$2:$AY$76,9,FALSE))+IF(D50="",0,VLOOKUP(D50,Bausteine!$A$2:$AY$76,9,FALSE))+IF(E50="",0,VLOOKUP(E50,Bausteine!$A$2:$AY$76,9,FALSE))+IF(F50="",0,VLOOKUP(F50,Bausteine!$A$2:$AY$76,9,FALSE))+IF(G50="",0,VLOOKUP(G50,Bausteine!$A$2:$AY$76,9,FALSE))+IF(H50="",0,VLOOKUP(H50,Bausteine!$A$2:$AY$76,9,FALSE))+IF(I50="",0,VLOOKUP(I50,Bausteine!$A$2:$AY$76,9,FALSE))+IF(J50="",0,VLOOKUP(J50,Bausteine!$A$2:$AY$76,9,FALSE))+IF(K50="",0,VLOOKUP(K50,Bausteine!$A$2:$AY$76,9,FALSE))+IF(L50="",0,VLOOKUP(L50,Bausteine!$A$2:$AY$76,9,FALSE))+IF(AC50="",0,VLOOKUP(AC50,Bausteine!$A$2:$AY$76,9,FALSE))+IF(AF50="",0,VLOOKUP(AF50,Bausteine!$A$2:$AY$76,9,FALSE))+IF(AG50="",0,VLOOKUP(AG50,Bausteine!$A$2:$AY$76,9,FALSE))+IF(AH50="",0,VLOOKUP(AH50,Bausteine!$A$2:$AY$76,9,FALSE))+IF(AQ50="",0,VLOOKUP(AQ50,Bausteine!$A$2:$AY$76,9,FALSE))</f>
        <v/>
      </c>
      <c r="V50">
        <f>IF(D50="",0,VLOOKUP(D50,Bausteine!$A$2:$AY$76,10,FALSE))-U50/IF(E50="",0,VLOOKUP(E50,Bausteine!$A$2:$AY$76,11,FALSE))</f>
        <v/>
      </c>
      <c r="W50">
        <f>IF(Y50&lt;&gt;"OK","",ROUND(MIN(IF(C50="",0,VLOOKUP(C50,Bausteine!$A$2:$AY$76,21,FALSE)),IF(AQ50="",0,VLOOKUP(AQ50,Bausteine!$A$2:$AY$76,21,FALSE)),IF(C50="",0,VLOOKUP(C50,Bausteine!$A$2:$AY$76,20,FALSE))*(V50/T50/(IF(C50="",0,VLOOKUP(C50,Bausteine!$A$2:$AY$76,19,FALSE))/IF(C50="",0,VLOOKUP(C50,Bausteine!$A$2:$AY$76,18,FALSE))))^Parameter!$B$3),0))</f>
        <v/>
      </c>
      <c r="X50">
        <f>IF(F50="",0,VLOOKUP(F50,Bausteine!$A$2:$AY$76,14,FALSE))</f>
        <v/>
      </c>
      <c r="Y50">
        <f>IFERROR(IF(OR(AD50&lt;=0,AD50&gt;1,R50&lt;=0,T50&lt;=0,V50&lt;=0,U50&gt;IF(E50="",0,VLOOKUP(E50,Bausteine!$A$2:$AY$76,12,FALSE)),T50&gt;MIN(IF(C50="",0,VLOOKUP(C50,Bausteine!$A$2:$AY$76,22,FALSE)),IF(AQ50="",0,VLOOKUP(AQ50,Bausteine!$A$2:$AY$76,22,FALSE))),IF(E50="",0,VLOOKUP(E50,Bausteine!$A$2:$AY$76,11,FALSE))&lt;=0,IF(E50="",0,VLOOKUP(E50,Bausteine!$A$2:$AY$76,11,FALSE))&gt;1),"UNGUELTIG","OK"),"FEHLER")</f>
        <v/>
      </c>
      <c r="Z50" t="n">
        <v>950</v>
      </c>
      <c r="AA50" t="n">
        <v>100</v>
      </c>
      <c r="AB50" t="inlineStr"/>
      <c r="AC50" t="inlineStr"/>
      <c r="AD50">
        <f>IF(AC50="",1,IF(AC50="",0,VLOOKUP(AC50,Bausteine!$A$2:$AY$76,37,FALSE))/100)</f>
        <v/>
      </c>
      <c r="AE50">
        <f>P50*AD50</f>
        <v/>
      </c>
      <c r="AF50" t="inlineStr"/>
      <c r="AG50" t="inlineStr"/>
      <c r="AH50" t="inlineStr"/>
      <c r="AI50">
        <f>SUMIF(Startbesatzung!$A$2:$A$7,A50,Startbesatzung!$D$2:$D$7)</f>
        <v/>
      </c>
      <c r="AJ50">
        <f>SUMIF(Startbesatzung!$A$2:$A$7,A50,Startbesatzung!$E$2:$E$7)</f>
        <v/>
      </c>
      <c r="AK50">
        <f>MAX(0,IF(Startbesatzung!A2=A50,Startbesatzung!G2,0),IF(Startbesatzung!A3=A50,Startbesatzung!G3,0),IF(Startbesatzung!A4=A50,Startbesatzung!G4,0),IF(Startbesatzung!A5=A50,Startbesatzung!G5,0),IF(Startbesatzung!A6=A50,Startbesatzung!G6,0),IF(Startbesatzung!A7=A50,Startbesatzung!G7,0))</f>
        <v/>
      </c>
      <c r="AL50">
        <f>IF(AF50="","",IF(IF(AH50="",0,VLOOKUP(AH50,Bausteine!$A$2:$AY$76,38,FALSE))&gt;0,IF(AH50="",0,VLOOKUP(AH50,Bausteine!$A$2:$AY$76,38,FALSE)),IF(AG50="",0,VLOOKUP(AG50,Bausteine!$A$2:$AY$76,28,FALSE))))</f>
        <v/>
      </c>
      <c r="AM50">
        <f>IF(AF50="","",IF(AG50="",0,VLOOKUP(AG50,Bausteine!$A$2:$AY$76,44,FALSE)))</f>
        <v/>
      </c>
      <c r="AN50">
        <f>IF(AF50="","",IF(AF50="",0,VLOOKUP(AF50,Bausteine!$A$2:$AY$76,27,FALSE)))</f>
        <v/>
      </c>
      <c r="AO50">
        <f>IF(AF50="","",IF(AF50="",0,VLOOKUP(AF50,Bausteine!$A$2:$AY$76,25,FALSE)))</f>
        <v/>
      </c>
      <c r="AP50">
        <f>IF(AF50="","",IF(AH50="",0,VLOOKUP(AH50,Bausteine!$A$2:$AY$76,29,FALSE)))</f>
        <v/>
      </c>
      <c r="AQ50" t="inlineStr">
        <is>
          <t>tracks-standard</t>
        </is>
      </c>
      <c r="AR50">
        <f>IF(AQ50="",0,VLOOKUP(AQ50,Bausteine!$A$2:$AY$76,48,FALSE))</f>
        <v/>
      </c>
      <c r="AS50">
        <f>MIN(IF(AQ50="",0,VLOOKUP(AQ50,Bausteine!$A$2:$AY$76,50,FALSE)),IF(C50="",0,VLOOKUP(C50,Bausteine!$A$2:$AY$76,51,FALSE)))</f>
        <v/>
      </c>
    </row>
    <row r="51">
      <c r="A51" t="inlineStr">
        <is>
          <t>Battlemaster baseline</t>
        </is>
      </c>
      <c r="B51" t="inlineStr">
        <is>
          <t>china</t>
        </is>
      </c>
      <c r="C51" t="inlineStr">
        <is>
          <t>battlemaster</t>
        </is>
      </c>
      <c r="D51" t="inlineStr">
        <is>
          <t>diesel</t>
        </is>
      </c>
      <c r="E51" t="inlineStr">
        <is>
          <t>baseline-generator</t>
        </is>
      </c>
      <c r="F51" t="inlineStr">
        <is>
          <t>heavy</t>
        </is>
      </c>
      <c r="G51" t="inlineStr">
        <is>
          <t>cannon-turret</t>
        </is>
      </c>
      <c r="H51" t="inlineStr">
        <is>
          <t>cannon</t>
        </is>
      </c>
      <c r="I51" t="inlineStr">
        <is>
          <t>shell</t>
        </is>
      </c>
      <c r="J51" t="inlineStr"/>
      <c r="K51" t="inlineStr"/>
      <c r="L51" t="inlineStr"/>
      <c r="M51">
        <f>IF(C51="",0,VLOOKUP(C51,Bausteine!$A$2:$AY$76,4,FALSE))+IF(D51="",0,VLOOKUP(D51,Bausteine!$A$2:$AY$76,4,FALSE))+IF(E51="",0,VLOOKUP(E51,Bausteine!$A$2:$AY$76,4,FALSE))+IF(F51="",0,VLOOKUP(F51,Bausteine!$A$2:$AY$76,4,FALSE))+IF(G51="",0,VLOOKUP(G51,Bausteine!$A$2:$AY$76,4,FALSE))+IF(H51="",0,VLOOKUP(H51,Bausteine!$A$2:$AY$76,4,FALSE))+IF(I51="",0,VLOOKUP(I51,Bausteine!$A$2:$AY$76,4,FALSE))+IF(J51="",0,VLOOKUP(J51,Bausteine!$A$2:$AY$76,4,FALSE))+IF(K51="",0,VLOOKUP(K51,Bausteine!$A$2:$AY$76,4,FALSE))+IF(L51="",0,VLOOKUP(L51,Bausteine!$A$2:$AY$76,4,FALSE))+IF(AC51="",0,VLOOKUP(AC51,Bausteine!$A$2:$AY$76,4,FALSE))+IF(AF51="",0,VLOOKUP(AF51,Bausteine!$A$2:$AY$76,4,FALSE))+IF(AG51="",0,VLOOKUP(AG51,Bausteine!$A$2:$AY$76,4,FALSE))+IF(AH51="",0,VLOOKUP(AH51,Bausteine!$A$2:$AY$76,4,FALSE))+IF(AQ51="",0,VLOOKUP(AQ51,Bausteine!$A$2:$AY$76,4,FALSE))</f>
        <v/>
      </c>
      <c r="N51">
        <f>IF(C51="",0,VLOOKUP(C51,Bausteine!$A$2:$AY$76,5,FALSE))+IF(D51="",0,VLOOKUP(D51,Bausteine!$A$2:$AY$76,5,FALSE))+IF(E51="",0,VLOOKUP(E51,Bausteine!$A$2:$AY$76,5,FALSE))+IF(F51="",0,VLOOKUP(F51,Bausteine!$A$2:$AY$76,5,FALSE))+IF(G51="",0,VLOOKUP(G51,Bausteine!$A$2:$AY$76,5,FALSE))+IF(H51="",0,VLOOKUP(H51,Bausteine!$A$2:$AY$76,5,FALSE))+IF(I51="",0,VLOOKUP(I51,Bausteine!$A$2:$AY$76,5,FALSE))+IF(J51="",0,VLOOKUP(J51,Bausteine!$A$2:$AY$76,5,FALSE))+IF(K51="",0,VLOOKUP(K51,Bausteine!$A$2:$AY$76,5,FALSE))+IF(L51="",0,VLOOKUP(L51,Bausteine!$A$2:$AY$76,5,FALSE))+IF(AC51="",0,VLOOKUP(AC51,Bausteine!$A$2:$AY$76,5,FALSE))+IF(AF51="",0,VLOOKUP(AF51,Bausteine!$A$2:$AY$76,5,FALSE))+IF(AG51="",0,VLOOKUP(AG51,Bausteine!$A$2:$AY$76,5,FALSE))+IF(AH51="",0,VLOOKUP(AH51,Bausteine!$A$2:$AY$76,5,FALSE))+IF(AQ51="",0,VLOOKUP(AQ51,Bausteine!$A$2:$AY$76,5,FALSE))</f>
        <v/>
      </c>
      <c r="O51">
        <f>MAX(IF(C51="",0,VLOOKUP(C51,Bausteine!$A$2:$AY$76,6,FALSE)),IF(D51="",0,VLOOKUP(D51,Bausteine!$A$2:$AY$76,6,FALSE)),IF(E51="",0,VLOOKUP(E51,Bausteine!$A$2:$AY$76,6,FALSE)),IF(F51="",0,VLOOKUP(F51,Bausteine!$A$2:$AY$76,6,FALSE)),IF(G51="",0,VLOOKUP(G51,Bausteine!$A$2:$AY$76,6,FALSE)),IF(H51="",0,VLOOKUP(H51,Bausteine!$A$2:$AY$76,6,FALSE)),IF(I51="",0,VLOOKUP(I51,Bausteine!$A$2:$AY$76,6,FALSE)),IF(J51="",0,VLOOKUP(J51,Bausteine!$A$2:$AY$76,6,FALSE)),IF(K51="",0,VLOOKUP(K51,Bausteine!$A$2:$AY$76,6,FALSE)),IF(L51="",0,VLOOKUP(L51,Bausteine!$A$2:$AY$76,6,FALSE)),IF(AC51="",0,VLOOKUP(AC51,Bausteine!$A$2:$AY$76,6,FALSE)),IF(AF51="",0,VLOOKUP(AF51,Bausteine!$A$2:$AY$76,6,FALSE)),IF(AG51="",0,VLOOKUP(AG51,Bausteine!$A$2:$AY$76,6,FALSE)),IF(AH51="",0,VLOOKUP(AH51,Bausteine!$A$2:$AY$76,6,FALSE)),IF(AQ51="",0,VLOOKUP(AQ51,Bausteine!$A$2:$AY$76,6,FALSE)),AK51)</f>
        <v/>
      </c>
      <c r="P51">
        <f>IF(C51="",0,VLOOKUP(C51,Bausteine!$A$2:$AY$76,7,FALSE))*IF(F51="",0,VLOOKUP(F51,Bausteine!$A$2:$AY$76,17,FALSE))/100+IF(D51="",0,VLOOKUP(D51,Bausteine!$A$2:$AY$76,7,FALSE))+IF(E51="",0,VLOOKUP(E51,Bausteine!$A$2:$AY$76,7,FALSE))+IF(G51="",0,VLOOKUP(G51,Bausteine!$A$2:$AY$76,7,FALSE))+IF(H51="",0,VLOOKUP(H51,Bausteine!$A$2:$AY$76,7,FALSE))+IF(I51="",0,VLOOKUP(I51,Bausteine!$A$2:$AY$76,7,FALSE))+IF(J51="",0,VLOOKUP(J51,Bausteine!$A$2:$AY$76,7,FALSE))+IF(K51="",0,VLOOKUP(K51,Bausteine!$A$2:$AY$76,7,FALSE))+IF(L51="",0,VLOOKUP(L51,Bausteine!$A$2:$AY$76,7,FALSE))+IF(AC51="",0,VLOOKUP(AC51,Bausteine!$A$2:$AY$76,7,FALSE))+IF(AF51="",0,VLOOKUP(AF51,Bausteine!$A$2:$AY$76,7,FALSE))+IF(AG51="",0,VLOOKUP(AG51,Bausteine!$A$2:$AY$76,7,FALSE))+IF(AH51="",0,VLOOKUP(AH51,Bausteine!$A$2:$AY$76,7,FALSE))+IF(AQ51="",0,VLOOKUP(AQ51,Bausteine!$A$2:$AY$76,7,FALSE))+AI51</f>
        <v/>
      </c>
      <c r="Q51">
        <f>N51*Parameter!$B$2</f>
        <v/>
      </c>
      <c r="R51">
        <f>AE51-Q51</f>
        <v/>
      </c>
      <c r="S51">
        <f>IF(C51="",0,VLOOKUP(C51,Bausteine!$A$2:$AY$76,13,FALSE))*IF(F51="",0,VLOOKUP(F51,Bausteine!$A$2:$AY$76,16,FALSE))/100</f>
        <v/>
      </c>
      <c r="T51">
        <f>IF(C51="",0,VLOOKUP(C51,Bausteine!$A$2:$AY$76,8,FALSE))*IF(F51="",0,VLOOKUP(F51,Bausteine!$A$2:$AY$76,15,FALSE))/100+IF(D51="",0,VLOOKUP(D51,Bausteine!$A$2:$AY$76,8,FALSE))+IF(E51="",0,VLOOKUP(E51,Bausteine!$A$2:$AY$76,8,FALSE))+IF(G51="",0,VLOOKUP(G51,Bausteine!$A$2:$AY$76,8,FALSE))+IF(H51="",0,VLOOKUP(H51,Bausteine!$A$2:$AY$76,8,FALSE))+IF(I51="",0,VLOOKUP(I51,Bausteine!$A$2:$AY$76,8,FALSE))+IF(J51="",0,VLOOKUP(J51,Bausteine!$A$2:$AY$76,8,FALSE))+IF(K51="",0,VLOOKUP(K51,Bausteine!$A$2:$AY$76,8,FALSE))+IF(L51="",0,VLOOKUP(L51,Bausteine!$A$2:$AY$76,8,FALSE))+IF(AC51="",0,VLOOKUP(AC51,Bausteine!$A$2:$AY$76,8,FALSE))+IF(AF51="",0,VLOOKUP(AF51,Bausteine!$A$2:$AY$76,8,FALSE))+IF(AG51="",0,VLOOKUP(AG51,Bausteine!$A$2:$AY$76,8,FALSE))+IF(AH51="",0,VLOOKUP(AH51,Bausteine!$A$2:$AY$76,8,FALSE))+IF(AQ51="",0,VLOOKUP(AQ51,Bausteine!$A$2:$AY$76,8,FALSE))+AJ51</f>
        <v/>
      </c>
      <c r="U51">
        <f>IF(C51="",0,VLOOKUP(C51,Bausteine!$A$2:$AY$76,9,FALSE))+IF(D51="",0,VLOOKUP(D51,Bausteine!$A$2:$AY$76,9,FALSE))+IF(E51="",0,VLOOKUP(E51,Bausteine!$A$2:$AY$76,9,FALSE))+IF(F51="",0,VLOOKUP(F51,Bausteine!$A$2:$AY$76,9,FALSE))+IF(G51="",0,VLOOKUP(G51,Bausteine!$A$2:$AY$76,9,FALSE))+IF(H51="",0,VLOOKUP(H51,Bausteine!$A$2:$AY$76,9,FALSE))+IF(I51="",0,VLOOKUP(I51,Bausteine!$A$2:$AY$76,9,FALSE))+IF(J51="",0,VLOOKUP(J51,Bausteine!$A$2:$AY$76,9,FALSE))+IF(K51="",0,VLOOKUP(K51,Bausteine!$A$2:$AY$76,9,FALSE))+IF(L51="",0,VLOOKUP(L51,Bausteine!$A$2:$AY$76,9,FALSE))+IF(AC51="",0,VLOOKUP(AC51,Bausteine!$A$2:$AY$76,9,FALSE))+IF(AF51="",0,VLOOKUP(AF51,Bausteine!$A$2:$AY$76,9,FALSE))+IF(AG51="",0,VLOOKUP(AG51,Bausteine!$A$2:$AY$76,9,FALSE))+IF(AH51="",0,VLOOKUP(AH51,Bausteine!$A$2:$AY$76,9,FALSE))+IF(AQ51="",0,VLOOKUP(AQ51,Bausteine!$A$2:$AY$76,9,FALSE))</f>
        <v/>
      </c>
      <c r="V51">
        <f>IF(D51="",0,VLOOKUP(D51,Bausteine!$A$2:$AY$76,10,FALSE))-U51/IF(E51="",0,VLOOKUP(E51,Bausteine!$A$2:$AY$76,11,FALSE))</f>
        <v/>
      </c>
      <c r="W51">
        <f>IF(Y51&lt;&gt;"OK","",ROUND(MIN(IF(C51="",0,VLOOKUP(C51,Bausteine!$A$2:$AY$76,21,FALSE)),IF(AQ51="",0,VLOOKUP(AQ51,Bausteine!$A$2:$AY$76,21,FALSE)),IF(C51="",0,VLOOKUP(C51,Bausteine!$A$2:$AY$76,20,FALSE))*(V51/T51/(IF(C51="",0,VLOOKUP(C51,Bausteine!$A$2:$AY$76,19,FALSE))/IF(C51="",0,VLOOKUP(C51,Bausteine!$A$2:$AY$76,18,FALSE))))^Parameter!$B$3),0))</f>
        <v/>
      </c>
      <c r="X51">
        <f>IF(F51="",0,VLOOKUP(F51,Bausteine!$A$2:$AY$76,14,FALSE))</f>
        <v/>
      </c>
      <c r="Y51">
        <f>IFERROR(IF(OR(AD51&lt;=0,AD51&gt;1,R51&lt;=0,T51&lt;=0,V51&lt;=0,U51&gt;IF(E51="",0,VLOOKUP(E51,Bausteine!$A$2:$AY$76,12,FALSE)),T51&gt;MIN(IF(C51="",0,VLOOKUP(C51,Bausteine!$A$2:$AY$76,22,FALSE)),IF(AQ51="",0,VLOOKUP(AQ51,Bausteine!$A$2:$AY$76,22,FALSE))),IF(E51="",0,VLOOKUP(E51,Bausteine!$A$2:$AY$76,11,FALSE))&lt;=0,IF(E51="",0,VLOOKUP(E51,Bausteine!$A$2:$AY$76,11,FALSE))&gt;1),"UNGUELTIG","OK"),"FEHLER")</f>
        <v/>
      </c>
      <c r="Z51" t="n">
        <v>950</v>
      </c>
      <c r="AA51" t="n">
        <v>100</v>
      </c>
      <c r="AB51" t="inlineStr"/>
      <c r="AC51" t="inlineStr"/>
      <c r="AD51">
        <f>IF(AC51="",1,IF(AC51="",0,VLOOKUP(AC51,Bausteine!$A$2:$AY$76,37,FALSE))/100)</f>
        <v/>
      </c>
      <c r="AE51">
        <f>P51*AD51</f>
        <v/>
      </c>
      <c r="AF51" t="inlineStr"/>
      <c r="AG51" t="inlineStr"/>
      <c r="AH51" t="inlineStr"/>
      <c r="AI51">
        <f>SUMIF(Startbesatzung!$A$2:$A$7,A51,Startbesatzung!$D$2:$D$7)</f>
        <v/>
      </c>
      <c r="AJ51">
        <f>SUMIF(Startbesatzung!$A$2:$A$7,A51,Startbesatzung!$E$2:$E$7)</f>
        <v/>
      </c>
      <c r="AK51">
        <f>MAX(0,IF(Startbesatzung!A2=A51,Startbesatzung!G2,0),IF(Startbesatzung!A3=A51,Startbesatzung!G3,0),IF(Startbesatzung!A4=A51,Startbesatzung!G4,0),IF(Startbesatzung!A5=A51,Startbesatzung!G5,0),IF(Startbesatzung!A6=A51,Startbesatzung!G6,0),IF(Startbesatzung!A7=A51,Startbesatzung!G7,0))</f>
        <v/>
      </c>
      <c r="AL51">
        <f>IF(AF51="","",IF(IF(AH51="",0,VLOOKUP(AH51,Bausteine!$A$2:$AY$76,38,FALSE))&gt;0,IF(AH51="",0,VLOOKUP(AH51,Bausteine!$A$2:$AY$76,38,FALSE)),IF(AG51="",0,VLOOKUP(AG51,Bausteine!$A$2:$AY$76,28,FALSE))))</f>
        <v/>
      </c>
      <c r="AM51">
        <f>IF(AF51="","",IF(AG51="",0,VLOOKUP(AG51,Bausteine!$A$2:$AY$76,44,FALSE)))</f>
        <v/>
      </c>
      <c r="AN51">
        <f>IF(AF51="","",IF(AF51="",0,VLOOKUP(AF51,Bausteine!$A$2:$AY$76,27,FALSE)))</f>
        <v/>
      </c>
      <c r="AO51">
        <f>IF(AF51="","",IF(AF51="",0,VLOOKUP(AF51,Bausteine!$A$2:$AY$76,25,FALSE)))</f>
        <v/>
      </c>
      <c r="AP51">
        <f>IF(AF51="","",IF(AH51="",0,VLOOKUP(AH51,Bausteine!$A$2:$AY$76,29,FALSE)))</f>
        <v/>
      </c>
      <c r="AQ51" t="inlineStr">
        <is>
          <t>tracks-standard</t>
        </is>
      </c>
      <c r="AR51">
        <f>IF(AQ51="",0,VLOOKUP(AQ51,Bausteine!$A$2:$AY$76,48,FALSE))</f>
        <v/>
      </c>
      <c r="AS51">
        <f>MIN(IF(AQ51="",0,VLOOKUP(AQ51,Bausteine!$A$2:$AY$76,50,FALSE)),IF(C51="",0,VLOOKUP(C51,Bausteine!$A$2:$AY$76,51,FALSE)))</f>
        <v/>
      </c>
    </row>
    <row r="52">
      <c r="A52" t="inlineStr">
        <is>
          <t>Battlemaster nuclear drive</t>
        </is>
      </c>
      <c r="B52" t="inlineStr">
        <is>
          <t>china</t>
        </is>
      </c>
      <c r="C52" t="inlineStr">
        <is>
          <t>battlemaster</t>
        </is>
      </c>
      <c r="D52" t="inlineStr">
        <is>
          <t>nuclear</t>
        </is>
      </c>
      <c r="E52" t="inlineStr">
        <is>
          <t>baseline-generator</t>
        </is>
      </c>
      <c r="F52" t="inlineStr">
        <is>
          <t>heavy</t>
        </is>
      </c>
      <c r="G52" t="inlineStr">
        <is>
          <t>cannon-turret</t>
        </is>
      </c>
      <c r="H52" t="inlineStr">
        <is>
          <t>cannon</t>
        </is>
      </c>
      <c r="I52" t="inlineStr">
        <is>
          <t>shell</t>
        </is>
      </c>
      <c r="J52" t="inlineStr"/>
      <c r="K52" t="inlineStr"/>
      <c r="L52" t="inlineStr"/>
      <c r="M52">
        <f>IF(C52="",0,VLOOKUP(C52,Bausteine!$A$2:$AY$76,4,FALSE))+IF(D52="",0,VLOOKUP(D52,Bausteine!$A$2:$AY$76,4,FALSE))+IF(E52="",0,VLOOKUP(E52,Bausteine!$A$2:$AY$76,4,FALSE))+IF(F52="",0,VLOOKUP(F52,Bausteine!$A$2:$AY$76,4,FALSE))+IF(G52="",0,VLOOKUP(G52,Bausteine!$A$2:$AY$76,4,FALSE))+IF(H52="",0,VLOOKUP(H52,Bausteine!$A$2:$AY$76,4,FALSE))+IF(I52="",0,VLOOKUP(I52,Bausteine!$A$2:$AY$76,4,FALSE))+IF(J52="",0,VLOOKUP(J52,Bausteine!$A$2:$AY$76,4,FALSE))+IF(K52="",0,VLOOKUP(K52,Bausteine!$A$2:$AY$76,4,FALSE))+IF(L52="",0,VLOOKUP(L52,Bausteine!$A$2:$AY$76,4,FALSE))+IF(AC52="",0,VLOOKUP(AC52,Bausteine!$A$2:$AY$76,4,FALSE))+IF(AF52="",0,VLOOKUP(AF52,Bausteine!$A$2:$AY$76,4,FALSE))+IF(AG52="",0,VLOOKUP(AG52,Bausteine!$A$2:$AY$76,4,FALSE))+IF(AH52="",0,VLOOKUP(AH52,Bausteine!$A$2:$AY$76,4,FALSE))+IF(AQ52="",0,VLOOKUP(AQ52,Bausteine!$A$2:$AY$76,4,FALSE))</f>
        <v/>
      </c>
      <c r="N52">
        <f>IF(C52="",0,VLOOKUP(C52,Bausteine!$A$2:$AY$76,5,FALSE))+IF(D52="",0,VLOOKUP(D52,Bausteine!$A$2:$AY$76,5,FALSE))+IF(E52="",0,VLOOKUP(E52,Bausteine!$A$2:$AY$76,5,FALSE))+IF(F52="",0,VLOOKUP(F52,Bausteine!$A$2:$AY$76,5,FALSE))+IF(G52="",0,VLOOKUP(G52,Bausteine!$A$2:$AY$76,5,FALSE))+IF(H52="",0,VLOOKUP(H52,Bausteine!$A$2:$AY$76,5,FALSE))+IF(I52="",0,VLOOKUP(I52,Bausteine!$A$2:$AY$76,5,FALSE))+IF(J52="",0,VLOOKUP(J52,Bausteine!$A$2:$AY$76,5,FALSE))+IF(K52="",0,VLOOKUP(K52,Bausteine!$A$2:$AY$76,5,FALSE))+IF(L52="",0,VLOOKUP(L52,Bausteine!$A$2:$AY$76,5,FALSE))+IF(AC52="",0,VLOOKUP(AC52,Bausteine!$A$2:$AY$76,5,FALSE))+IF(AF52="",0,VLOOKUP(AF52,Bausteine!$A$2:$AY$76,5,FALSE))+IF(AG52="",0,VLOOKUP(AG52,Bausteine!$A$2:$AY$76,5,FALSE))+IF(AH52="",0,VLOOKUP(AH52,Bausteine!$A$2:$AY$76,5,FALSE))+IF(AQ52="",0,VLOOKUP(AQ52,Bausteine!$A$2:$AY$76,5,FALSE))</f>
        <v/>
      </c>
      <c r="O52">
        <f>MAX(IF(C52="",0,VLOOKUP(C52,Bausteine!$A$2:$AY$76,6,FALSE)),IF(D52="",0,VLOOKUP(D52,Bausteine!$A$2:$AY$76,6,FALSE)),IF(E52="",0,VLOOKUP(E52,Bausteine!$A$2:$AY$76,6,FALSE)),IF(F52="",0,VLOOKUP(F52,Bausteine!$A$2:$AY$76,6,FALSE)),IF(G52="",0,VLOOKUP(G52,Bausteine!$A$2:$AY$76,6,FALSE)),IF(H52="",0,VLOOKUP(H52,Bausteine!$A$2:$AY$76,6,FALSE)),IF(I52="",0,VLOOKUP(I52,Bausteine!$A$2:$AY$76,6,FALSE)),IF(J52="",0,VLOOKUP(J52,Bausteine!$A$2:$AY$76,6,FALSE)),IF(K52="",0,VLOOKUP(K52,Bausteine!$A$2:$AY$76,6,FALSE)),IF(L52="",0,VLOOKUP(L52,Bausteine!$A$2:$AY$76,6,FALSE)),IF(AC52="",0,VLOOKUP(AC52,Bausteine!$A$2:$AY$76,6,FALSE)),IF(AF52="",0,VLOOKUP(AF52,Bausteine!$A$2:$AY$76,6,FALSE)),IF(AG52="",0,VLOOKUP(AG52,Bausteine!$A$2:$AY$76,6,FALSE)),IF(AH52="",0,VLOOKUP(AH52,Bausteine!$A$2:$AY$76,6,FALSE)),IF(AQ52="",0,VLOOKUP(AQ52,Bausteine!$A$2:$AY$76,6,FALSE)),AK52)</f>
        <v/>
      </c>
      <c r="P52">
        <f>IF(C52="",0,VLOOKUP(C52,Bausteine!$A$2:$AY$76,7,FALSE))*IF(F52="",0,VLOOKUP(F52,Bausteine!$A$2:$AY$76,17,FALSE))/100+IF(D52="",0,VLOOKUP(D52,Bausteine!$A$2:$AY$76,7,FALSE))+IF(E52="",0,VLOOKUP(E52,Bausteine!$A$2:$AY$76,7,FALSE))+IF(G52="",0,VLOOKUP(G52,Bausteine!$A$2:$AY$76,7,FALSE))+IF(H52="",0,VLOOKUP(H52,Bausteine!$A$2:$AY$76,7,FALSE))+IF(I52="",0,VLOOKUP(I52,Bausteine!$A$2:$AY$76,7,FALSE))+IF(J52="",0,VLOOKUP(J52,Bausteine!$A$2:$AY$76,7,FALSE))+IF(K52="",0,VLOOKUP(K52,Bausteine!$A$2:$AY$76,7,FALSE))+IF(L52="",0,VLOOKUP(L52,Bausteine!$A$2:$AY$76,7,FALSE))+IF(AC52="",0,VLOOKUP(AC52,Bausteine!$A$2:$AY$76,7,FALSE))+IF(AF52="",0,VLOOKUP(AF52,Bausteine!$A$2:$AY$76,7,FALSE))+IF(AG52="",0,VLOOKUP(AG52,Bausteine!$A$2:$AY$76,7,FALSE))+IF(AH52="",0,VLOOKUP(AH52,Bausteine!$A$2:$AY$76,7,FALSE))+IF(AQ52="",0,VLOOKUP(AQ52,Bausteine!$A$2:$AY$76,7,FALSE))+AI52</f>
        <v/>
      </c>
      <c r="Q52">
        <f>N52*Parameter!$B$2</f>
        <v/>
      </c>
      <c r="R52">
        <f>AE52-Q52</f>
        <v/>
      </c>
      <c r="S52">
        <f>IF(C52="",0,VLOOKUP(C52,Bausteine!$A$2:$AY$76,13,FALSE))*IF(F52="",0,VLOOKUP(F52,Bausteine!$A$2:$AY$76,16,FALSE))/100</f>
        <v/>
      </c>
      <c r="T52">
        <f>IF(C52="",0,VLOOKUP(C52,Bausteine!$A$2:$AY$76,8,FALSE))*IF(F52="",0,VLOOKUP(F52,Bausteine!$A$2:$AY$76,15,FALSE))/100+IF(D52="",0,VLOOKUP(D52,Bausteine!$A$2:$AY$76,8,FALSE))+IF(E52="",0,VLOOKUP(E52,Bausteine!$A$2:$AY$76,8,FALSE))+IF(G52="",0,VLOOKUP(G52,Bausteine!$A$2:$AY$76,8,FALSE))+IF(H52="",0,VLOOKUP(H52,Bausteine!$A$2:$AY$76,8,FALSE))+IF(I52="",0,VLOOKUP(I52,Bausteine!$A$2:$AY$76,8,FALSE))+IF(J52="",0,VLOOKUP(J52,Bausteine!$A$2:$AY$76,8,FALSE))+IF(K52="",0,VLOOKUP(K52,Bausteine!$A$2:$AY$76,8,FALSE))+IF(L52="",0,VLOOKUP(L52,Bausteine!$A$2:$AY$76,8,FALSE))+IF(AC52="",0,VLOOKUP(AC52,Bausteine!$A$2:$AY$76,8,FALSE))+IF(AF52="",0,VLOOKUP(AF52,Bausteine!$A$2:$AY$76,8,FALSE))+IF(AG52="",0,VLOOKUP(AG52,Bausteine!$A$2:$AY$76,8,FALSE))+IF(AH52="",0,VLOOKUP(AH52,Bausteine!$A$2:$AY$76,8,FALSE))+IF(AQ52="",0,VLOOKUP(AQ52,Bausteine!$A$2:$AY$76,8,FALSE))+AJ52</f>
        <v/>
      </c>
      <c r="U52">
        <f>IF(C52="",0,VLOOKUP(C52,Bausteine!$A$2:$AY$76,9,FALSE))+IF(D52="",0,VLOOKUP(D52,Bausteine!$A$2:$AY$76,9,FALSE))+IF(E52="",0,VLOOKUP(E52,Bausteine!$A$2:$AY$76,9,FALSE))+IF(F52="",0,VLOOKUP(F52,Bausteine!$A$2:$AY$76,9,FALSE))+IF(G52="",0,VLOOKUP(G52,Bausteine!$A$2:$AY$76,9,FALSE))+IF(H52="",0,VLOOKUP(H52,Bausteine!$A$2:$AY$76,9,FALSE))+IF(I52="",0,VLOOKUP(I52,Bausteine!$A$2:$AY$76,9,FALSE))+IF(J52="",0,VLOOKUP(J52,Bausteine!$A$2:$AY$76,9,FALSE))+IF(K52="",0,VLOOKUP(K52,Bausteine!$A$2:$AY$76,9,FALSE))+IF(L52="",0,VLOOKUP(L52,Bausteine!$A$2:$AY$76,9,FALSE))+IF(AC52="",0,VLOOKUP(AC52,Bausteine!$A$2:$AY$76,9,FALSE))+IF(AF52="",0,VLOOKUP(AF52,Bausteine!$A$2:$AY$76,9,FALSE))+IF(AG52="",0,VLOOKUP(AG52,Bausteine!$A$2:$AY$76,9,FALSE))+IF(AH52="",0,VLOOKUP(AH52,Bausteine!$A$2:$AY$76,9,FALSE))+IF(AQ52="",0,VLOOKUP(AQ52,Bausteine!$A$2:$AY$76,9,FALSE))</f>
        <v/>
      </c>
      <c r="V52">
        <f>IF(D52="",0,VLOOKUP(D52,Bausteine!$A$2:$AY$76,10,FALSE))-U52/IF(E52="",0,VLOOKUP(E52,Bausteine!$A$2:$AY$76,11,FALSE))</f>
        <v/>
      </c>
      <c r="W52">
        <f>IF(Y52&lt;&gt;"OK","",ROUND(MIN(IF(C52="",0,VLOOKUP(C52,Bausteine!$A$2:$AY$76,21,FALSE)),IF(AQ52="",0,VLOOKUP(AQ52,Bausteine!$A$2:$AY$76,21,FALSE)),IF(C52="",0,VLOOKUP(C52,Bausteine!$A$2:$AY$76,20,FALSE))*(V52/T52/(IF(C52="",0,VLOOKUP(C52,Bausteine!$A$2:$AY$76,19,FALSE))/IF(C52="",0,VLOOKUP(C52,Bausteine!$A$2:$AY$76,18,FALSE))))^Parameter!$B$3),0))</f>
        <v/>
      </c>
      <c r="X52">
        <f>IF(F52="",0,VLOOKUP(F52,Bausteine!$A$2:$AY$76,14,FALSE))</f>
        <v/>
      </c>
      <c r="Y52">
        <f>IFERROR(IF(OR(AD52&lt;=0,AD52&gt;1,R52&lt;=0,T52&lt;=0,V52&lt;=0,U52&gt;IF(E52="",0,VLOOKUP(E52,Bausteine!$A$2:$AY$76,12,FALSE)),T52&gt;MIN(IF(C52="",0,VLOOKUP(C52,Bausteine!$A$2:$AY$76,22,FALSE)),IF(AQ52="",0,VLOOKUP(AQ52,Bausteine!$A$2:$AY$76,22,FALSE))),IF(E52="",0,VLOOKUP(E52,Bausteine!$A$2:$AY$76,11,FALSE))&lt;=0,IF(E52="",0,VLOOKUP(E52,Bausteine!$A$2:$AY$76,11,FALSE))&gt;1),"UNGUELTIG","OK"),"FEHLER")</f>
        <v/>
      </c>
      <c r="Z52" t="n">
        <v>950</v>
      </c>
      <c r="AA52" t="n">
        <v>125</v>
      </c>
      <c r="AB52" t="inlineStr"/>
      <c r="AC52" t="inlineStr"/>
      <c r="AD52">
        <f>IF(AC52="",1,IF(AC52="",0,VLOOKUP(AC52,Bausteine!$A$2:$AY$76,37,FALSE))/100)</f>
        <v/>
      </c>
      <c r="AE52">
        <f>P52*AD52</f>
        <v/>
      </c>
      <c r="AF52" t="inlineStr"/>
      <c r="AG52" t="inlineStr"/>
      <c r="AH52" t="inlineStr"/>
      <c r="AI52">
        <f>SUMIF(Startbesatzung!$A$2:$A$7,A52,Startbesatzung!$D$2:$D$7)</f>
        <v/>
      </c>
      <c r="AJ52">
        <f>SUMIF(Startbesatzung!$A$2:$A$7,A52,Startbesatzung!$E$2:$E$7)</f>
        <v/>
      </c>
      <c r="AK52">
        <f>MAX(0,IF(Startbesatzung!A2=A52,Startbesatzung!G2,0),IF(Startbesatzung!A3=A52,Startbesatzung!G3,0),IF(Startbesatzung!A4=A52,Startbesatzung!G4,0),IF(Startbesatzung!A5=A52,Startbesatzung!G5,0),IF(Startbesatzung!A6=A52,Startbesatzung!G6,0),IF(Startbesatzung!A7=A52,Startbesatzung!G7,0))</f>
        <v/>
      </c>
      <c r="AL52">
        <f>IF(AF52="","",IF(IF(AH52="",0,VLOOKUP(AH52,Bausteine!$A$2:$AY$76,38,FALSE))&gt;0,IF(AH52="",0,VLOOKUP(AH52,Bausteine!$A$2:$AY$76,38,FALSE)),IF(AG52="",0,VLOOKUP(AG52,Bausteine!$A$2:$AY$76,28,FALSE))))</f>
        <v/>
      </c>
      <c r="AM52">
        <f>IF(AF52="","",IF(AG52="",0,VLOOKUP(AG52,Bausteine!$A$2:$AY$76,44,FALSE)))</f>
        <v/>
      </c>
      <c r="AN52">
        <f>IF(AF52="","",IF(AF52="",0,VLOOKUP(AF52,Bausteine!$A$2:$AY$76,27,FALSE)))</f>
        <v/>
      </c>
      <c r="AO52">
        <f>IF(AF52="","",IF(AF52="",0,VLOOKUP(AF52,Bausteine!$A$2:$AY$76,25,FALSE)))</f>
        <v/>
      </c>
      <c r="AP52">
        <f>IF(AF52="","",IF(AH52="",0,VLOOKUP(AH52,Bausteine!$A$2:$AY$76,29,FALSE)))</f>
        <v/>
      </c>
      <c r="AQ52" t="inlineStr">
        <is>
          <t>tracks-standard</t>
        </is>
      </c>
      <c r="AR52">
        <f>IF(AQ52="",0,VLOOKUP(AQ52,Bausteine!$A$2:$AY$76,48,FALSE))</f>
        <v/>
      </c>
      <c r="AS52">
        <f>MIN(IF(AQ52="",0,VLOOKUP(AQ52,Bausteine!$A$2:$AY$76,50,FALSE)),IF(C52="",0,VLOOKUP(C52,Bausteine!$A$2:$AY$76,51,FALSE)))</f>
        <v/>
      </c>
    </row>
    <row r="53">
      <c r="A53" t="inlineStr">
        <is>
          <t>Battlemaster PDL / baseline generator</t>
        </is>
      </c>
      <c r="B53" t="inlineStr">
        <is>
          <t>china</t>
        </is>
      </c>
      <c r="C53" t="inlineStr">
        <is>
          <t>battlemaster</t>
        </is>
      </c>
      <c r="D53" t="inlineStr">
        <is>
          <t>diesel</t>
        </is>
      </c>
      <c r="E53" t="inlineStr">
        <is>
          <t>baseline-generator</t>
        </is>
      </c>
      <c r="F53" t="inlineStr">
        <is>
          <t>heavy</t>
        </is>
      </c>
      <c r="G53" t="inlineStr">
        <is>
          <t>cannon-turret</t>
        </is>
      </c>
      <c r="H53" t="inlineStr">
        <is>
          <t>cannon</t>
        </is>
      </c>
      <c r="I53" t="inlineStr">
        <is>
          <t>shell</t>
        </is>
      </c>
      <c r="J53" t="inlineStr">
        <is>
          <t>pdl</t>
        </is>
      </c>
      <c r="K53" t="inlineStr"/>
      <c r="L53" t="inlineStr"/>
      <c r="M53">
        <f>IF(C53="",0,VLOOKUP(C53,Bausteine!$A$2:$AY$76,4,FALSE))+IF(D53="",0,VLOOKUP(D53,Bausteine!$A$2:$AY$76,4,FALSE))+IF(E53="",0,VLOOKUP(E53,Bausteine!$A$2:$AY$76,4,FALSE))+IF(F53="",0,VLOOKUP(F53,Bausteine!$A$2:$AY$76,4,FALSE))+IF(G53="",0,VLOOKUP(G53,Bausteine!$A$2:$AY$76,4,FALSE))+IF(H53="",0,VLOOKUP(H53,Bausteine!$A$2:$AY$76,4,FALSE))+IF(I53="",0,VLOOKUP(I53,Bausteine!$A$2:$AY$76,4,FALSE))+IF(J53="",0,VLOOKUP(J53,Bausteine!$A$2:$AY$76,4,FALSE))+IF(K53="",0,VLOOKUP(K53,Bausteine!$A$2:$AY$76,4,FALSE))+IF(L53="",0,VLOOKUP(L53,Bausteine!$A$2:$AY$76,4,FALSE))+IF(AC53="",0,VLOOKUP(AC53,Bausteine!$A$2:$AY$76,4,FALSE))+IF(AF53="",0,VLOOKUP(AF53,Bausteine!$A$2:$AY$76,4,FALSE))+IF(AG53="",0,VLOOKUP(AG53,Bausteine!$A$2:$AY$76,4,FALSE))+IF(AH53="",0,VLOOKUP(AH53,Bausteine!$A$2:$AY$76,4,FALSE))+IF(AQ53="",0,VLOOKUP(AQ53,Bausteine!$A$2:$AY$76,4,FALSE))</f>
        <v/>
      </c>
      <c r="N53">
        <f>IF(C53="",0,VLOOKUP(C53,Bausteine!$A$2:$AY$76,5,FALSE))+IF(D53="",0,VLOOKUP(D53,Bausteine!$A$2:$AY$76,5,FALSE))+IF(E53="",0,VLOOKUP(E53,Bausteine!$A$2:$AY$76,5,FALSE))+IF(F53="",0,VLOOKUP(F53,Bausteine!$A$2:$AY$76,5,FALSE))+IF(G53="",0,VLOOKUP(G53,Bausteine!$A$2:$AY$76,5,FALSE))+IF(H53="",0,VLOOKUP(H53,Bausteine!$A$2:$AY$76,5,FALSE))+IF(I53="",0,VLOOKUP(I53,Bausteine!$A$2:$AY$76,5,FALSE))+IF(J53="",0,VLOOKUP(J53,Bausteine!$A$2:$AY$76,5,FALSE))+IF(K53="",0,VLOOKUP(K53,Bausteine!$A$2:$AY$76,5,FALSE))+IF(L53="",0,VLOOKUP(L53,Bausteine!$A$2:$AY$76,5,FALSE))+IF(AC53="",0,VLOOKUP(AC53,Bausteine!$A$2:$AY$76,5,FALSE))+IF(AF53="",0,VLOOKUP(AF53,Bausteine!$A$2:$AY$76,5,FALSE))+IF(AG53="",0,VLOOKUP(AG53,Bausteine!$A$2:$AY$76,5,FALSE))+IF(AH53="",0,VLOOKUP(AH53,Bausteine!$A$2:$AY$76,5,FALSE))+IF(AQ53="",0,VLOOKUP(AQ53,Bausteine!$A$2:$AY$76,5,FALSE))</f>
        <v/>
      </c>
      <c r="O53">
        <f>MAX(IF(C53="",0,VLOOKUP(C53,Bausteine!$A$2:$AY$76,6,FALSE)),IF(D53="",0,VLOOKUP(D53,Bausteine!$A$2:$AY$76,6,FALSE)),IF(E53="",0,VLOOKUP(E53,Bausteine!$A$2:$AY$76,6,FALSE)),IF(F53="",0,VLOOKUP(F53,Bausteine!$A$2:$AY$76,6,FALSE)),IF(G53="",0,VLOOKUP(G53,Bausteine!$A$2:$AY$76,6,FALSE)),IF(H53="",0,VLOOKUP(H53,Bausteine!$A$2:$AY$76,6,FALSE)),IF(I53="",0,VLOOKUP(I53,Bausteine!$A$2:$AY$76,6,FALSE)),IF(J53="",0,VLOOKUP(J53,Bausteine!$A$2:$AY$76,6,FALSE)),IF(K53="",0,VLOOKUP(K53,Bausteine!$A$2:$AY$76,6,FALSE)),IF(L53="",0,VLOOKUP(L53,Bausteine!$A$2:$AY$76,6,FALSE)),IF(AC53="",0,VLOOKUP(AC53,Bausteine!$A$2:$AY$76,6,FALSE)),IF(AF53="",0,VLOOKUP(AF53,Bausteine!$A$2:$AY$76,6,FALSE)),IF(AG53="",0,VLOOKUP(AG53,Bausteine!$A$2:$AY$76,6,FALSE)),IF(AH53="",0,VLOOKUP(AH53,Bausteine!$A$2:$AY$76,6,FALSE)),IF(AQ53="",0,VLOOKUP(AQ53,Bausteine!$A$2:$AY$76,6,FALSE)),AK53)</f>
        <v/>
      </c>
      <c r="P53">
        <f>IF(C53="",0,VLOOKUP(C53,Bausteine!$A$2:$AY$76,7,FALSE))*IF(F53="",0,VLOOKUP(F53,Bausteine!$A$2:$AY$76,17,FALSE))/100+IF(D53="",0,VLOOKUP(D53,Bausteine!$A$2:$AY$76,7,FALSE))+IF(E53="",0,VLOOKUP(E53,Bausteine!$A$2:$AY$76,7,FALSE))+IF(G53="",0,VLOOKUP(G53,Bausteine!$A$2:$AY$76,7,FALSE))+IF(H53="",0,VLOOKUP(H53,Bausteine!$A$2:$AY$76,7,FALSE))+IF(I53="",0,VLOOKUP(I53,Bausteine!$A$2:$AY$76,7,FALSE))+IF(J53="",0,VLOOKUP(J53,Bausteine!$A$2:$AY$76,7,FALSE))+IF(K53="",0,VLOOKUP(K53,Bausteine!$A$2:$AY$76,7,FALSE))+IF(L53="",0,VLOOKUP(L53,Bausteine!$A$2:$AY$76,7,FALSE))+IF(AC53="",0,VLOOKUP(AC53,Bausteine!$A$2:$AY$76,7,FALSE))+IF(AF53="",0,VLOOKUP(AF53,Bausteine!$A$2:$AY$76,7,FALSE))+IF(AG53="",0,VLOOKUP(AG53,Bausteine!$A$2:$AY$76,7,FALSE))+IF(AH53="",0,VLOOKUP(AH53,Bausteine!$A$2:$AY$76,7,FALSE))+IF(AQ53="",0,VLOOKUP(AQ53,Bausteine!$A$2:$AY$76,7,FALSE))+AI53</f>
        <v/>
      </c>
      <c r="Q53">
        <f>N53*Parameter!$B$2</f>
        <v/>
      </c>
      <c r="R53">
        <f>AE53-Q53</f>
        <v/>
      </c>
      <c r="S53">
        <f>IF(C53="",0,VLOOKUP(C53,Bausteine!$A$2:$AY$76,13,FALSE))*IF(F53="",0,VLOOKUP(F53,Bausteine!$A$2:$AY$76,16,FALSE))/100</f>
        <v/>
      </c>
      <c r="T53">
        <f>IF(C53="",0,VLOOKUP(C53,Bausteine!$A$2:$AY$76,8,FALSE))*IF(F53="",0,VLOOKUP(F53,Bausteine!$A$2:$AY$76,15,FALSE))/100+IF(D53="",0,VLOOKUP(D53,Bausteine!$A$2:$AY$76,8,FALSE))+IF(E53="",0,VLOOKUP(E53,Bausteine!$A$2:$AY$76,8,FALSE))+IF(G53="",0,VLOOKUP(G53,Bausteine!$A$2:$AY$76,8,FALSE))+IF(H53="",0,VLOOKUP(H53,Bausteine!$A$2:$AY$76,8,FALSE))+IF(I53="",0,VLOOKUP(I53,Bausteine!$A$2:$AY$76,8,FALSE))+IF(J53="",0,VLOOKUP(J53,Bausteine!$A$2:$AY$76,8,FALSE))+IF(K53="",0,VLOOKUP(K53,Bausteine!$A$2:$AY$76,8,FALSE))+IF(L53="",0,VLOOKUP(L53,Bausteine!$A$2:$AY$76,8,FALSE))+IF(AC53="",0,VLOOKUP(AC53,Bausteine!$A$2:$AY$76,8,FALSE))+IF(AF53="",0,VLOOKUP(AF53,Bausteine!$A$2:$AY$76,8,FALSE))+IF(AG53="",0,VLOOKUP(AG53,Bausteine!$A$2:$AY$76,8,FALSE))+IF(AH53="",0,VLOOKUP(AH53,Bausteine!$A$2:$AY$76,8,FALSE))+IF(AQ53="",0,VLOOKUP(AQ53,Bausteine!$A$2:$AY$76,8,FALSE))+AJ53</f>
        <v/>
      </c>
      <c r="U53">
        <f>IF(C53="",0,VLOOKUP(C53,Bausteine!$A$2:$AY$76,9,FALSE))+IF(D53="",0,VLOOKUP(D53,Bausteine!$A$2:$AY$76,9,FALSE))+IF(E53="",0,VLOOKUP(E53,Bausteine!$A$2:$AY$76,9,FALSE))+IF(F53="",0,VLOOKUP(F53,Bausteine!$A$2:$AY$76,9,FALSE))+IF(G53="",0,VLOOKUP(G53,Bausteine!$A$2:$AY$76,9,FALSE))+IF(H53="",0,VLOOKUP(H53,Bausteine!$A$2:$AY$76,9,FALSE))+IF(I53="",0,VLOOKUP(I53,Bausteine!$A$2:$AY$76,9,FALSE))+IF(J53="",0,VLOOKUP(J53,Bausteine!$A$2:$AY$76,9,FALSE))+IF(K53="",0,VLOOKUP(K53,Bausteine!$A$2:$AY$76,9,FALSE))+IF(L53="",0,VLOOKUP(L53,Bausteine!$A$2:$AY$76,9,FALSE))+IF(AC53="",0,VLOOKUP(AC53,Bausteine!$A$2:$AY$76,9,FALSE))+IF(AF53="",0,VLOOKUP(AF53,Bausteine!$A$2:$AY$76,9,FALSE))+IF(AG53="",0,VLOOKUP(AG53,Bausteine!$A$2:$AY$76,9,FALSE))+IF(AH53="",0,VLOOKUP(AH53,Bausteine!$A$2:$AY$76,9,FALSE))+IF(AQ53="",0,VLOOKUP(AQ53,Bausteine!$A$2:$AY$76,9,FALSE))</f>
        <v/>
      </c>
      <c r="V53">
        <f>IF(D53="",0,VLOOKUP(D53,Bausteine!$A$2:$AY$76,10,FALSE))-U53/IF(E53="",0,VLOOKUP(E53,Bausteine!$A$2:$AY$76,11,FALSE))</f>
        <v/>
      </c>
      <c r="W53">
        <f>IF(Y53&lt;&gt;"OK","",ROUND(MIN(IF(C53="",0,VLOOKUP(C53,Bausteine!$A$2:$AY$76,21,FALSE)),IF(AQ53="",0,VLOOKUP(AQ53,Bausteine!$A$2:$AY$76,21,FALSE)),IF(C53="",0,VLOOKUP(C53,Bausteine!$A$2:$AY$76,20,FALSE))*(V53/T53/(IF(C53="",0,VLOOKUP(C53,Bausteine!$A$2:$AY$76,19,FALSE))/IF(C53="",0,VLOOKUP(C53,Bausteine!$A$2:$AY$76,18,FALSE))))^Parameter!$B$3),0))</f>
        <v/>
      </c>
      <c r="X53">
        <f>IF(F53="",0,VLOOKUP(F53,Bausteine!$A$2:$AY$76,14,FALSE))</f>
        <v/>
      </c>
      <c r="Y53">
        <f>IFERROR(IF(OR(AD53&lt;=0,AD53&gt;1,R53&lt;=0,T53&lt;=0,V53&lt;=0,U53&gt;IF(E53="",0,VLOOKUP(E53,Bausteine!$A$2:$AY$76,12,FALSE)),T53&gt;MIN(IF(C53="",0,VLOOKUP(C53,Bausteine!$A$2:$AY$76,22,FALSE)),IF(AQ53="",0,VLOOKUP(AQ53,Bausteine!$A$2:$AY$76,22,FALSE))),IF(E53="",0,VLOOKUP(E53,Bausteine!$A$2:$AY$76,11,FALSE))&lt;=0,IF(E53="",0,VLOOKUP(E53,Bausteine!$A$2:$AY$76,11,FALSE))&gt;1),"UNGUELTIG","OK"),"FEHLER")</f>
        <v/>
      </c>
      <c r="Z53" t="n">
        <v>1300</v>
      </c>
      <c r="AA53" t="n">
        <v>76</v>
      </c>
      <c r="AB53" t="inlineStr"/>
      <c r="AC53" t="inlineStr"/>
      <c r="AD53">
        <f>IF(AC53="",1,IF(AC53="",0,VLOOKUP(AC53,Bausteine!$A$2:$AY$76,37,FALSE))/100)</f>
        <v/>
      </c>
      <c r="AE53">
        <f>P53*AD53</f>
        <v/>
      </c>
      <c r="AF53" t="inlineStr"/>
      <c r="AG53" t="inlineStr"/>
      <c r="AH53" t="inlineStr"/>
      <c r="AI53">
        <f>SUMIF(Startbesatzung!$A$2:$A$7,A53,Startbesatzung!$D$2:$D$7)</f>
        <v/>
      </c>
      <c r="AJ53">
        <f>SUMIF(Startbesatzung!$A$2:$A$7,A53,Startbesatzung!$E$2:$E$7)</f>
        <v/>
      </c>
      <c r="AK53">
        <f>MAX(0,IF(Startbesatzung!A2=A53,Startbesatzung!G2,0),IF(Startbesatzung!A3=A53,Startbesatzung!G3,0),IF(Startbesatzung!A4=A53,Startbesatzung!G4,0),IF(Startbesatzung!A5=A53,Startbesatzung!G5,0),IF(Startbesatzung!A6=A53,Startbesatzung!G6,0),IF(Startbesatzung!A7=A53,Startbesatzung!G7,0))</f>
        <v/>
      </c>
      <c r="AL53">
        <f>IF(AF53="","",IF(IF(AH53="",0,VLOOKUP(AH53,Bausteine!$A$2:$AY$76,38,FALSE))&gt;0,IF(AH53="",0,VLOOKUP(AH53,Bausteine!$A$2:$AY$76,38,FALSE)),IF(AG53="",0,VLOOKUP(AG53,Bausteine!$A$2:$AY$76,28,FALSE))))</f>
        <v/>
      </c>
      <c r="AM53">
        <f>IF(AF53="","",IF(AG53="",0,VLOOKUP(AG53,Bausteine!$A$2:$AY$76,44,FALSE)))</f>
        <v/>
      </c>
      <c r="AN53">
        <f>IF(AF53="","",IF(AF53="",0,VLOOKUP(AF53,Bausteine!$A$2:$AY$76,27,FALSE)))</f>
        <v/>
      </c>
      <c r="AO53">
        <f>IF(AF53="","",IF(AF53="",0,VLOOKUP(AF53,Bausteine!$A$2:$AY$76,25,FALSE)))</f>
        <v/>
      </c>
      <c r="AP53">
        <f>IF(AF53="","",IF(AH53="",0,VLOOKUP(AH53,Bausteine!$A$2:$AY$76,29,FALSE)))</f>
        <v/>
      </c>
      <c r="AQ53" t="inlineStr">
        <is>
          <t>tracks-standard</t>
        </is>
      </c>
      <c r="AR53">
        <f>IF(AQ53="",0,VLOOKUP(AQ53,Bausteine!$A$2:$AY$76,48,FALSE))</f>
        <v/>
      </c>
      <c r="AS53">
        <f>MIN(IF(AQ53="",0,VLOOKUP(AQ53,Bausteine!$A$2:$AY$76,50,FALSE)),IF(C53="",0,VLOOKUP(C53,Bausteine!$A$2:$AY$76,51,FALSE)))</f>
        <v/>
      </c>
    </row>
    <row r="54">
      <c r="A54" t="inlineStr">
        <is>
          <t>Battlemaster PDL / efficient generator</t>
        </is>
      </c>
      <c r="B54" t="inlineStr">
        <is>
          <t>china</t>
        </is>
      </c>
      <c r="C54" t="inlineStr">
        <is>
          <t>battlemaster</t>
        </is>
      </c>
      <c r="D54" t="inlineStr">
        <is>
          <t>diesel</t>
        </is>
      </c>
      <c r="E54" t="inlineStr">
        <is>
          <t>efficient-generator</t>
        </is>
      </c>
      <c r="F54" t="inlineStr">
        <is>
          <t>heavy</t>
        </is>
      </c>
      <c r="G54" t="inlineStr">
        <is>
          <t>cannon-turret</t>
        </is>
      </c>
      <c r="H54" t="inlineStr">
        <is>
          <t>cannon</t>
        </is>
      </c>
      <c r="I54" t="inlineStr">
        <is>
          <t>shell</t>
        </is>
      </c>
      <c r="J54" t="inlineStr">
        <is>
          <t>pdl</t>
        </is>
      </c>
      <c r="K54" t="inlineStr"/>
      <c r="L54" t="inlineStr"/>
      <c r="M54">
        <f>IF(C54="",0,VLOOKUP(C54,Bausteine!$A$2:$AY$76,4,FALSE))+IF(D54="",0,VLOOKUP(D54,Bausteine!$A$2:$AY$76,4,FALSE))+IF(E54="",0,VLOOKUP(E54,Bausteine!$A$2:$AY$76,4,FALSE))+IF(F54="",0,VLOOKUP(F54,Bausteine!$A$2:$AY$76,4,FALSE))+IF(G54="",0,VLOOKUP(G54,Bausteine!$A$2:$AY$76,4,FALSE))+IF(H54="",0,VLOOKUP(H54,Bausteine!$A$2:$AY$76,4,FALSE))+IF(I54="",0,VLOOKUP(I54,Bausteine!$A$2:$AY$76,4,FALSE))+IF(J54="",0,VLOOKUP(J54,Bausteine!$A$2:$AY$76,4,FALSE))+IF(K54="",0,VLOOKUP(K54,Bausteine!$A$2:$AY$76,4,FALSE))+IF(L54="",0,VLOOKUP(L54,Bausteine!$A$2:$AY$76,4,FALSE))+IF(AC54="",0,VLOOKUP(AC54,Bausteine!$A$2:$AY$76,4,FALSE))+IF(AF54="",0,VLOOKUP(AF54,Bausteine!$A$2:$AY$76,4,FALSE))+IF(AG54="",0,VLOOKUP(AG54,Bausteine!$A$2:$AY$76,4,FALSE))+IF(AH54="",0,VLOOKUP(AH54,Bausteine!$A$2:$AY$76,4,FALSE))+IF(AQ54="",0,VLOOKUP(AQ54,Bausteine!$A$2:$AY$76,4,FALSE))</f>
        <v/>
      </c>
      <c r="N54">
        <f>IF(C54="",0,VLOOKUP(C54,Bausteine!$A$2:$AY$76,5,FALSE))+IF(D54="",0,VLOOKUP(D54,Bausteine!$A$2:$AY$76,5,FALSE))+IF(E54="",0,VLOOKUP(E54,Bausteine!$A$2:$AY$76,5,FALSE))+IF(F54="",0,VLOOKUP(F54,Bausteine!$A$2:$AY$76,5,FALSE))+IF(G54="",0,VLOOKUP(G54,Bausteine!$A$2:$AY$76,5,FALSE))+IF(H54="",0,VLOOKUP(H54,Bausteine!$A$2:$AY$76,5,FALSE))+IF(I54="",0,VLOOKUP(I54,Bausteine!$A$2:$AY$76,5,FALSE))+IF(J54="",0,VLOOKUP(J54,Bausteine!$A$2:$AY$76,5,FALSE))+IF(K54="",0,VLOOKUP(K54,Bausteine!$A$2:$AY$76,5,FALSE))+IF(L54="",0,VLOOKUP(L54,Bausteine!$A$2:$AY$76,5,FALSE))+IF(AC54="",0,VLOOKUP(AC54,Bausteine!$A$2:$AY$76,5,FALSE))+IF(AF54="",0,VLOOKUP(AF54,Bausteine!$A$2:$AY$76,5,FALSE))+IF(AG54="",0,VLOOKUP(AG54,Bausteine!$A$2:$AY$76,5,FALSE))+IF(AH54="",0,VLOOKUP(AH54,Bausteine!$A$2:$AY$76,5,FALSE))+IF(AQ54="",0,VLOOKUP(AQ54,Bausteine!$A$2:$AY$76,5,FALSE))</f>
        <v/>
      </c>
      <c r="O54">
        <f>MAX(IF(C54="",0,VLOOKUP(C54,Bausteine!$A$2:$AY$76,6,FALSE)),IF(D54="",0,VLOOKUP(D54,Bausteine!$A$2:$AY$76,6,FALSE)),IF(E54="",0,VLOOKUP(E54,Bausteine!$A$2:$AY$76,6,FALSE)),IF(F54="",0,VLOOKUP(F54,Bausteine!$A$2:$AY$76,6,FALSE)),IF(G54="",0,VLOOKUP(G54,Bausteine!$A$2:$AY$76,6,FALSE)),IF(H54="",0,VLOOKUP(H54,Bausteine!$A$2:$AY$76,6,FALSE)),IF(I54="",0,VLOOKUP(I54,Bausteine!$A$2:$AY$76,6,FALSE)),IF(J54="",0,VLOOKUP(J54,Bausteine!$A$2:$AY$76,6,FALSE)),IF(K54="",0,VLOOKUP(K54,Bausteine!$A$2:$AY$76,6,FALSE)),IF(L54="",0,VLOOKUP(L54,Bausteine!$A$2:$AY$76,6,FALSE)),IF(AC54="",0,VLOOKUP(AC54,Bausteine!$A$2:$AY$76,6,FALSE)),IF(AF54="",0,VLOOKUP(AF54,Bausteine!$A$2:$AY$76,6,FALSE)),IF(AG54="",0,VLOOKUP(AG54,Bausteine!$A$2:$AY$76,6,FALSE)),IF(AH54="",0,VLOOKUP(AH54,Bausteine!$A$2:$AY$76,6,FALSE)),IF(AQ54="",0,VLOOKUP(AQ54,Bausteine!$A$2:$AY$76,6,FALSE)),AK54)</f>
        <v/>
      </c>
      <c r="P54">
        <f>IF(C54="",0,VLOOKUP(C54,Bausteine!$A$2:$AY$76,7,FALSE))*IF(F54="",0,VLOOKUP(F54,Bausteine!$A$2:$AY$76,17,FALSE))/100+IF(D54="",0,VLOOKUP(D54,Bausteine!$A$2:$AY$76,7,FALSE))+IF(E54="",0,VLOOKUP(E54,Bausteine!$A$2:$AY$76,7,FALSE))+IF(G54="",0,VLOOKUP(G54,Bausteine!$A$2:$AY$76,7,FALSE))+IF(H54="",0,VLOOKUP(H54,Bausteine!$A$2:$AY$76,7,FALSE))+IF(I54="",0,VLOOKUP(I54,Bausteine!$A$2:$AY$76,7,FALSE))+IF(J54="",0,VLOOKUP(J54,Bausteine!$A$2:$AY$76,7,FALSE))+IF(K54="",0,VLOOKUP(K54,Bausteine!$A$2:$AY$76,7,FALSE))+IF(L54="",0,VLOOKUP(L54,Bausteine!$A$2:$AY$76,7,FALSE))+IF(AC54="",0,VLOOKUP(AC54,Bausteine!$A$2:$AY$76,7,FALSE))+IF(AF54="",0,VLOOKUP(AF54,Bausteine!$A$2:$AY$76,7,FALSE))+IF(AG54="",0,VLOOKUP(AG54,Bausteine!$A$2:$AY$76,7,FALSE))+IF(AH54="",0,VLOOKUP(AH54,Bausteine!$A$2:$AY$76,7,FALSE))+IF(AQ54="",0,VLOOKUP(AQ54,Bausteine!$A$2:$AY$76,7,FALSE))+AI54</f>
        <v/>
      </c>
      <c r="Q54">
        <f>N54*Parameter!$B$2</f>
        <v/>
      </c>
      <c r="R54">
        <f>AE54-Q54</f>
        <v/>
      </c>
      <c r="S54">
        <f>IF(C54="",0,VLOOKUP(C54,Bausteine!$A$2:$AY$76,13,FALSE))*IF(F54="",0,VLOOKUP(F54,Bausteine!$A$2:$AY$76,16,FALSE))/100</f>
        <v/>
      </c>
      <c r="T54">
        <f>IF(C54="",0,VLOOKUP(C54,Bausteine!$A$2:$AY$76,8,FALSE))*IF(F54="",0,VLOOKUP(F54,Bausteine!$A$2:$AY$76,15,FALSE))/100+IF(D54="",0,VLOOKUP(D54,Bausteine!$A$2:$AY$76,8,FALSE))+IF(E54="",0,VLOOKUP(E54,Bausteine!$A$2:$AY$76,8,FALSE))+IF(G54="",0,VLOOKUP(G54,Bausteine!$A$2:$AY$76,8,FALSE))+IF(H54="",0,VLOOKUP(H54,Bausteine!$A$2:$AY$76,8,FALSE))+IF(I54="",0,VLOOKUP(I54,Bausteine!$A$2:$AY$76,8,FALSE))+IF(J54="",0,VLOOKUP(J54,Bausteine!$A$2:$AY$76,8,FALSE))+IF(K54="",0,VLOOKUP(K54,Bausteine!$A$2:$AY$76,8,FALSE))+IF(L54="",0,VLOOKUP(L54,Bausteine!$A$2:$AY$76,8,FALSE))+IF(AC54="",0,VLOOKUP(AC54,Bausteine!$A$2:$AY$76,8,FALSE))+IF(AF54="",0,VLOOKUP(AF54,Bausteine!$A$2:$AY$76,8,FALSE))+IF(AG54="",0,VLOOKUP(AG54,Bausteine!$A$2:$AY$76,8,FALSE))+IF(AH54="",0,VLOOKUP(AH54,Bausteine!$A$2:$AY$76,8,FALSE))+IF(AQ54="",0,VLOOKUP(AQ54,Bausteine!$A$2:$AY$76,8,FALSE))+AJ54</f>
        <v/>
      </c>
      <c r="U54">
        <f>IF(C54="",0,VLOOKUP(C54,Bausteine!$A$2:$AY$76,9,FALSE))+IF(D54="",0,VLOOKUP(D54,Bausteine!$A$2:$AY$76,9,FALSE))+IF(E54="",0,VLOOKUP(E54,Bausteine!$A$2:$AY$76,9,FALSE))+IF(F54="",0,VLOOKUP(F54,Bausteine!$A$2:$AY$76,9,FALSE))+IF(G54="",0,VLOOKUP(G54,Bausteine!$A$2:$AY$76,9,FALSE))+IF(H54="",0,VLOOKUP(H54,Bausteine!$A$2:$AY$76,9,FALSE))+IF(I54="",0,VLOOKUP(I54,Bausteine!$A$2:$AY$76,9,FALSE))+IF(J54="",0,VLOOKUP(J54,Bausteine!$A$2:$AY$76,9,FALSE))+IF(K54="",0,VLOOKUP(K54,Bausteine!$A$2:$AY$76,9,FALSE))+IF(L54="",0,VLOOKUP(L54,Bausteine!$A$2:$AY$76,9,FALSE))+IF(AC54="",0,VLOOKUP(AC54,Bausteine!$A$2:$AY$76,9,FALSE))+IF(AF54="",0,VLOOKUP(AF54,Bausteine!$A$2:$AY$76,9,FALSE))+IF(AG54="",0,VLOOKUP(AG54,Bausteine!$A$2:$AY$76,9,FALSE))+IF(AH54="",0,VLOOKUP(AH54,Bausteine!$A$2:$AY$76,9,FALSE))+IF(AQ54="",0,VLOOKUP(AQ54,Bausteine!$A$2:$AY$76,9,FALSE))</f>
        <v/>
      </c>
      <c r="V54">
        <f>IF(D54="",0,VLOOKUP(D54,Bausteine!$A$2:$AY$76,10,FALSE))-U54/IF(E54="",0,VLOOKUP(E54,Bausteine!$A$2:$AY$76,11,FALSE))</f>
        <v/>
      </c>
      <c r="W54">
        <f>IF(Y54&lt;&gt;"OK","",ROUND(MIN(IF(C54="",0,VLOOKUP(C54,Bausteine!$A$2:$AY$76,21,FALSE)),IF(AQ54="",0,VLOOKUP(AQ54,Bausteine!$A$2:$AY$76,21,FALSE)),IF(C54="",0,VLOOKUP(C54,Bausteine!$A$2:$AY$76,20,FALSE))*(V54/T54/(IF(C54="",0,VLOOKUP(C54,Bausteine!$A$2:$AY$76,19,FALSE))/IF(C54="",0,VLOOKUP(C54,Bausteine!$A$2:$AY$76,18,FALSE))))^Parameter!$B$3),0))</f>
        <v/>
      </c>
      <c r="X54">
        <f>IF(F54="",0,VLOOKUP(F54,Bausteine!$A$2:$AY$76,14,FALSE))</f>
        <v/>
      </c>
      <c r="Y54">
        <f>IFERROR(IF(OR(AD54&lt;=0,AD54&gt;1,R54&lt;=0,T54&lt;=0,V54&lt;=0,U54&gt;IF(E54="",0,VLOOKUP(E54,Bausteine!$A$2:$AY$76,12,FALSE)),T54&gt;MIN(IF(C54="",0,VLOOKUP(C54,Bausteine!$A$2:$AY$76,22,FALSE)),IF(AQ54="",0,VLOOKUP(AQ54,Bausteine!$A$2:$AY$76,22,FALSE))),IF(E54="",0,VLOOKUP(E54,Bausteine!$A$2:$AY$76,11,FALSE))&lt;=0,IF(E54="",0,VLOOKUP(E54,Bausteine!$A$2:$AY$76,11,FALSE))&gt;1),"UNGUELTIG","OK"),"FEHLER")</f>
        <v/>
      </c>
      <c r="Z54" t="n">
        <v>1500</v>
      </c>
      <c r="AA54" t="n">
        <v>95</v>
      </c>
      <c r="AB54" t="inlineStr"/>
      <c r="AC54" t="inlineStr"/>
      <c r="AD54">
        <f>IF(AC54="",1,IF(AC54="",0,VLOOKUP(AC54,Bausteine!$A$2:$AY$76,37,FALSE))/100)</f>
        <v/>
      </c>
      <c r="AE54">
        <f>P54*AD54</f>
        <v/>
      </c>
      <c r="AF54" t="inlineStr"/>
      <c r="AG54" t="inlineStr"/>
      <c r="AH54" t="inlineStr"/>
      <c r="AI54">
        <f>SUMIF(Startbesatzung!$A$2:$A$7,A54,Startbesatzung!$D$2:$D$7)</f>
        <v/>
      </c>
      <c r="AJ54">
        <f>SUMIF(Startbesatzung!$A$2:$A$7,A54,Startbesatzung!$E$2:$E$7)</f>
        <v/>
      </c>
      <c r="AK54">
        <f>MAX(0,IF(Startbesatzung!A2=A54,Startbesatzung!G2,0),IF(Startbesatzung!A3=A54,Startbesatzung!G3,0),IF(Startbesatzung!A4=A54,Startbesatzung!G4,0),IF(Startbesatzung!A5=A54,Startbesatzung!G5,0),IF(Startbesatzung!A6=A54,Startbesatzung!G6,0),IF(Startbesatzung!A7=A54,Startbesatzung!G7,0))</f>
        <v/>
      </c>
      <c r="AL54">
        <f>IF(AF54="","",IF(IF(AH54="",0,VLOOKUP(AH54,Bausteine!$A$2:$AY$76,38,FALSE))&gt;0,IF(AH54="",0,VLOOKUP(AH54,Bausteine!$A$2:$AY$76,38,FALSE)),IF(AG54="",0,VLOOKUP(AG54,Bausteine!$A$2:$AY$76,28,FALSE))))</f>
        <v/>
      </c>
      <c r="AM54">
        <f>IF(AF54="","",IF(AG54="",0,VLOOKUP(AG54,Bausteine!$A$2:$AY$76,44,FALSE)))</f>
        <v/>
      </c>
      <c r="AN54">
        <f>IF(AF54="","",IF(AF54="",0,VLOOKUP(AF54,Bausteine!$A$2:$AY$76,27,FALSE)))</f>
        <v/>
      </c>
      <c r="AO54">
        <f>IF(AF54="","",IF(AF54="",0,VLOOKUP(AF54,Bausteine!$A$2:$AY$76,25,FALSE)))</f>
        <v/>
      </c>
      <c r="AP54">
        <f>IF(AF54="","",IF(AH54="",0,VLOOKUP(AH54,Bausteine!$A$2:$AY$76,29,FALSE)))</f>
        <v/>
      </c>
      <c r="AQ54" t="inlineStr">
        <is>
          <t>tracks-standard</t>
        </is>
      </c>
      <c r="AR54">
        <f>IF(AQ54="",0,VLOOKUP(AQ54,Bausteine!$A$2:$AY$76,48,FALSE))</f>
        <v/>
      </c>
      <c r="AS54">
        <f>MIN(IF(AQ54="",0,VLOOKUP(AQ54,Bausteine!$A$2:$AY$76,50,FALSE)),IF(C54="",0,VLOOKUP(C54,Bausteine!$A$2:$AY$76,51,FALSE)))</f>
        <v/>
      </c>
    </row>
    <row r="55">
      <c r="A55" t="inlineStr">
        <is>
          <t>Battlemaster reflector / efficient</t>
        </is>
      </c>
      <c r="B55" t="inlineStr">
        <is>
          <t>china</t>
        </is>
      </c>
      <c r="C55" t="inlineStr">
        <is>
          <t>battlemaster</t>
        </is>
      </c>
      <c r="D55" t="inlineStr">
        <is>
          <t>diesel</t>
        </is>
      </c>
      <c r="E55" t="inlineStr">
        <is>
          <t>efficient-generator</t>
        </is>
      </c>
      <c r="F55" t="inlineStr">
        <is>
          <t>reflector</t>
        </is>
      </c>
      <c r="G55" t="inlineStr">
        <is>
          <t>cannon-turret</t>
        </is>
      </c>
      <c r="H55" t="inlineStr">
        <is>
          <t>cannon</t>
        </is>
      </c>
      <c r="I55" t="inlineStr">
        <is>
          <t>shell</t>
        </is>
      </c>
      <c r="J55" t="inlineStr"/>
      <c r="K55" t="inlineStr"/>
      <c r="L55" t="inlineStr"/>
      <c r="M55">
        <f>IF(C55="",0,VLOOKUP(C55,Bausteine!$A$2:$AY$76,4,FALSE))+IF(D55="",0,VLOOKUP(D55,Bausteine!$A$2:$AY$76,4,FALSE))+IF(E55="",0,VLOOKUP(E55,Bausteine!$A$2:$AY$76,4,FALSE))+IF(F55="",0,VLOOKUP(F55,Bausteine!$A$2:$AY$76,4,FALSE))+IF(G55="",0,VLOOKUP(G55,Bausteine!$A$2:$AY$76,4,FALSE))+IF(H55="",0,VLOOKUP(H55,Bausteine!$A$2:$AY$76,4,FALSE))+IF(I55="",0,VLOOKUP(I55,Bausteine!$A$2:$AY$76,4,FALSE))+IF(J55="",0,VLOOKUP(J55,Bausteine!$A$2:$AY$76,4,FALSE))+IF(K55="",0,VLOOKUP(K55,Bausteine!$A$2:$AY$76,4,FALSE))+IF(L55="",0,VLOOKUP(L55,Bausteine!$A$2:$AY$76,4,FALSE))+IF(AC55="",0,VLOOKUP(AC55,Bausteine!$A$2:$AY$76,4,FALSE))+IF(AF55="",0,VLOOKUP(AF55,Bausteine!$A$2:$AY$76,4,FALSE))+IF(AG55="",0,VLOOKUP(AG55,Bausteine!$A$2:$AY$76,4,FALSE))+IF(AH55="",0,VLOOKUP(AH55,Bausteine!$A$2:$AY$76,4,FALSE))+IF(AQ55="",0,VLOOKUP(AQ55,Bausteine!$A$2:$AY$76,4,FALSE))</f>
        <v/>
      </c>
      <c r="N55">
        <f>IF(C55="",0,VLOOKUP(C55,Bausteine!$A$2:$AY$76,5,FALSE))+IF(D55="",0,VLOOKUP(D55,Bausteine!$A$2:$AY$76,5,FALSE))+IF(E55="",0,VLOOKUP(E55,Bausteine!$A$2:$AY$76,5,FALSE))+IF(F55="",0,VLOOKUP(F55,Bausteine!$A$2:$AY$76,5,FALSE))+IF(G55="",0,VLOOKUP(G55,Bausteine!$A$2:$AY$76,5,FALSE))+IF(H55="",0,VLOOKUP(H55,Bausteine!$A$2:$AY$76,5,FALSE))+IF(I55="",0,VLOOKUP(I55,Bausteine!$A$2:$AY$76,5,FALSE))+IF(J55="",0,VLOOKUP(J55,Bausteine!$A$2:$AY$76,5,FALSE))+IF(K55="",0,VLOOKUP(K55,Bausteine!$A$2:$AY$76,5,FALSE))+IF(L55="",0,VLOOKUP(L55,Bausteine!$A$2:$AY$76,5,FALSE))+IF(AC55="",0,VLOOKUP(AC55,Bausteine!$A$2:$AY$76,5,FALSE))+IF(AF55="",0,VLOOKUP(AF55,Bausteine!$A$2:$AY$76,5,FALSE))+IF(AG55="",0,VLOOKUP(AG55,Bausteine!$A$2:$AY$76,5,FALSE))+IF(AH55="",0,VLOOKUP(AH55,Bausteine!$A$2:$AY$76,5,FALSE))+IF(AQ55="",0,VLOOKUP(AQ55,Bausteine!$A$2:$AY$76,5,FALSE))</f>
        <v/>
      </c>
      <c r="O55">
        <f>MAX(IF(C55="",0,VLOOKUP(C55,Bausteine!$A$2:$AY$76,6,FALSE)),IF(D55="",0,VLOOKUP(D55,Bausteine!$A$2:$AY$76,6,FALSE)),IF(E55="",0,VLOOKUP(E55,Bausteine!$A$2:$AY$76,6,FALSE)),IF(F55="",0,VLOOKUP(F55,Bausteine!$A$2:$AY$76,6,FALSE)),IF(G55="",0,VLOOKUP(G55,Bausteine!$A$2:$AY$76,6,FALSE)),IF(H55="",0,VLOOKUP(H55,Bausteine!$A$2:$AY$76,6,FALSE)),IF(I55="",0,VLOOKUP(I55,Bausteine!$A$2:$AY$76,6,FALSE)),IF(J55="",0,VLOOKUP(J55,Bausteine!$A$2:$AY$76,6,FALSE)),IF(K55="",0,VLOOKUP(K55,Bausteine!$A$2:$AY$76,6,FALSE)),IF(L55="",0,VLOOKUP(L55,Bausteine!$A$2:$AY$76,6,FALSE)),IF(AC55="",0,VLOOKUP(AC55,Bausteine!$A$2:$AY$76,6,FALSE)),IF(AF55="",0,VLOOKUP(AF55,Bausteine!$A$2:$AY$76,6,FALSE)),IF(AG55="",0,VLOOKUP(AG55,Bausteine!$A$2:$AY$76,6,FALSE)),IF(AH55="",0,VLOOKUP(AH55,Bausteine!$A$2:$AY$76,6,FALSE)),IF(AQ55="",0,VLOOKUP(AQ55,Bausteine!$A$2:$AY$76,6,FALSE)),AK55)</f>
        <v/>
      </c>
      <c r="P55">
        <f>IF(C55="",0,VLOOKUP(C55,Bausteine!$A$2:$AY$76,7,FALSE))*IF(F55="",0,VLOOKUP(F55,Bausteine!$A$2:$AY$76,17,FALSE))/100+IF(D55="",0,VLOOKUP(D55,Bausteine!$A$2:$AY$76,7,FALSE))+IF(E55="",0,VLOOKUP(E55,Bausteine!$A$2:$AY$76,7,FALSE))+IF(G55="",0,VLOOKUP(G55,Bausteine!$A$2:$AY$76,7,FALSE))+IF(H55="",0,VLOOKUP(H55,Bausteine!$A$2:$AY$76,7,FALSE))+IF(I55="",0,VLOOKUP(I55,Bausteine!$A$2:$AY$76,7,FALSE))+IF(J55="",0,VLOOKUP(J55,Bausteine!$A$2:$AY$76,7,FALSE))+IF(K55="",0,VLOOKUP(K55,Bausteine!$A$2:$AY$76,7,FALSE))+IF(L55="",0,VLOOKUP(L55,Bausteine!$A$2:$AY$76,7,FALSE))+IF(AC55="",0,VLOOKUP(AC55,Bausteine!$A$2:$AY$76,7,FALSE))+IF(AF55="",0,VLOOKUP(AF55,Bausteine!$A$2:$AY$76,7,FALSE))+IF(AG55="",0,VLOOKUP(AG55,Bausteine!$A$2:$AY$76,7,FALSE))+IF(AH55="",0,VLOOKUP(AH55,Bausteine!$A$2:$AY$76,7,FALSE))+IF(AQ55="",0,VLOOKUP(AQ55,Bausteine!$A$2:$AY$76,7,FALSE))+AI55</f>
        <v/>
      </c>
      <c r="Q55">
        <f>N55*Parameter!$B$2</f>
        <v/>
      </c>
      <c r="R55">
        <f>AE55-Q55</f>
        <v/>
      </c>
      <c r="S55">
        <f>IF(C55="",0,VLOOKUP(C55,Bausteine!$A$2:$AY$76,13,FALSE))*IF(F55="",0,VLOOKUP(F55,Bausteine!$A$2:$AY$76,16,FALSE))/100</f>
        <v/>
      </c>
      <c r="T55">
        <f>IF(C55="",0,VLOOKUP(C55,Bausteine!$A$2:$AY$76,8,FALSE))*IF(F55="",0,VLOOKUP(F55,Bausteine!$A$2:$AY$76,15,FALSE))/100+IF(D55="",0,VLOOKUP(D55,Bausteine!$A$2:$AY$76,8,FALSE))+IF(E55="",0,VLOOKUP(E55,Bausteine!$A$2:$AY$76,8,FALSE))+IF(G55="",0,VLOOKUP(G55,Bausteine!$A$2:$AY$76,8,FALSE))+IF(H55="",0,VLOOKUP(H55,Bausteine!$A$2:$AY$76,8,FALSE))+IF(I55="",0,VLOOKUP(I55,Bausteine!$A$2:$AY$76,8,FALSE))+IF(J55="",0,VLOOKUP(J55,Bausteine!$A$2:$AY$76,8,FALSE))+IF(K55="",0,VLOOKUP(K55,Bausteine!$A$2:$AY$76,8,FALSE))+IF(L55="",0,VLOOKUP(L55,Bausteine!$A$2:$AY$76,8,FALSE))+IF(AC55="",0,VLOOKUP(AC55,Bausteine!$A$2:$AY$76,8,FALSE))+IF(AF55="",0,VLOOKUP(AF55,Bausteine!$A$2:$AY$76,8,FALSE))+IF(AG55="",0,VLOOKUP(AG55,Bausteine!$A$2:$AY$76,8,FALSE))+IF(AH55="",0,VLOOKUP(AH55,Bausteine!$A$2:$AY$76,8,FALSE))+IF(AQ55="",0,VLOOKUP(AQ55,Bausteine!$A$2:$AY$76,8,FALSE))+AJ55</f>
        <v/>
      </c>
      <c r="U55">
        <f>IF(C55="",0,VLOOKUP(C55,Bausteine!$A$2:$AY$76,9,FALSE))+IF(D55="",0,VLOOKUP(D55,Bausteine!$A$2:$AY$76,9,FALSE))+IF(E55="",0,VLOOKUP(E55,Bausteine!$A$2:$AY$76,9,FALSE))+IF(F55="",0,VLOOKUP(F55,Bausteine!$A$2:$AY$76,9,FALSE))+IF(G55="",0,VLOOKUP(G55,Bausteine!$A$2:$AY$76,9,FALSE))+IF(H55="",0,VLOOKUP(H55,Bausteine!$A$2:$AY$76,9,FALSE))+IF(I55="",0,VLOOKUP(I55,Bausteine!$A$2:$AY$76,9,FALSE))+IF(J55="",0,VLOOKUP(J55,Bausteine!$A$2:$AY$76,9,FALSE))+IF(K55="",0,VLOOKUP(K55,Bausteine!$A$2:$AY$76,9,FALSE))+IF(L55="",0,VLOOKUP(L55,Bausteine!$A$2:$AY$76,9,FALSE))+IF(AC55="",0,VLOOKUP(AC55,Bausteine!$A$2:$AY$76,9,FALSE))+IF(AF55="",0,VLOOKUP(AF55,Bausteine!$A$2:$AY$76,9,FALSE))+IF(AG55="",0,VLOOKUP(AG55,Bausteine!$A$2:$AY$76,9,FALSE))+IF(AH55="",0,VLOOKUP(AH55,Bausteine!$A$2:$AY$76,9,FALSE))+IF(AQ55="",0,VLOOKUP(AQ55,Bausteine!$A$2:$AY$76,9,FALSE))</f>
        <v/>
      </c>
      <c r="V55">
        <f>IF(D55="",0,VLOOKUP(D55,Bausteine!$A$2:$AY$76,10,FALSE))-U55/IF(E55="",0,VLOOKUP(E55,Bausteine!$A$2:$AY$76,11,FALSE))</f>
        <v/>
      </c>
      <c r="W55">
        <f>IF(Y55&lt;&gt;"OK","",ROUND(MIN(IF(C55="",0,VLOOKUP(C55,Bausteine!$A$2:$AY$76,21,FALSE)),IF(AQ55="",0,VLOOKUP(AQ55,Bausteine!$A$2:$AY$76,21,FALSE)),IF(C55="",0,VLOOKUP(C55,Bausteine!$A$2:$AY$76,20,FALSE))*(V55/T55/(IF(C55="",0,VLOOKUP(C55,Bausteine!$A$2:$AY$76,19,FALSE))/IF(C55="",0,VLOOKUP(C55,Bausteine!$A$2:$AY$76,18,FALSE))))^Parameter!$B$3),0))</f>
        <v/>
      </c>
      <c r="X55">
        <f>IF(F55="",0,VLOOKUP(F55,Bausteine!$A$2:$AY$76,14,FALSE))</f>
        <v/>
      </c>
      <c r="Y55">
        <f>IFERROR(IF(OR(AD55&lt;=0,AD55&gt;1,R55&lt;=0,T55&lt;=0,V55&lt;=0,U55&gt;IF(E55="",0,VLOOKUP(E55,Bausteine!$A$2:$AY$76,12,FALSE)),T55&gt;MIN(IF(C55="",0,VLOOKUP(C55,Bausteine!$A$2:$AY$76,22,FALSE)),IF(AQ55="",0,VLOOKUP(AQ55,Bausteine!$A$2:$AY$76,22,FALSE))),IF(E55="",0,VLOOKUP(E55,Bausteine!$A$2:$AY$76,11,FALSE))&lt;=0,IF(E55="",0,VLOOKUP(E55,Bausteine!$A$2:$AY$76,11,FALSE))&gt;1),"UNGUELTIG","OK"),"FEHLER")</f>
        <v/>
      </c>
      <c r="Z55" t="n">
        <v>850</v>
      </c>
      <c r="AA55" t="n">
        <v>94</v>
      </c>
      <c r="AB55" t="inlineStr"/>
      <c r="AC55" t="inlineStr"/>
      <c r="AD55">
        <f>IF(AC55="",1,IF(AC55="",0,VLOOKUP(AC55,Bausteine!$A$2:$AY$76,37,FALSE))/100)</f>
        <v/>
      </c>
      <c r="AE55">
        <f>P55*AD55</f>
        <v/>
      </c>
      <c r="AF55" t="inlineStr"/>
      <c r="AG55" t="inlineStr"/>
      <c r="AH55" t="inlineStr"/>
      <c r="AI55">
        <f>SUMIF(Startbesatzung!$A$2:$A$7,A55,Startbesatzung!$D$2:$D$7)</f>
        <v/>
      </c>
      <c r="AJ55">
        <f>SUMIF(Startbesatzung!$A$2:$A$7,A55,Startbesatzung!$E$2:$E$7)</f>
        <v/>
      </c>
      <c r="AK55">
        <f>MAX(0,IF(Startbesatzung!A2=A55,Startbesatzung!G2,0),IF(Startbesatzung!A3=A55,Startbesatzung!G3,0),IF(Startbesatzung!A4=A55,Startbesatzung!G4,0),IF(Startbesatzung!A5=A55,Startbesatzung!G5,0),IF(Startbesatzung!A6=A55,Startbesatzung!G6,0),IF(Startbesatzung!A7=A55,Startbesatzung!G7,0))</f>
        <v/>
      </c>
      <c r="AL55">
        <f>IF(AF55="","",IF(IF(AH55="",0,VLOOKUP(AH55,Bausteine!$A$2:$AY$76,38,FALSE))&gt;0,IF(AH55="",0,VLOOKUP(AH55,Bausteine!$A$2:$AY$76,38,FALSE)),IF(AG55="",0,VLOOKUP(AG55,Bausteine!$A$2:$AY$76,28,FALSE))))</f>
        <v/>
      </c>
      <c r="AM55">
        <f>IF(AF55="","",IF(AG55="",0,VLOOKUP(AG55,Bausteine!$A$2:$AY$76,44,FALSE)))</f>
        <v/>
      </c>
      <c r="AN55">
        <f>IF(AF55="","",IF(AF55="",0,VLOOKUP(AF55,Bausteine!$A$2:$AY$76,27,FALSE)))</f>
        <v/>
      </c>
      <c r="AO55">
        <f>IF(AF55="","",IF(AF55="",0,VLOOKUP(AF55,Bausteine!$A$2:$AY$76,25,FALSE)))</f>
        <v/>
      </c>
      <c r="AP55">
        <f>IF(AF55="","",IF(AH55="",0,VLOOKUP(AH55,Bausteine!$A$2:$AY$76,29,FALSE)))</f>
        <v/>
      </c>
      <c r="AQ55" t="inlineStr">
        <is>
          <t>tracks-standard</t>
        </is>
      </c>
      <c r="AR55">
        <f>IF(AQ55="",0,VLOOKUP(AQ55,Bausteine!$A$2:$AY$76,48,FALSE))</f>
        <v/>
      </c>
      <c r="AS55">
        <f>MIN(IF(AQ55="",0,VLOOKUP(AQ55,Bausteine!$A$2:$AY$76,50,FALSE)),IF(C55="",0,VLOOKUP(C55,Bausteine!$A$2:$AY$76,51,FALSE)))</f>
        <v/>
      </c>
    </row>
    <row r="56">
      <c r="A56" t="inlineStr">
        <is>
          <t>Battlemaster PDL + reflector / baseline</t>
        </is>
      </c>
      <c r="B56" t="inlineStr">
        <is>
          <t>china</t>
        </is>
      </c>
      <c r="C56" t="inlineStr">
        <is>
          <t>battlemaster</t>
        </is>
      </c>
      <c r="D56" t="inlineStr">
        <is>
          <t>diesel</t>
        </is>
      </c>
      <c r="E56" t="inlineStr">
        <is>
          <t>baseline-generator</t>
        </is>
      </c>
      <c r="F56" t="inlineStr">
        <is>
          <t>reflector</t>
        </is>
      </c>
      <c r="G56" t="inlineStr">
        <is>
          <t>cannon-turret</t>
        </is>
      </c>
      <c r="H56" t="inlineStr">
        <is>
          <t>cannon</t>
        </is>
      </c>
      <c r="I56" t="inlineStr">
        <is>
          <t>shell</t>
        </is>
      </c>
      <c r="J56" t="inlineStr">
        <is>
          <t>pdl</t>
        </is>
      </c>
      <c r="K56" t="inlineStr"/>
      <c r="L56" t="inlineStr"/>
      <c r="M56">
        <f>IF(C56="",0,VLOOKUP(C56,Bausteine!$A$2:$AY$76,4,FALSE))+IF(D56="",0,VLOOKUP(D56,Bausteine!$A$2:$AY$76,4,FALSE))+IF(E56="",0,VLOOKUP(E56,Bausteine!$A$2:$AY$76,4,FALSE))+IF(F56="",0,VLOOKUP(F56,Bausteine!$A$2:$AY$76,4,FALSE))+IF(G56="",0,VLOOKUP(G56,Bausteine!$A$2:$AY$76,4,FALSE))+IF(H56="",0,VLOOKUP(H56,Bausteine!$A$2:$AY$76,4,FALSE))+IF(I56="",0,VLOOKUP(I56,Bausteine!$A$2:$AY$76,4,FALSE))+IF(J56="",0,VLOOKUP(J56,Bausteine!$A$2:$AY$76,4,FALSE))+IF(K56="",0,VLOOKUP(K56,Bausteine!$A$2:$AY$76,4,FALSE))+IF(L56="",0,VLOOKUP(L56,Bausteine!$A$2:$AY$76,4,FALSE))+IF(AC56="",0,VLOOKUP(AC56,Bausteine!$A$2:$AY$76,4,FALSE))+IF(AF56="",0,VLOOKUP(AF56,Bausteine!$A$2:$AY$76,4,FALSE))+IF(AG56="",0,VLOOKUP(AG56,Bausteine!$A$2:$AY$76,4,FALSE))+IF(AH56="",0,VLOOKUP(AH56,Bausteine!$A$2:$AY$76,4,FALSE))+IF(AQ56="",0,VLOOKUP(AQ56,Bausteine!$A$2:$AY$76,4,FALSE))</f>
        <v/>
      </c>
      <c r="N56">
        <f>IF(C56="",0,VLOOKUP(C56,Bausteine!$A$2:$AY$76,5,FALSE))+IF(D56="",0,VLOOKUP(D56,Bausteine!$A$2:$AY$76,5,FALSE))+IF(E56="",0,VLOOKUP(E56,Bausteine!$A$2:$AY$76,5,FALSE))+IF(F56="",0,VLOOKUP(F56,Bausteine!$A$2:$AY$76,5,FALSE))+IF(G56="",0,VLOOKUP(G56,Bausteine!$A$2:$AY$76,5,FALSE))+IF(H56="",0,VLOOKUP(H56,Bausteine!$A$2:$AY$76,5,FALSE))+IF(I56="",0,VLOOKUP(I56,Bausteine!$A$2:$AY$76,5,FALSE))+IF(J56="",0,VLOOKUP(J56,Bausteine!$A$2:$AY$76,5,FALSE))+IF(K56="",0,VLOOKUP(K56,Bausteine!$A$2:$AY$76,5,FALSE))+IF(L56="",0,VLOOKUP(L56,Bausteine!$A$2:$AY$76,5,FALSE))+IF(AC56="",0,VLOOKUP(AC56,Bausteine!$A$2:$AY$76,5,FALSE))+IF(AF56="",0,VLOOKUP(AF56,Bausteine!$A$2:$AY$76,5,FALSE))+IF(AG56="",0,VLOOKUP(AG56,Bausteine!$A$2:$AY$76,5,FALSE))+IF(AH56="",0,VLOOKUP(AH56,Bausteine!$A$2:$AY$76,5,FALSE))+IF(AQ56="",0,VLOOKUP(AQ56,Bausteine!$A$2:$AY$76,5,FALSE))</f>
        <v/>
      </c>
      <c r="O56">
        <f>MAX(IF(C56="",0,VLOOKUP(C56,Bausteine!$A$2:$AY$76,6,FALSE)),IF(D56="",0,VLOOKUP(D56,Bausteine!$A$2:$AY$76,6,FALSE)),IF(E56="",0,VLOOKUP(E56,Bausteine!$A$2:$AY$76,6,FALSE)),IF(F56="",0,VLOOKUP(F56,Bausteine!$A$2:$AY$76,6,FALSE)),IF(G56="",0,VLOOKUP(G56,Bausteine!$A$2:$AY$76,6,FALSE)),IF(H56="",0,VLOOKUP(H56,Bausteine!$A$2:$AY$76,6,FALSE)),IF(I56="",0,VLOOKUP(I56,Bausteine!$A$2:$AY$76,6,FALSE)),IF(J56="",0,VLOOKUP(J56,Bausteine!$A$2:$AY$76,6,FALSE)),IF(K56="",0,VLOOKUP(K56,Bausteine!$A$2:$AY$76,6,FALSE)),IF(L56="",0,VLOOKUP(L56,Bausteine!$A$2:$AY$76,6,FALSE)),IF(AC56="",0,VLOOKUP(AC56,Bausteine!$A$2:$AY$76,6,FALSE)),IF(AF56="",0,VLOOKUP(AF56,Bausteine!$A$2:$AY$76,6,FALSE)),IF(AG56="",0,VLOOKUP(AG56,Bausteine!$A$2:$AY$76,6,FALSE)),IF(AH56="",0,VLOOKUP(AH56,Bausteine!$A$2:$AY$76,6,FALSE)),IF(AQ56="",0,VLOOKUP(AQ56,Bausteine!$A$2:$AY$76,6,FALSE)),AK56)</f>
        <v/>
      </c>
      <c r="P56">
        <f>IF(C56="",0,VLOOKUP(C56,Bausteine!$A$2:$AY$76,7,FALSE))*IF(F56="",0,VLOOKUP(F56,Bausteine!$A$2:$AY$76,17,FALSE))/100+IF(D56="",0,VLOOKUP(D56,Bausteine!$A$2:$AY$76,7,FALSE))+IF(E56="",0,VLOOKUP(E56,Bausteine!$A$2:$AY$76,7,FALSE))+IF(G56="",0,VLOOKUP(G56,Bausteine!$A$2:$AY$76,7,FALSE))+IF(H56="",0,VLOOKUP(H56,Bausteine!$A$2:$AY$76,7,FALSE))+IF(I56="",0,VLOOKUP(I56,Bausteine!$A$2:$AY$76,7,FALSE))+IF(J56="",0,VLOOKUP(J56,Bausteine!$A$2:$AY$76,7,FALSE))+IF(K56="",0,VLOOKUP(K56,Bausteine!$A$2:$AY$76,7,FALSE))+IF(L56="",0,VLOOKUP(L56,Bausteine!$A$2:$AY$76,7,FALSE))+IF(AC56="",0,VLOOKUP(AC56,Bausteine!$A$2:$AY$76,7,FALSE))+IF(AF56="",0,VLOOKUP(AF56,Bausteine!$A$2:$AY$76,7,FALSE))+IF(AG56="",0,VLOOKUP(AG56,Bausteine!$A$2:$AY$76,7,FALSE))+IF(AH56="",0,VLOOKUP(AH56,Bausteine!$A$2:$AY$76,7,FALSE))+IF(AQ56="",0,VLOOKUP(AQ56,Bausteine!$A$2:$AY$76,7,FALSE))+AI56</f>
        <v/>
      </c>
      <c r="Q56">
        <f>N56*Parameter!$B$2</f>
        <v/>
      </c>
      <c r="R56">
        <f>AE56-Q56</f>
        <v/>
      </c>
      <c r="S56">
        <f>IF(C56="",0,VLOOKUP(C56,Bausteine!$A$2:$AY$76,13,FALSE))*IF(F56="",0,VLOOKUP(F56,Bausteine!$A$2:$AY$76,16,FALSE))/100</f>
        <v/>
      </c>
      <c r="T56">
        <f>IF(C56="",0,VLOOKUP(C56,Bausteine!$A$2:$AY$76,8,FALSE))*IF(F56="",0,VLOOKUP(F56,Bausteine!$A$2:$AY$76,15,FALSE))/100+IF(D56="",0,VLOOKUP(D56,Bausteine!$A$2:$AY$76,8,FALSE))+IF(E56="",0,VLOOKUP(E56,Bausteine!$A$2:$AY$76,8,FALSE))+IF(G56="",0,VLOOKUP(G56,Bausteine!$A$2:$AY$76,8,FALSE))+IF(H56="",0,VLOOKUP(H56,Bausteine!$A$2:$AY$76,8,FALSE))+IF(I56="",0,VLOOKUP(I56,Bausteine!$A$2:$AY$76,8,FALSE))+IF(J56="",0,VLOOKUP(J56,Bausteine!$A$2:$AY$76,8,FALSE))+IF(K56="",0,VLOOKUP(K56,Bausteine!$A$2:$AY$76,8,FALSE))+IF(L56="",0,VLOOKUP(L56,Bausteine!$A$2:$AY$76,8,FALSE))+IF(AC56="",0,VLOOKUP(AC56,Bausteine!$A$2:$AY$76,8,FALSE))+IF(AF56="",0,VLOOKUP(AF56,Bausteine!$A$2:$AY$76,8,FALSE))+IF(AG56="",0,VLOOKUP(AG56,Bausteine!$A$2:$AY$76,8,FALSE))+IF(AH56="",0,VLOOKUP(AH56,Bausteine!$A$2:$AY$76,8,FALSE))+IF(AQ56="",0,VLOOKUP(AQ56,Bausteine!$A$2:$AY$76,8,FALSE))+AJ56</f>
        <v/>
      </c>
      <c r="U56">
        <f>IF(C56="",0,VLOOKUP(C56,Bausteine!$A$2:$AY$76,9,FALSE))+IF(D56="",0,VLOOKUP(D56,Bausteine!$A$2:$AY$76,9,FALSE))+IF(E56="",0,VLOOKUP(E56,Bausteine!$A$2:$AY$76,9,FALSE))+IF(F56="",0,VLOOKUP(F56,Bausteine!$A$2:$AY$76,9,FALSE))+IF(G56="",0,VLOOKUP(G56,Bausteine!$A$2:$AY$76,9,FALSE))+IF(H56="",0,VLOOKUP(H56,Bausteine!$A$2:$AY$76,9,FALSE))+IF(I56="",0,VLOOKUP(I56,Bausteine!$A$2:$AY$76,9,FALSE))+IF(J56="",0,VLOOKUP(J56,Bausteine!$A$2:$AY$76,9,FALSE))+IF(K56="",0,VLOOKUP(K56,Bausteine!$A$2:$AY$76,9,FALSE))+IF(L56="",0,VLOOKUP(L56,Bausteine!$A$2:$AY$76,9,FALSE))+IF(AC56="",0,VLOOKUP(AC56,Bausteine!$A$2:$AY$76,9,FALSE))+IF(AF56="",0,VLOOKUP(AF56,Bausteine!$A$2:$AY$76,9,FALSE))+IF(AG56="",0,VLOOKUP(AG56,Bausteine!$A$2:$AY$76,9,FALSE))+IF(AH56="",0,VLOOKUP(AH56,Bausteine!$A$2:$AY$76,9,FALSE))+IF(AQ56="",0,VLOOKUP(AQ56,Bausteine!$A$2:$AY$76,9,FALSE))</f>
        <v/>
      </c>
      <c r="V56">
        <f>IF(D56="",0,VLOOKUP(D56,Bausteine!$A$2:$AY$76,10,FALSE))-U56/IF(E56="",0,VLOOKUP(E56,Bausteine!$A$2:$AY$76,11,FALSE))</f>
        <v/>
      </c>
      <c r="W56">
        <f>IF(Y56&lt;&gt;"OK","",ROUND(MIN(IF(C56="",0,VLOOKUP(C56,Bausteine!$A$2:$AY$76,21,FALSE)),IF(AQ56="",0,VLOOKUP(AQ56,Bausteine!$A$2:$AY$76,21,FALSE)),IF(C56="",0,VLOOKUP(C56,Bausteine!$A$2:$AY$76,20,FALSE))*(V56/T56/(IF(C56="",0,VLOOKUP(C56,Bausteine!$A$2:$AY$76,19,FALSE))/IF(C56="",0,VLOOKUP(C56,Bausteine!$A$2:$AY$76,18,FALSE))))^Parameter!$B$3),0))</f>
        <v/>
      </c>
      <c r="X56">
        <f>IF(F56="",0,VLOOKUP(F56,Bausteine!$A$2:$AY$76,14,FALSE))</f>
        <v/>
      </c>
      <c r="Y56">
        <f>IFERROR(IF(OR(AD56&lt;=0,AD56&gt;1,R56&lt;=0,T56&lt;=0,V56&lt;=0,U56&gt;IF(E56="",0,VLOOKUP(E56,Bausteine!$A$2:$AY$76,12,FALSE)),T56&gt;MIN(IF(C56="",0,VLOOKUP(C56,Bausteine!$A$2:$AY$76,22,FALSE)),IF(AQ56="",0,VLOOKUP(AQ56,Bausteine!$A$2:$AY$76,22,FALSE))),IF(E56="",0,VLOOKUP(E56,Bausteine!$A$2:$AY$76,11,FALSE))&lt;=0,IF(E56="",0,VLOOKUP(E56,Bausteine!$A$2:$AY$76,11,FALSE))&gt;1),"UNGUELTIG","OK"),"FEHLER")</f>
        <v/>
      </c>
      <c r="Z56" t="inlineStr">
        <is>
          <t>INVALID: Generator output exceeded</t>
        </is>
      </c>
      <c r="AB56" t="inlineStr"/>
      <c r="AC56" t="inlineStr"/>
      <c r="AD56">
        <f>IF(AC56="",1,IF(AC56="",0,VLOOKUP(AC56,Bausteine!$A$2:$AY$76,37,FALSE))/100)</f>
        <v/>
      </c>
      <c r="AE56">
        <f>P56*AD56</f>
        <v/>
      </c>
      <c r="AF56" t="inlineStr"/>
      <c r="AG56" t="inlineStr"/>
      <c r="AH56" t="inlineStr"/>
      <c r="AI56">
        <f>SUMIF(Startbesatzung!$A$2:$A$7,A56,Startbesatzung!$D$2:$D$7)</f>
        <v/>
      </c>
      <c r="AJ56">
        <f>SUMIF(Startbesatzung!$A$2:$A$7,A56,Startbesatzung!$E$2:$E$7)</f>
        <v/>
      </c>
      <c r="AK56">
        <f>MAX(0,IF(Startbesatzung!A2=A56,Startbesatzung!G2,0),IF(Startbesatzung!A3=A56,Startbesatzung!G3,0),IF(Startbesatzung!A4=A56,Startbesatzung!G4,0),IF(Startbesatzung!A5=A56,Startbesatzung!G5,0),IF(Startbesatzung!A6=A56,Startbesatzung!G6,0),IF(Startbesatzung!A7=A56,Startbesatzung!G7,0))</f>
        <v/>
      </c>
      <c r="AL56">
        <f>IF(AF56="","",IF(IF(AH56="",0,VLOOKUP(AH56,Bausteine!$A$2:$AY$76,38,FALSE))&gt;0,IF(AH56="",0,VLOOKUP(AH56,Bausteine!$A$2:$AY$76,38,FALSE)),IF(AG56="",0,VLOOKUP(AG56,Bausteine!$A$2:$AY$76,28,FALSE))))</f>
        <v/>
      </c>
      <c r="AM56">
        <f>IF(AF56="","",IF(AG56="",0,VLOOKUP(AG56,Bausteine!$A$2:$AY$76,44,FALSE)))</f>
        <v/>
      </c>
      <c r="AN56">
        <f>IF(AF56="","",IF(AF56="",0,VLOOKUP(AF56,Bausteine!$A$2:$AY$76,27,FALSE)))</f>
        <v/>
      </c>
      <c r="AO56">
        <f>IF(AF56="","",IF(AF56="",0,VLOOKUP(AF56,Bausteine!$A$2:$AY$76,25,FALSE)))</f>
        <v/>
      </c>
      <c r="AP56">
        <f>IF(AF56="","",IF(AH56="",0,VLOOKUP(AH56,Bausteine!$A$2:$AY$76,29,FALSE)))</f>
        <v/>
      </c>
      <c r="AQ56" t="inlineStr">
        <is>
          <t>tracks-standard</t>
        </is>
      </c>
      <c r="AR56">
        <f>IF(AQ56="",0,VLOOKUP(AQ56,Bausteine!$A$2:$AY$76,48,FALSE))</f>
        <v/>
      </c>
      <c r="AS56">
        <f>MIN(IF(AQ56="",0,VLOOKUP(AQ56,Bausteine!$A$2:$AY$76,50,FALSE)),IF(C56="",0,VLOOKUP(C56,Bausteine!$A$2:$AY$76,51,FALSE)))</f>
        <v/>
      </c>
    </row>
    <row r="57">
      <c r="A57" t="inlineStr">
        <is>
          <t>Battlemaster PDL + reflector / efficient</t>
        </is>
      </c>
      <c r="B57" t="inlineStr">
        <is>
          <t>china</t>
        </is>
      </c>
      <c r="C57" t="inlineStr">
        <is>
          <t>battlemaster</t>
        </is>
      </c>
      <c r="D57" t="inlineStr">
        <is>
          <t>diesel</t>
        </is>
      </c>
      <c r="E57" t="inlineStr">
        <is>
          <t>efficient-generator</t>
        </is>
      </c>
      <c r="F57" t="inlineStr">
        <is>
          <t>reflector</t>
        </is>
      </c>
      <c r="G57" t="inlineStr">
        <is>
          <t>cannon-turret</t>
        </is>
      </c>
      <c r="H57" t="inlineStr">
        <is>
          <t>cannon</t>
        </is>
      </c>
      <c r="I57" t="inlineStr">
        <is>
          <t>shell</t>
        </is>
      </c>
      <c r="J57" t="inlineStr">
        <is>
          <t>pdl</t>
        </is>
      </c>
      <c r="K57" t="inlineStr"/>
      <c r="L57" t="inlineStr"/>
      <c r="M57">
        <f>IF(C57="",0,VLOOKUP(C57,Bausteine!$A$2:$AY$76,4,FALSE))+IF(D57="",0,VLOOKUP(D57,Bausteine!$A$2:$AY$76,4,FALSE))+IF(E57="",0,VLOOKUP(E57,Bausteine!$A$2:$AY$76,4,FALSE))+IF(F57="",0,VLOOKUP(F57,Bausteine!$A$2:$AY$76,4,FALSE))+IF(G57="",0,VLOOKUP(G57,Bausteine!$A$2:$AY$76,4,FALSE))+IF(H57="",0,VLOOKUP(H57,Bausteine!$A$2:$AY$76,4,FALSE))+IF(I57="",0,VLOOKUP(I57,Bausteine!$A$2:$AY$76,4,FALSE))+IF(J57="",0,VLOOKUP(J57,Bausteine!$A$2:$AY$76,4,FALSE))+IF(K57="",0,VLOOKUP(K57,Bausteine!$A$2:$AY$76,4,FALSE))+IF(L57="",0,VLOOKUP(L57,Bausteine!$A$2:$AY$76,4,FALSE))+IF(AC57="",0,VLOOKUP(AC57,Bausteine!$A$2:$AY$76,4,FALSE))+IF(AF57="",0,VLOOKUP(AF57,Bausteine!$A$2:$AY$76,4,FALSE))+IF(AG57="",0,VLOOKUP(AG57,Bausteine!$A$2:$AY$76,4,FALSE))+IF(AH57="",0,VLOOKUP(AH57,Bausteine!$A$2:$AY$76,4,FALSE))+IF(AQ57="",0,VLOOKUP(AQ57,Bausteine!$A$2:$AY$76,4,FALSE))</f>
        <v/>
      </c>
      <c r="N57">
        <f>IF(C57="",0,VLOOKUP(C57,Bausteine!$A$2:$AY$76,5,FALSE))+IF(D57="",0,VLOOKUP(D57,Bausteine!$A$2:$AY$76,5,FALSE))+IF(E57="",0,VLOOKUP(E57,Bausteine!$A$2:$AY$76,5,FALSE))+IF(F57="",0,VLOOKUP(F57,Bausteine!$A$2:$AY$76,5,FALSE))+IF(G57="",0,VLOOKUP(G57,Bausteine!$A$2:$AY$76,5,FALSE))+IF(H57="",0,VLOOKUP(H57,Bausteine!$A$2:$AY$76,5,FALSE))+IF(I57="",0,VLOOKUP(I57,Bausteine!$A$2:$AY$76,5,FALSE))+IF(J57="",0,VLOOKUP(J57,Bausteine!$A$2:$AY$76,5,FALSE))+IF(K57="",0,VLOOKUP(K57,Bausteine!$A$2:$AY$76,5,FALSE))+IF(L57="",0,VLOOKUP(L57,Bausteine!$A$2:$AY$76,5,FALSE))+IF(AC57="",0,VLOOKUP(AC57,Bausteine!$A$2:$AY$76,5,FALSE))+IF(AF57="",0,VLOOKUP(AF57,Bausteine!$A$2:$AY$76,5,FALSE))+IF(AG57="",0,VLOOKUP(AG57,Bausteine!$A$2:$AY$76,5,FALSE))+IF(AH57="",0,VLOOKUP(AH57,Bausteine!$A$2:$AY$76,5,FALSE))+IF(AQ57="",0,VLOOKUP(AQ57,Bausteine!$A$2:$AY$76,5,FALSE))</f>
        <v/>
      </c>
      <c r="O57">
        <f>MAX(IF(C57="",0,VLOOKUP(C57,Bausteine!$A$2:$AY$76,6,FALSE)),IF(D57="",0,VLOOKUP(D57,Bausteine!$A$2:$AY$76,6,FALSE)),IF(E57="",0,VLOOKUP(E57,Bausteine!$A$2:$AY$76,6,FALSE)),IF(F57="",0,VLOOKUP(F57,Bausteine!$A$2:$AY$76,6,FALSE)),IF(G57="",0,VLOOKUP(G57,Bausteine!$A$2:$AY$76,6,FALSE)),IF(H57="",0,VLOOKUP(H57,Bausteine!$A$2:$AY$76,6,FALSE)),IF(I57="",0,VLOOKUP(I57,Bausteine!$A$2:$AY$76,6,FALSE)),IF(J57="",0,VLOOKUP(J57,Bausteine!$A$2:$AY$76,6,FALSE)),IF(K57="",0,VLOOKUP(K57,Bausteine!$A$2:$AY$76,6,FALSE)),IF(L57="",0,VLOOKUP(L57,Bausteine!$A$2:$AY$76,6,FALSE)),IF(AC57="",0,VLOOKUP(AC57,Bausteine!$A$2:$AY$76,6,FALSE)),IF(AF57="",0,VLOOKUP(AF57,Bausteine!$A$2:$AY$76,6,FALSE)),IF(AG57="",0,VLOOKUP(AG57,Bausteine!$A$2:$AY$76,6,FALSE)),IF(AH57="",0,VLOOKUP(AH57,Bausteine!$A$2:$AY$76,6,FALSE)),IF(AQ57="",0,VLOOKUP(AQ57,Bausteine!$A$2:$AY$76,6,FALSE)),AK57)</f>
        <v/>
      </c>
      <c r="P57">
        <f>IF(C57="",0,VLOOKUP(C57,Bausteine!$A$2:$AY$76,7,FALSE))*IF(F57="",0,VLOOKUP(F57,Bausteine!$A$2:$AY$76,17,FALSE))/100+IF(D57="",0,VLOOKUP(D57,Bausteine!$A$2:$AY$76,7,FALSE))+IF(E57="",0,VLOOKUP(E57,Bausteine!$A$2:$AY$76,7,FALSE))+IF(G57="",0,VLOOKUP(G57,Bausteine!$A$2:$AY$76,7,FALSE))+IF(H57="",0,VLOOKUP(H57,Bausteine!$A$2:$AY$76,7,FALSE))+IF(I57="",0,VLOOKUP(I57,Bausteine!$A$2:$AY$76,7,FALSE))+IF(J57="",0,VLOOKUP(J57,Bausteine!$A$2:$AY$76,7,FALSE))+IF(K57="",0,VLOOKUP(K57,Bausteine!$A$2:$AY$76,7,FALSE))+IF(L57="",0,VLOOKUP(L57,Bausteine!$A$2:$AY$76,7,FALSE))+IF(AC57="",0,VLOOKUP(AC57,Bausteine!$A$2:$AY$76,7,FALSE))+IF(AF57="",0,VLOOKUP(AF57,Bausteine!$A$2:$AY$76,7,FALSE))+IF(AG57="",0,VLOOKUP(AG57,Bausteine!$A$2:$AY$76,7,FALSE))+IF(AH57="",0,VLOOKUP(AH57,Bausteine!$A$2:$AY$76,7,FALSE))+IF(AQ57="",0,VLOOKUP(AQ57,Bausteine!$A$2:$AY$76,7,FALSE))+AI57</f>
        <v/>
      </c>
      <c r="Q57">
        <f>N57*Parameter!$B$2</f>
        <v/>
      </c>
      <c r="R57">
        <f>AE57-Q57</f>
        <v/>
      </c>
      <c r="S57">
        <f>IF(C57="",0,VLOOKUP(C57,Bausteine!$A$2:$AY$76,13,FALSE))*IF(F57="",0,VLOOKUP(F57,Bausteine!$A$2:$AY$76,16,FALSE))/100</f>
        <v/>
      </c>
      <c r="T57">
        <f>IF(C57="",0,VLOOKUP(C57,Bausteine!$A$2:$AY$76,8,FALSE))*IF(F57="",0,VLOOKUP(F57,Bausteine!$A$2:$AY$76,15,FALSE))/100+IF(D57="",0,VLOOKUP(D57,Bausteine!$A$2:$AY$76,8,FALSE))+IF(E57="",0,VLOOKUP(E57,Bausteine!$A$2:$AY$76,8,FALSE))+IF(G57="",0,VLOOKUP(G57,Bausteine!$A$2:$AY$76,8,FALSE))+IF(H57="",0,VLOOKUP(H57,Bausteine!$A$2:$AY$76,8,FALSE))+IF(I57="",0,VLOOKUP(I57,Bausteine!$A$2:$AY$76,8,FALSE))+IF(J57="",0,VLOOKUP(J57,Bausteine!$A$2:$AY$76,8,FALSE))+IF(K57="",0,VLOOKUP(K57,Bausteine!$A$2:$AY$76,8,FALSE))+IF(L57="",0,VLOOKUP(L57,Bausteine!$A$2:$AY$76,8,FALSE))+IF(AC57="",0,VLOOKUP(AC57,Bausteine!$A$2:$AY$76,8,FALSE))+IF(AF57="",0,VLOOKUP(AF57,Bausteine!$A$2:$AY$76,8,FALSE))+IF(AG57="",0,VLOOKUP(AG57,Bausteine!$A$2:$AY$76,8,FALSE))+IF(AH57="",0,VLOOKUP(AH57,Bausteine!$A$2:$AY$76,8,FALSE))+IF(AQ57="",0,VLOOKUP(AQ57,Bausteine!$A$2:$AY$76,8,FALSE))+AJ57</f>
        <v/>
      </c>
      <c r="U57">
        <f>IF(C57="",0,VLOOKUP(C57,Bausteine!$A$2:$AY$76,9,FALSE))+IF(D57="",0,VLOOKUP(D57,Bausteine!$A$2:$AY$76,9,FALSE))+IF(E57="",0,VLOOKUP(E57,Bausteine!$A$2:$AY$76,9,FALSE))+IF(F57="",0,VLOOKUP(F57,Bausteine!$A$2:$AY$76,9,FALSE))+IF(G57="",0,VLOOKUP(G57,Bausteine!$A$2:$AY$76,9,FALSE))+IF(H57="",0,VLOOKUP(H57,Bausteine!$A$2:$AY$76,9,FALSE))+IF(I57="",0,VLOOKUP(I57,Bausteine!$A$2:$AY$76,9,FALSE))+IF(J57="",0,VLOOKUP(J57,Bausteine!$A$2:$AY$76,9,FALSE))+IF(K57="",0,VLOOKUP(K57,Bausteine!$A$2:$AY$76,9,FALSE))+IF(L57="",0,VLOOKUP(L57,Bausteine!$A$2:$AY$76,9,FALSE))+IF(AC57="",0,VLOOKUP(AC57,Bausteine!$A$2:$AY$76,9,FALSE))+IF(AF57="",0,VLOOKUP(AF57,Bausteine!$A$2:$AY$76,9,FALSE))+IF(AG57="",0,VLOOKUP(AG57,Bausteine!$A$2:$AY$76,9,FALSE))+IF(AH57="",0,VLOOKUP(AH57,Bausteine!$A$2:$AY$76,9,FALSE))+IF(AQ57="",0,VLOOKUP(AQ57,Bausteine!$A$2:$AY$76,9,FALSE))</f>
        <v/>
      </c>
      <c r="V57">
        <f>IF(D57="",0,VLOOKUP(D57,Bausteine!$A$2:$AY$76,10,FALSE))-U57/IF(E57="",0,VLOOKUP(E57,Bausteine!$A$2:$AY$76,11,FALSE))</f>
        <v/>
      </c>
      <c r="W57">
        <f>IF(Y57&lt;&gt;"OK","",ROUND(MIN(IF(C57="",0,VLOOKUP(C57,Bausteine!$A$2:$AY$76,21,FALSE)),IF(AQ57="",0,VLOOKUP(AQ57,Bausteine!$A$2:$AY$76,21,FALSE)),IF(C57="",0,VLOOKUP(C57,Bausteine!$A$2:$AY$76,20,FALSE))*(V57/T57/(IF(C57="",0,VLOOKUP(C57,Bausteine!$A$2:$AY$76,19,FALSE))/IF(C57="",0,VLOOKUP(C57,Bausteine!$A$2:$AY$76,18,FALSE))))^Parameter!$B$3),0))</f>
        <v/>
      </c>
      <c r="X57">
        <f>IF(F57="",0,VLOOKUP(F57,Bausteine!$A$2:$AY$76,14,FALSE))</f>
        <v/>
      </c>
      <c r="Y57">
        <f>IFERROR(IF(OR(AD57&lt;=0,AD57&gt;1,R57&lt;=0,T57&lt;=0,V57&lt;=0,U57&gt;IF(E57="",0,VLOOKUP(E57,Bausteine!$A$2:$AY$76,12,FALSE)),T57&gt;MIN(IF(C57="",0,VLOOKUP(C57,Bausteine!$A$2:$AY$76,22,FALSE)),IF(AQ57="",0,VLOOKUP(AQ57,Bausteine!$A$2:$AY$76,22,FALSE))),IF(E57="",0,VLOOKUP(E57,Bausteine!$A$2:$AY$76,11,FALSE))&lt;=0,IF(E57="",0,VLOOKUP(E57,Bausteine!$A$2:$AY$76,11,FALSE))&gt;1),"UNGUELTIG","OK"),"FEHLER")</f>
        <v/>
      </c>
      <c r="Z57" t="n">
        <v>1200</v>
      </c>
      <c r="AA57" t="n">
        <v>86</v>
      </c>
      <c r="AB57" t="inlineStr"/>
      <c r="AC57" t="inlineStr"/>
      <c r="AD57">
        <f>IF(AC57="",1,IF(AC57="",0,VLOOKUP(AC57,Bausteine!$A$2:$AY$76,37,FALSE))/100)</f>
        <v/>
      </c>
      <c r="AE57">
        <f>P57*AD57</f>
        <v/>
      </c>
      <c r="AF57" t="inlineStr"/>
      <c r="AG57" t="inlineStr"/>
      <c r="AH57" t="inlineStr"/>
      <c r="AI57">
        <f>SUMIF(Startbesatzung!$A$2:$A$7,A57,Startbesatzung!$D$2:$D$7)</f>
        <v/>
      </c>
      <c r="AJ57">
        <f>SUMIF(Startbesatzung!$A$2:$A$7,A57,Startbesatzung!$E$2:$E$7)</f>
        <v/>
      </c>
      <c r="AK57">
        <f>MAX(0,IF(Startbesatzung!A2=A57,Startbesatzung!G2,0),IF(Startbesatzung!A3=A57,Startbesatzung!G3,0),IF(Startbesatzung!A4=A57,Startbesatzung!G4,0),IF(Startbesatzung!A5=A57,Startbesatzung!G5,0),IF(Startbesatzung!A6=A57,Startbesatzung!G6,0),IF(Startbesatzung!A7=A57,Startbesatzung!G7,0))</f>
        <v/>
      </c>
      <c r="AL57">
        <f>IF(AF57="","",IF(IF(AH57="",0,VLOOKUP(AH57,Bausteine!$A$2:$AY$76,38,FALSE))&gt;0,IF(AH57="",0,VLOOKUP(AH57,Bausteine!$A$2:$AY$76,38,FALSE)),IF(AG57="",0,VLOOKUP(AG57,Bausteine!$A$2:$AY$76,28,FALSE))))</f>
        <v/>
      </c>
      <c r="AM57">
        <f>IF(AF57="","",IF(AG57="",0,VLOOKUP(AG57,Bausteine!$A$2:$AY$76,44,FALSE)))</f>
        <v/>
      </c>
      <c r="AN57">
        <f>IF(AF57="","",IF(AF57="",0,VLOOKUP(AF57,Bausteine!$A$2:$AY$76,27,FALSE)))</f>
        <v/>
      </c>
      <c r="AO57">
        <f>IF(AF57="","",IF(AF57="",0,VLOOKUP(AF57,Bausteine!$A$2:$AY$76,25,FALSE)))</f>
        <v/>
      </c>
      <c r="AP57">
        <f>IF(AF57="","",IF(AH57="",0,VLOOKUP(AH57,Bausteine!$A$2:$AY$76,29,FALSE)))</f>
        <v/>
      </c>
      <c r="AQ57" t="inlineStr">
        <is>
          <t>tracks-standard</t>
        </is>
      </c>
      <c r="AR57">
        <f>IF(AQ57="",0,VLOOKUP(AQ57,Bausteine!$A$2:$AY$76,48,FALSE))</f>
        <v/>
      </c>
      <c r="AS57">
        <f>MIN(IF(AQ57="",0,VLOOKUP(AQ57,Bausteine!$A$2:$AY$76,50,FALSE)),IF(C57="",0,VLOOKUP(C57,Bausteine!$A$2:$AY$76,51,FALSE)))</f>
        <v/>
      </c>
    </row>
    <row r="58">
      <c r="A58" t="inlineStr">
        <is>
          <t>Juggernaut baseline</t>
        </is>
      </c>
      <c r="B58" t="inlineStr">
        <is>
          <t>gdi</t>
        </is>
      </c>
      <c r="C58" t="inlineStr">
        <is>
          <t>juggernaut</t>
        </is>
      </c>
      <c r="D58" t="inlineStr">
        <is>
          <t>diesel</t>
        </is>
      </c>
      <c r="E58" t="inlineStr">
        <is>
          <t>baseline-generator</t>
        </is>
      </c>
      <c r="F58" t="inlineStr">
        <is>
          <t>heavy</t>
        </is>
      </c>
      <c r="G58" t="inlineStr">
        <is>
          <t>fixed-triple</t>
        </is>
      </c>
      <c r="H58" t="inlineStr">
        <is>
          <t>artillery</t>
        </is>
      </c>
      <c r="I58" t="inlineStr">
        <is>
          <t>artillery-shell</t>
        </is>
      </c>
      <c r="J58" t="inlineStr"/>
      <c r="K58" t="inlineStr"/>
      <c r="L58" t="inlineStr"/>
      <c r="M58">
        <f>IF(C58="",0,VLOOKUP(C58,Bausteine!$A$2:$AY$76,4,FALSE))+IF(D58="",0,VLOOKUP(D58,Bausteine!$A$2:$AY$76,4,FALSE))+IF(E58="",0,VLOOKUP(E58,Bausteine!$A$2:$AY$76,4,FALSE))+IF(F58="",0,VLOOKUP(F58,Bausteine!$A$2:$AY$76,4,FALSE))+IF(G58="",0,VLOOKUP(G58,Bausteine!$A$2:$AY$76,4,FALSE))+IF(H58="",0,VLOOKUP(H58,Bausteine!$A$2:$AY$76,4,FALSE))+IF(I58="",0,VLOOKUP(I58,Bausteine!$A$2:$AY$76,4,FALSE))+IF(J58="",0,VLOOKUP(J58,Bausteine!$A$2:$AY$76,4,FALSE))+IF(K58="",0,VLOOKUP(K58,Bausteine!$A$2:$AY$76,4,FALSE))+IF(L58="",0,VLOOKUP(L58,Bausteine!$A$2:$AY$76,4,FALSE))+IF(AC58="",0,VLOOKUP(AC58,Bausteine!$A$2:$AY$76,4,FALSE))+IF(AF58="",0,VLOOKUP(AF58,Bausteine!$A$2:$AY$76,4,FALSE))+IF(AG58="",0,VLOOKUP(AG58,Bausteine!$A$2:$AY$76,4,FALSE))+IF(AH58="",0,VLOOKUP(AH58,Bausteine!$A$2:$AY$76,4,FALSE))+IF(AQ58="",0,VLOOKUP(AQ58,Bausteine!$A$2:$AY$76,4,FALSE))</f>
        <v/>
      </c>
      <c r="N58">
        <f>IF(C58="",0,VLOOKUP(C58,Bausteine!$A$2:$AY$76,5,FALSE))+IF(D58="",0,VLOOKUP(D58,Bausteine!$A$2:$AY$76,5,FALSE))+IF(E58="",0,VLOOKUP(E58,Bausteine!$A$2:$AY$76,5,FALSE))+IF(F58="",0,VLOOKUP(F58,Bausteine!$A$2:$AY$76,5,FALSE))+IF(G58="",0,VLOOKUP(G58,Bausteine!$A$2:$AY$76,5,FALSE))+IF(H58="",0,VLOOKUP(H58,Bausteine!$A$2:$AY$76,5,FALSE))+IF(I58="",0,VLOOKUP(I58,Bausteine!$A$2:$AY$76,5,FALSE))+IF(J58="",0,VLOOKUP(J58,Bausteine!$A$2:$AY$76,5,FALSE))+IF(K58="",0,VLOOKUP(K58,Bausteine!$A$2:$AY$76,5,FALSE))+IF(L58="",0,VLOOKUP(L58,Bausteine!$A$2:$AY$76,5,FALSE))+IF(AC58="",0,VLOOKUP(AC58,Bausteine!$A$2:$AY$76,5,FALSE))+IF(AF58="",0,VLOOKUP(AF58,Bausteine!$A$2:$AY$76,5,FALSE))+IF(AG58="",0,VLOOKUP(AG58,Bausteine!$A$2:$AY$76,5,FALSE))+IF(AH58="",0,VLOOKUP(AH58,Bausteine!$A$2:$AY$76,5,FALSE))+IF(AQ58="",0,VLOOKUP(AQ58,Bausteine!$A$2:$AY$76,5,FALSE))</f>
        <v/>
      </c>
      <c r="O58">
        <f>MAX(IF(C58="",0,VLOOKUP(C58,Bausteine!$A$2:$AY$76,6,FALSE)),IF(D58="",0,VLOOKUP(D58,Bausteine!$A$2:$AY$76,6,FALSE)),IF(E58="",0,VLOOKUP(E58,Bausteine!$A$2:$AY$76,6,FALSE)),IF(F58="",0,VLOOKUP(F58,Bausteine!$A$2:$AY$76,6,FALSE)),IF(G58="",0,VLOOKUP(G58,Bausteine!$A$2:$AY$76,6,FALSE)),IF(H58="",0,VLOOKUP(H58,Bausteine!$A$2:$AY$76,6,FALSE)),IF(I58="",0,VLOOKUP(I58,Bausteine!$A$2:$AY$76,6,FALSE)),IF(J58="",0,VLOOKUP(J58,Bausteine!$A$2:$AY$76,6,FALSE)),IF(K58="",0,VLOOKUP(K58,Bausteine!$A$2:$AY$76,6,FALSE)),IF(L58="",0,VLOOKUP(L58,Bausteine!$A$2:$AY$76,6,FALSE)),IF(AC58="",0,VLOOKUP(AC58,Bausteine!$A$2:$AY$76,6,FALSE)),IF(AF58="",0,VLOOKUP(AF58,Bausteine!$A$2:$AY$76,6,FALSE)),IF(AG58="",0,VLOOKUP(AG58,Bausteine!$A$2:$AY$76,6,FALSE)),IF(AH58="",0,VLOOKUP(AH58,Bausteine!$A$2:$AY$76,6,FALSE)),IF(AQ58="",0,VLOOKUP(AQ58,Bausteine!$A$2:$AY$76,6,FALSE)),AK58)</f>
        <v/>
      </c>
      <c r="P58">
        <f>IF(C58="",0,VLOOKUP(C58,Bausteine!$A$2:$AY$76,7,FALSE))*IF(F58="",0,VLOOKUP(F58,Bausteine!$A$2:$AY$76,17,FALSE))/100+IF(D58="",0,VLOOKUP(D58,Bausteine!$A$2:$AY$76,7,FALSE))+IF(E58="",0,VLOOKUP(E58,Bausteine!$A$2:$AY$76,7,FALSE))+IF(G58="",0,VLOOKUP(G58,Bausteine!$A$2:$AY$76,7,FALSE))+IF(H58="",0,VLOOKUP(H58,Bausteine!$A$2:$AY$76,7,FALSE))+IF(I58="",0,VLOOKUP(I58,Bausteine!$A$2:$AY$76,7,FALSE))+IF(J58="",0,VLOOKUP(J58,Bausteine!$A$2:$AY$76,7,FALSE))+IF(K58="",0,VLOOKUP(K58,Bausteine!$A$2:$AY$76,7,FALSE))+IF(L58="",0,VLOOKUP(L58,Bausteine!$A$2:$AY$76,7,FALSE))+IF(AC58="",0,VLOOKUP(AC58,Bausteine!$A$2:$AY$76,7,FALSE))+IF(AF58="",0,VLOOKUP(AF58,Bausteine!$A$2:$AY$76,7,FALSE))+IF(AG58="",0,VLOOKUP(AG58,Bausteine!$A$2:$AY$76,7,FALSE))+IF(AH58="",0,VLOOKUP(AH58,Bausteine!$A$2:$AY$76,7,FALSE))+IF(AQ58="",0,VLOOKUP(AQ58,Bausteine!$A$2:$AY$76,7,FALSE))+AI58</f>
        <v/>
      </c>
      <c r="Q58">
        <f>N58*Parameter!$B$2</f>
        <v/>
      </c>
      <c r="R58">
        <f>AE58-Q58</f>
        <v/>
      </c>
      <c r="S58">
        <f>IF(C58="",0,VLOOKUP(C58,Bausteine!$A$2:$AY$76,13,FALSE))*IF(F58="",0,VLOOKUP(F58,Bausteine!$A$2:$AY$76,16,FALSE))/100</f>
        <v/>
      </c>
      <c r="T58">
        <f>IF(C58="",0,VLOOKUP(C58,Bausteine!$A$2:$AY$76,8,FALSE))*IF(F58="",0,VLOOKUP(F58,Bausteine!$A$2:$AY$76,15,FALSE))/100+IF(D58="",0,VLOOKUP(D58,Bausteine!$A$2:$AY$76,8,FALSE))+IF(E58="",0,VLOOKUP(E58,Bausteine!$A$2:$AY$76,8,FALSE))+IF(G58="",0,VLOOKUP(G58,Bausteine!$A$2:$AY$76,8,FALSE))+IF(H58="",0,VLOOKUP(H58,Bausteine!$A$2:$AY$76,8,FALSE))+IF(I58="",0,VLOOKUP(I58,Bausteine!$A$2:$AY$76,8,FALSE))+IF(J58="",0,VLOOKUP(J58,Bausteine!$A$2:$AY$76,8,FALSE))+IF(K58="",0,VLOOKUP(K58,Bausteine!$A$2:$AY$76,8,FALSE))+IF(L58="",0,VLOOKUP(L58,Bausteine!$A$2:$AY$76,8,FALSE))+IF(AC58="",0,VLOOKUP(AC58,Bausteine!$A$2:$AY$76,8,FALSE))+IF(AF58="",0,VLOOKUP(AF58,Bausteine!$A$2:$AY$76,8,FALSE))+IF(AG58="",0,VLOOKUP(AG58,Bausteine!$A$2:$AY$76,8,FALSE))+IF(AH58="",0,VLOOKUP(AH58,Bausteine!$A$2:$AY$76,8,FALSE))+IF(AQ58="",0,VLOOKUP(AQ58,Bausteine!$A$2:$AY$76,8,FALSE))+AJ58</f>
        <v/>
      </c>
      <c r="U58">
        <f>IF(C58="",0,VLOOKUP(C58,Bausteine!$A$2:$AY$76,9,FALSE))+IF(D58="",0,VLOOKUP(D58,Bausteine!$A$2:$AY$76,9,FALSE))+IF(E58="",0,VLOOKUP(E58,Bausteine!$A$2:$AY$76,9,FALSE))+IF(F58="",0,VLOOKUP(F58,Bausteine!$A$2:$AY$76,9,FALSE))+IF(G58="",0,VLOOKUP(G58,Bausteine!$A$2:$AY$76,9,FALSE))+IF(H58="",0,VLOOKUP(H58,Bausteine!$A$2:$AY$76,9,FALSE))+IF(I58="",0,VLOOKUP(I58,Bausteine!$A$2:$AY$76,9,FALSE))+IF(J58="",0,VLOOKUP(J58,Bausteine!$A$2:$AY$76,9,FALSE))+IF(K58="",0,VLOOKUP(K58,Bausteine!$A$2:$AY$76,9,FALSE))+IF(L58="",0,VLOOKUP(L58,Bausteine!$A$2:$AY$76,9,FALSE))+IF(AC58="",0,VLOOKUP(AC58,Bausteine!$A$2:$AY$76,9,FALSE))+IF(AF58="",0,VLOOKUP(AF58,Bausteine!$A$2:$AY$76,9,FALSE))+IF(AG58="",0,VLOOKUP(AG58,Bausteine!$A$2:$AY$76,9,FALSE))+IF(AH58="",0,VLOOKUP(AH58,Bausteine!$A$2:$AY$76,9,FALSE))+IF(AQ58="",0,VLOOKUP(AQ58,Bausteine!$A$2:$AY$76,9,FALSE))</f>
        <v/>
      </c>
      <c r="V58">
        <f>IF(D58="",0,VLOOKUP(D58,Bausteine!$A$2:$AY$76,10,FALSE))-U58/IF(E58="",0,VLOOKUP(E58,Bausteine!$A$2:$AY$76,11,FALSE))</f>
        <v/>
      </c>
      <c r="W58">
        <f>IF(Y58&lt;&gt;"OK","",ROUND(MIN(IF(C58="",0,VLOOKUP(C58,Bausteine!$A$2:$AY$76,21,FALSE)),IF(AQ58="",0,VLOOKUP(AQ58,Bausteine!$A$2:$AY$76,21,FALSE)),IF(C58="",0,VLOOKUP(C58,Bausteine!$A$2:$AY$76,20,FALSE))*(V58/T58/(IF(C58="",0,VLOOKUP(C58,Bausteine!$A$2:$AY$76,19,FALSE))/IF(C58="",0,VLOOKUP(C58,Bausteine!$A$2:$AY$76,18,FALSE))))^Parameter!$B$3),0))</f>
        <v/>
      </c>
      <c r="X58">
        <f>IF(F58="",0,VLOOKUP(F58,Bausteine!$A$2:$AY$76,14,FALSE))</f>
        <v/>
      </c>
      <c r="Y58">
        <f>IFERROR(IF(OR(AD58&lt;=0,AD58&gt;1,R58&lt;=0,T58&lt;=0,V58&lt;=0,U58&gt;IF(E58="",0,VLOOKUP(E58,Bausteine!$A$2:$AY$76,12,FALSE)),T58&gt;MIN(IF(C58="",0,VLOOKUP(C58,Bausteine!$A$2:$AY$76,22,FALSE)),IF(AQ58="",0,VLOOKUP(AQ58,Bausteine!$A$2:$AY$76,22,FALSE))),IF(E58="",0,VLOOKUP(E58,Bausteine!$A$2:$AY$76,11,FALSE))&lt;=0,IF(E58="",0,VLOOKUP(E58,Bausteine!$A$2:$AY$76,11,FALSE))&gt;1),"UNGUELTIG","OK"),"FEHLER")</f>
        <v/>
      </c>
      <c r="Z58" t="n">
        <v>2000</v>
      </c>
      <c r="AA58" t="n">
        <v>50</v>
      </c>
      <c r="AB58" t="inlineStr"/>
      <c r="AC58" t="inlineStr"/>
      <c r="AD58">
        <f>IF(AC58="",1,IF(AC58="",0,VLOOKUP(AC58,Bausteine!$A$2:$AY$76,37,FALSE))/100)</f>
        <v/>
      </c>
      <c r="AE58">
        <f>P58*AD58</f>
        <v/>
      </c>
      <c r="AF58" t="inlineStr"/>
      <c r="AG58" t="inlineStr"/>
      <c r="AH58" t="inlineStr"/>
      <c r="AI58">
        <f>SUMIF(Startbesatzung!$A$2:$A$7,A58,Startbesatzung!$D$2:$D$7)</f>
        <v/>
      </c>
      <c r="AJ58">
        <f>SUMIF(Startbesatzung!$A$2:$A$7,A58,Startbesatzung!$E$2:$E$7)</f>
        <v/>
      </c>
      <c r="AK58">
        <f>MAX(0,IF(Startbesatzung!A2=A58,Startbesatzung!G2,0),IF(Startbesatzung!A3=A58,Startbesatzung!G3,0),IF(Startbesatzung!A4=A58,Startbesatzung!G4,0),IF(Startbesatzung!A5=A58,Startbesatzung!G5,0),IF(Startbesatzung!A6=A58,Startbesatzung!G6,0),IF(Startbesatzung!A7=A58,Startbesatzung!G7,0))</f>
        <v/>
      </c>
      <c r="AL58">
        <f>IF(AF58="","",IF(IF(AH58="",0,VLOOKUP(AH58,Bausteine!$A$2:$AY$76,38,FALSE))&gt;0,IF(AH58="",0,VLOOKUP(AH58,Bausteine!$A$2:$AY$76,38,FALSE)),IF(AG58="",0,VLOOKUP(AG58,Bausteine!$A$2:$AY$76,28,FALSE))))</f>
        <v/>
      </c>
      <c r="AM58">
        <f>IF(AF58="","",IF(AG58="",0,VLOOKUP(AG58,Bausteine!$A$2:$AY$76,44,FALSE)))</f>
        <v/>
      </c>
      <c r="AN58">
        <f>IF(AF58="","",IF(AF58="",0,VLOOKUP(AF58,Bausteine!$A$2:$AY$76,27,FALSE)))</f>
        <v/>
      </c>
      <c r="AO58">
        <f>IF(AF58="","",IF(AF58="",0,VLOOKUP(AF58,Bausteine!$A$2:$AY$76,25,FALSE)))</f>
        <v/>
      </c>
      <c r="AP58">
        <f>IF(AF58="","",IF(AH58="",0,VLOOKUP(AH58,Bausteine!$A$2:$AY$76,29,FALSE)))</f>
        <v/>
      </c>
      <c r="AQ58" t="inlineStr">
        <is>
          <t>walker-heavy</t>
        </is>
      </c>
      <c r="AR58">
        <f>IF(AQ58="",0,VLOOKUP(AQ58,Bausteine!$A$2:$AY$76,48,FALSE))</f>
        <v/>
      </c>
      <c r="AS58">
        <f>MIN(IF(AQ58="",0,VLOOKUP(AQ58,Bausteine!$A$2:$AY$76,50,FALSE)),IF(C58="",0,VLOOKUP(C58,Bausteine!$A$2:$AY$76,51,FALSE)))</f>
        <v/>
      </c>
    </row>
    <row r="59">
      <c r="A59" t="inlineStr">
        <is>
          <t>Juggernaut EMP / baseline</t>
        </is>
      </c>
      <c r="B59" t="inlineStr">
        <is>
          <t>gdi</t>
        </is>
      </c>
      <c r="C59" t="inlineStr">
        <is>
          <t>juggernaut</t>
        </is>
      </c>
      <c r="D59" t="inlineStr">
        <is>
          <t>diesel</t>
        </is>
      </c>
      <c r="E59" t="inlineStr">
        <is>
          <t>baseline-generator</t>
        </is>
      </c>
      <c r="F59" t="inlineStr">
        <is>
          <t>heavy</t>
        </is>
      </c>
      <c r="G59" t="inlineStr">
        <is>
          <t>fixed-triple</t>
        </is>
      </c>
      <c r="H59" t="inlineStr">
        <is>
          <t>artillery</t>
        </is>
      </c>
      <c r="I59" t="inlineStr">
        <is>
          <t>emp-shell</t>
        </is>
      </c>
      <c r="J59" t="inlineStr"/>
      <c r="K59" t="inlineStr"/>
      <c r="L59" t="inlineStr"/>
      <c r="M59">
        <f>IF(C59="",0,VLOOKUP(C59,Bausteine!$A$2:$AY$76,4,FALSE))+IF(D59="",0,VLOOKUP(D59,Bausteine!$A$2:$AY$76,4,FALSE))+IF(E59="",0,VLOOKUP(E59,Bausteine!$A$2:$AY$76,4,FALSE))+IF(F59="",0,VLOOKUP(F59,Bausteine!$A$2:$AY$76,4,FALSE))+IF(G59="",0,VLOOKUP(G59,Bausteine!$A$2:$AY$76,4,FALSE))+IF(H59="",0,VLOOKUP(H59,Bausteine!$A$2:$AY$76,4,FALSE))+IF(I59="",0,VLOOKUP(I59,Bausteine!$A$2:$AY$76,4,FALSE))+IF(J59="",0,VLOOKUP(J59,Bausteine!$A$2:$AY$76,4,FALSE))+IF(K59="",0,VLOOKUP(K59,Bausteine!$A$2:$AY$76,4,FALSE))+IF(L59="",0,VLOOKUP(L59,Bausteine!$A$2:$AY$76,4,FALSE))+IF(AC59="",0,VLOOKUP(AC59,Bausteine!$A$2:$AY$76,4,FALSE))+IF(AF59="",0,VLOOKUP(AF59,Bausteine!$A$2:$AY$76,4,FALSE))+IF(AG59="",0,VLOOKUP(AG59,Bausteine!$A$2:$AY$76,4,FALSE))+IF(AH59="",0,VLOOKUP(AH59,Bausteine!$A$2:$AY$76,4,FALSE))+IF(AQ59="",0,VLOOKUP(AQ59,Bausteine!$A$2:$AY$76,4,FALSE))</f>
        <v/>
      </c>
      <c r="N59">
        <f>IF(C59="",0,VLOOKUP(C59,Bausteine!$A$2:$AY$76,5,FALSE))+IF(D59="",0,VLOOKUP(D59,Bausteine!$A$2:$AY$76,5,FALSE))+IF(E59="",0,VLOOKUP(E59,Bausteine!$A$2:$AY$76,5,FALSE))+IF(F59="",0,VLOOKUP(F59,Bausteine!$A$2:$AY$76,5,FALSE))+IF(G59="",0,VLOOKUP(G59,Bausteine!$A$2:$AY$76,5,FALSE))+IF(H59="",0,VLOOKUP(H59,Bausteine!$A$2:$AY$76,5,FALSE))+IF(I59="",0,VLOOKUP(I59,Bausteine!$A$2:$AY$76,5,FALSE))+IF(J59="",0,VLOOKUP(J59,Bausteine!$A$2:$AY$76,5,FALSE))+IF(K59="",0,VLOOKUP(K59,Bausteine!$A$2:$AY$76,5,FALSE))+IF(L59="",0,VLOOKUP(L59,Bausteine!$A$2:$AY$76,5,FALSE))+IF(AC59="",0,VLOOKUP(AC59,Bausteine!$A$2:$AY$76,5,FALSE))+IF(AF59="",0,VLOOKUP(AF59,Bausteine!$A$2:$AY$76,5,FALSE))+IF(AG59="",0,VLOOKUP(AG59,Bausteine!$A$2:$AY$76,5,FALSE))+IF(AH59="",0,VLOOKUP(AH59,Bausteine!$A$2:$AY$76,5,FALSE))+IF(AQ59="",0,VLOOKUP(AQ59,Bausteine!$A$2:$AY$76,5,FALSE))</f>
        <v/>
      </c>
      <c r="O59">
        <f>MAX(IF(C59="",0,VLOOKUP(C59,Bausteine!$A$2:$AY$76,6,FALSE)),IF(D59="",0,VLOOKUP(D59,Bausteine!$A$2:$AY$76,6,FALSE)),IF(E59="",0,VLOOKUP(E59,Bausteine!$A$2:$AY$76,6,FALSE)),IF(F59="",0,VLOOKUP(F59,Bausteine!$A$2:$AY$76,6,FALSE)),IF(G59="",0,VLOOKUP(G59,Bausteine!$A$2:$AY$76,6,FALSE)),IF(H59="",0,VLOOKUP(H59,Bausteine!$A$2:$AY$76,6,FALSE)),IF(I59="",0,VLOOKUP(I59,Bausteine!$A$2:$AY$76,6,FALSE)),IF(J59="",0,VLOOKUP(J59,Bausteine!$A$2:$AY$76,6,FALSE)),IF(K59="",0,VLOOKUP(K59,Bausteine!$A$2:$AY$76,6,FALSE)),IF(L59="",0,VLOOKUP(L59,Bausteine!$A$2:$AY$76,6,FALSE)),IF(AC59="",0,VLOOKUP(AC59,Bausteine!$A$2:$AY$76,6,FALSE)),IF(AF59="",0,VLOOKUP(AF59,Bausteine!$A$2:$AY$76,6,FALSE)),IF(AG59="",0,VLOOKUP(AG59,Bausteine!$A$2:$AY$76,6,FALSE)),IF(AH59="",0,VLOOKUP(AH59,Bausteine!$A$2:$AY$76,6,FALSE)),IF(AQ59="",0,VLOOKUP(AQ59,Bausteine!$A$2:$AY$76,6,FALSE)),AK59)</f>
        <v/>
      </c>
      <c r="P59">
        <f>IF(C59="",0,VLOOKUP(C59,Bausteine!$A$2:$AY$76,7,FALSE))*IF(F59="",0,VLOOKUP(F59,Bausteine!$A$2:$AY$76,17,FALSE))/100+IF(D59="",0,VLOOKUP(D59,Bausteine!$A$2:$AY$76,7,FALSE))+IF(E59="",0,VLOOKUP(E59,Bausteine!$A$2:$AY$76,7,FALSE))+IF(G59="",0,VLOOKUP(G59,Bausteine!$A$2:$AY$76,7,FALSE))+IF(H59="",0,VLOOKUP(H59,Bausteine!$A$2:$AY$76,7,FALSE))+IF(I59="",0,VLOOKUP(I59,Bausteine!$A$2:$AY$76,7,FALSE))+IF(J59="",0,VLOOKUP(J59,Bausteine!$A$2:$AY$76,7,FALSE))+IF(K59="",0,VLOOKUP(K59,Bausteine!$A$2:$AY$76,7,FALSE))+IF(L59="",0,VLOOKUP(L59,Bausteine!$A$2:$AY$76,7,FALSE))+IF(AC59="",0,VLOOKUP(AC59,Bausteine!$A$2:$AY$76,7,FALSE))+IF(AF59="",0,VLOOKUP(AF59,Bausteine!$A$2:$AY$76,7,FALSE))+IF(AG59="",0,VLOOKUP(AG59,Bausteine!$A$2:$AY$76,7,FALSE))+IF(AH59="",0,VLOOKUP(AH59,Bausteine!$A$2:$AY$76,7,FALSE))+IF(AQ59="",0,VLOOKUP(AQ59,Bausteine!$A$2:$AY$76,7,FALSE))+AI59</f>
        <v/>
      </c>
      <c r="Q59">
        <f>N59*Parameter!$B$2</f>
        <v/>
      </c>
      <c r="R59">
        <f>AE59-Q59</f>
        <v/>
      </c>
      <c r="S59">
        <f>IF(C59="",0,VLOOKUP(C59,Bausteine!$A$2:$AY$76,13,FALSE))*IF(F59="",0,VLOOKUP(F59,Bausteine!$A$2:$AY$76,16,FALSE))/100</f>
        <v/>
      </c>
      <c r="T59">
        <f>IF(C59="",0,VLOOKUP(C59,Bausteine!$A$2:$AY$76,8,FALSE))*IF(F59="",0,VLOOKUP(F59,Bausteine!$A$2:$AY$76,15,FALSE))/100+IF(D59="",0,VLOOKUP(D59,Bausteine!$A$2:$AY$76,8,FALSE))+IF(E59="",0,VLOOKUP(E59,Bausteine!$A$2:$AY$76,8,FALSE))+IF(G59="",0,VLOOKUP(G59,Bausteine!$A$2:$AY$76,8,FALSE))+IF(H59="",0,VLOOKUP(H59,Bausteine!$A$2:$AY$76,8,FALSE))+IF(I59="",0,VLOOKUP(I59,Bausteine!$A$2:$AY$76,8,FALSE))+IF(J59="",0,VLOOKUP(J59,Bausteine!$A$2:$AY$76,8,FALSE))+IF(K59="",0,VLOOKUP(K59,Bausteine!$A$2:$AY$76,8,FALSE))+IF(L59="",0,VLOOKUP(L59,Bausteine!$A$2:$AY$76,8,FALSE))+IF(AC59="",0,VLOOKUP(AC59,Bausteine!$A$2:$AY$76,8,FALSE))+IF(AF59="",0,VLOOKUP(AF59,Bausteine!$A$2:$AY$76,8,FALSE))+IF(AG59="",0,VLOOKUP(AG59,Bausteine!$A$2:$AY$76,8,FALSE))+IF(AH59="",0,VLOOKUP(AH59,Bausteine!$A$2:$AY$76,8,FALSE))+IF(AQ59="",0,VLOOKUP(AQ59,Bausteine!$A$2:$AY$76,8,FALSE))+AJ59</f>
        <v/>
      </c>
      <c r="U59">
        <f>IF(C59="",0,VLOOKUP(C59,Bausteine!$A$2:$AY$76,9,FALSE))+IF(D59="",0,VLOOKUP(D59,Bausteine!$A$2:$AY$76,9,FALSE))+IF(E59="",0,VLOOKUP(E59,Bausteine!$A$2:$AY$76,9,FALSE))+IF(F59="",0,VLOOKUP(F59,Bausteine!$A$2:$AY$76,9,FALSE))+IF(G59="",0,VLOOKUP(G59,Bausteine!$A$2:$AY$76,9,FALSE))+IF(H59="",0,VLOOKUP(H59,Bausteine!$A$2:$AY$76,9,FALSE))+IF(I59="",0,VLOOKUP(I59,Bausteine!$A$2:$AY$76,9,FALSE))+IF(J59="",0,VLOOKUP(J59,Bausteine!$A$2:$AY$76,9,FALSE))+IF(K59="",0,VLOOKUP(K59,Bausteine!$A$2:$AY$76,9,FALSE))+IF(L59="",0,VLOOKUP(L59,Bausteine!$A$2:$AY$76,9,FALSE))+IF(AC59="",0,VLOOKUP(AC59,Bausteine!$A$2:$AY$76,9,FALSE))+IF(AF59="",0,VLOOKUP(AF59,Bausteine!$A$2:$AY$76,9,FALSE))+IF(AG59="",0,VLOOKUP(AG59,Bausteine!$A$2:$AY$76,9,FALSE))+IF(AH59="",0,VLOOKUP(AH59,Bausteine!$A$2:$AY$76,9,FALSE))+IF(AQ59="",0,VLOOKUP(AQ59,Bausteine!$A$2:$AY$76,9,FALSE))</f>
        <v/>
      </c>
      <c r="V59">
        <f>IF(D59="",0,VLOOKUP(D59,Bausteine!$A$2:$AY$76,10,FALSE))-U59/IF(E59="",0,VLOOKUP(E59,Bausteine!$A$2:$AY$76,11,FALSE))</f>
        <v/>
      </c>
      <c r="W59">
        <f>IF(Y59&lt;&gt;"OK","",ROUND(MIN(IF(C59="",0,VLOOKUP(C59,Bausteine!$A$2:$AY$76,21,FALSE)),IF(AQ59="",0,VLOOKUP(AQ59,Bausteine!$A$2:$AY$76,21,FALSE)),IF(C59="",0,VLOOKUP(C59,Bausteine!$A$2:$AY$76,20,FALSE))*(V59/T59/(IF(C59="",0,VLOOKUP(C59,Bausteine!$A$2:$AY$76,19,FALSE))/IF(C59="",0,VLOOKUP(C59,Bausteine!$A$2:$AY$76,18,FALSE))))^Parameter!$B$3),0))</f>
        <v/>
      </c>
      <c r="X59">
        <f>IF(F59="",0,VLOOKUP(F59,Bausteine!$A$2:$AY$76,14,FALSE))</f>
        <v/>
      </c>
      <c r="Y59">
        <f>IFERROR(IF(OR(AD59&lt;=0,AD59&gt;1,R59&lt;=0,T59&lt;=0,V59&lt;=0,U59&gt;IF(E59="",0,VLOOKUP(E59,Bausteine!$A$2:$AY$76,12,FALSE)),T59&gt;MIN(IF(C59="",0,VLOOKUP(C59,Bausteine!$A$2:$AY$76,22,FALSE)),IF(AQ59="",0,VLOOKUP(AQ59,Bausteine!$A$2:$AY$76,22,FALSE))),IF(E59="",0,VLOOKUP(E59,Bausteine!$A$2:$AY$76,11,FALSE))&lt;=0,IF(E59="",0,VLOOKUP(E59,Bausteine!$A$2:$AY$76,11,FALSE))&gt;1),"UNGUELTIG","OK"),"FEHLER")</f>
        <v/>
      </c>
      <c r="Z59" t="n">
        <v>1800</v>
      </c>
      <c r="AA59" t="n">
        <v>45</v>
      </c>
      <c r="AB59" t="inlineStr"/>
      <c r="AC59" t="inlineStr"/>
      <c r="AD59">
        <f>IF(AC59="",1,IF(AC59="",0,VLOOKUP(AC59,Bausteine!$A$2:$AY$76,37,FALSE))/100)</f>
        <v/>
      </c>
      <c r="AE59">
        <f>P59*AD59</f>
        <v/>
      </c>
      <c r="AF59" t="inlineStr"/>
      <c r="AG59" t="inlineStr"/>
      <c r="AH59" t="inlineStr"/>
      <c r="AI59">
        <f>SUMIF(Startbesatzung!$A$2:$A$7,A59,Startbesatzung!$D$2:$D$7)</f>
        <v/>
      </c>
      <c r="AJ59">
        <f>SUMIF(Startbesatzung!$A$2:$A$7,A59,Startbesatzung!$E$2:$E$7)</f>
        <v/>
      </c>
      <c r="AK59">
        <f>MAX(0,IF(Startbesatzung!A2=A59,Startbesatzung!G2,0),IF(Startbesatzung!A3=A59,Startbesatzung!G3,0),IF(Startbesatzung!A4=A59,Startbesatzung!G4,0),IF(Startbesatzung!A5=A59,Startbesatzung!G5,0),IF(Startbesatzung!A6=A59,Startbesatzung!G6,0),IF(Startbesatzung!A7=A59,Startbesatzung!G7,0))</f>
        <v/>
      </c>
      <c r="AL59">
        <f>IF(AF59="","",IF(IF(AH59="",0,VLOOKUP(AH59,Bausteine!$A$2:$AY$76,38,FALSE))&gt;0,IF(AH59="",0,VLOOKUP(AH59,Bausteine!$A$2:$AY$76,38,FALSE)),IF(AG59="",0,VLOOKUP(AG59,Bausteine!$A$2:$AY$76,28,FALSE))))</f>
        <v/>
      </c>
      <c r="AM59">
        <f>IF(AF59="","",IF(AG59="",0,VLOOKUP(AG59,Bausteine!$A$2:$AY$76,44,FALSE)))</f>
        <v/>
      </c>
      <c r="AN59">
        <f>IF(AF59="","",IF(AF59="",0,VLOOKUP(AF59,Bausteine!$A$2:$AY$76,27,FALSE)))</f>
        <v/>
      </c>
      <c r="AO59">
        <f>IF(AF59="","",IF(AF59="",0,VLOOKUP(AF59,Bausteine!$A$2:$AY$76,25,FALSE)))</f>
        <v/>
      </c>
      <c r="AP59">
        <f>IF(AF59="","",IF(AH59="",0,VLOOKUP(AH59,Bausteine!$A$2:$AY$76,29,FALSE)))</f>
        <v/>
      </c>
      <c r="AQ59" t="inlineStr">
        <is>
          <t>walker-heavy</t>
        </is>
      </c>
      <c r="AR59">
        <f>IF(AQ59="",0,VLOOKUP(AQ59,Bausteine!$A$2:$AY$76,48,FALSE))</f>
        <v/>
      </c>
      <c r="AS59">
        <f>MIN(IF(AQ59="",0,VLOOKUP(AQ59,Bausteine!$A$2:$AY$76,50,FALSE)),IF(C59="",0,VLOOKUP(C59,Bausteine!$A$2:$AY$76,51,FALSE)))</f>
        <v/>
      </c>
    </row>
    <row r="60">
      <c r="A60" t="inlineStr">
        <is>
          <t>Juggernaut EMP / efficient</t>
        </is>
      </c>
      <c r="B60" t="inlineStr">
        <is>
          <t>gdi</t>
        </is>
      </c>
      <c r="C60" t="inlineStr">
        <is>
          <t>juggernaut</t>
        </is>
      </c>
      <c r="D60" t="inlineStr">
        <is>
          <t>diesel</t>
        </is>
      </c>
      <c r="E60" t="inlineStr">
        <is>
          <t>efficient-generator</t>
        </is>
      </c>
      <c r="F60" t="inlineStr">
        <is>
          <t>heavy</t>
        </is>
      </c>
      <c r="G60" t="inlineStr">
        <is>
          <t>fixed-triple</t>
        </is>
      </c>
      <c r="H60" t="inlineStr">
        <is>
          <t>artillery</t>
        </is>
      </c>
      <c r="I60" t="inlineStr">
        <is>
          <t>emp-shell</t>
        </is>
      </c>
      <c r="J60" t="inlineStr"/>
      <c r="K60" t="inlineStr"/>
      <c r="L60" t="inlineStr"/>
      <c r="M60">
        <f>IF(C60="",0,VLOOKUP(C60,Bausteine!$A$2:$AY$76,4,FALSE))+IF(D60="",0,VLOOKUP(D60,Bausteine!$A$2:$AY$76,4,FALSE))+IF(E60="",0,VLOOKUP(E60,Bausteine!$A$2:$AY$76,4,FALSE))+IF(F60="",0,VLOOKUP(F60,Bausteine!$A$2:$AY$76,4,FALSE))+IF(G60="",0,VLOOKUP(G60,Bausteine!$A$2:$AY$76,4,FALSE))+IF(H60="",0,VLOOKUP(H60,Bausteine!$A$2:$AY$76,4,FALSE))+IF(I60="",0,VLOOKUP(I60,Bausteine!$A$2:$AY$76,4,FALSE))+IF(J60="",0,VLOOKUP(J60,Bausteine!$A$2:$AY$76,4,FALSE))+IF(K60="",0,VLOOKUP(K60,Bausteine!$A$2:$AY$76,4,FALSE))+IF(L60="",0,VLOOKUP(L60,Bausteine!$A$2:$AY$76,4,FALSE))+IF(AC60="",0,VLOOKUP(AC60,Bausteine!$A$2:$AY$76,4,FALSE))+IF(AF60="",0,VLOOKUP(AF60,Bausteine!$A$2:$AY$76,4,FALSE))+IF(AG60="",0,VLOOKUP(AG60,Bausteine!$A$2:$AY$76,4,FALSE))+IF(AH60="",0,VLOOKUP(AH60,Bausteine!$A$2:$AY$76,4,FALSE))+IF(AQ60="",0,VLOOKUP(AQ60,Bausteine!$A$2:$AY$76,4,FALSE))</f>
        <v/>
      </c>
      <c r="N60">
        <f>IF(C60="",0,VLOOKUP(C60,Bausteine!$A$2:$AY$76,5,FALSE))+IF(D60="",0,VLOOKUP(D60,Bausteine!$A$2:$AY$76,5,FALSE))+IF(E60="",0,VLOOKUP(E60,Bausteine!$A$2:$AY$76,5,FALSE))+IF(F60="",0,VLOOKUP(F60,Bausteine!$A$2:$AY$76,5,FALSE))+IF(G60="",0,VLOOKUP(G60,Bausteine!$A$2:$AY$76,5,FALSE))+IF(H60="",0,VLOOKUP(H60,Bausteine!$A$2:$AY$76,5,FALSE))+IF(I60="",0,VLOOKUP(I60,Bausteine!$A$2:$AY$76,5,FALSE))+IF(J60="",0,VLOOKUP(J60,Bausteine!$A$2:$AY$76,5,FALSE))+IF(K60="",0,VLOOKUP(K60,Bausteine!$A$2:$AY$76,5,FALSE))+IF(L60="",0,VLOOKUP(L60,Bausteine!$A$2:$AY$76,5,FALSE))+IF(AC60="",0,VLOOKUP(AC60,Bausteine!$A$2:$AY$76,5,FALSE))+IF(AF60="",0,VLOOKUP(AF60,Bausteine!$A$2:$AY$76,5,FALSE))+IF(AG60="",0,VLOOKUP(AG60,Bausteine!$A$2:$AY$76,5,FALSE))+IF(AH60="",0,VLOOKUP(AH60,Bausteine!$A$2:$AY$76,5,FALSE))+IF(AQ60="",0,VLOOKUP(AQ60,Bausteine!$A$2:$AY$76,5,FALSE))</f>
        <v/>
      </c>
      <c r="O60">
        <f>MAX(IF(C60="",0,VLOOKUP(C60,Bausteine!$A$2:$AY$76,6,FALSE)),IF(D60="",0,VLOOKUP(D60,Bausteine!$A$2:$AY$76,6,FALSE)),IF(E60="",0,VLOOKUP(E60,Bausteine!$A$2:$AY$76,6,FALSE)),IF(F60="",0,VLOOKUP(F60,Bausteine!$A$2:$AY$76,6,FALSE)),IF(G60="",0,VLOOKUP(G60,Bausteine!$A$2:$AY$76,6,FALSE)),IF(H60="",0,VLOOKUP(H60,Bausteine!$A$2:$AY$76,6,FALSE)),IF(I60="",0,VLOOKUP(I60,Bausteine!$A$2:$AY$76,6,FALSE)),IF(J60="",0,VLOOKUP(J60,Bausteine!$A$2:$AY$76,6,FALSE)),IF(K60="",0,VLOOKUP(K60,Bausteine!$A$2:$AY$76,6,FALSE)),IF(L60="",0,VLOOKUP(L60,Bausteine!$A$2:$AY$76,6,FALSE)),IF(AC60="",0,VLOOKUP(AC60,Bausteine!$A$2:$AY$76,6,FALSE)),IF(AF60="",0,VLOOKUP(AF60,Bausteine!$A$2:$AY$76,6,FALSE)),IF(AG60="",0,VLOOKUP(AG60,Bausteine!$A$2:$AY$76,6,FALSE)),IF(AH60="",0,VLOOKUP(AH60,Bausteine!$A$2:$AY$76,6,FALSE)),IF(AQ60="",0,VLOOKUP(AQ60,Bausteine!$A$2:$AY$76,6,FALSE)),AK60)</f>
        <v/>
      </c>
      <c r="P60">
        <f>IF(C60="",0,VLOOKUP(C60,Bausteine!$A$2:$AY$76,7,FALSE))*IF(F60="",0,VLOOKUP(F60,Bausteine!$A$2:$AY$76,17,FALSE))/100+IF(D60="",0,VLOOKUP(D60,Bausteine!$A$2:$AY$76,7,FALSE))+IF(E60="",0,VLOOKUP(E60,Bausteine!$A$2:$AY$76,7,FALSE))+IF(G60="",0,VLOOKUP(G60,Bausteine!$A$2:$AY$76,7,FALSE))+IF(H60="",0,VLOOKUP(H60,Bausteine!$A$2:$AY$76,7,FALSE))+IF(I60="",0,VLOOKUP(I60,Bausteine!$A$2:$AY$76,7,FALSE))+IF(J60="",0,VLOOKUP(J60,Bausteine!$A$2:$AY$76,7,FALSE))+IF(K60="",0,VLOOKUP(K60,Bausteine!$A$2:$AY$76,7,FALSE))+IF(L60="",0,VLOOKUP(L60,Bausteine!$A$2:$AY$76,7,FALSE))+IF(AC60="",0,VLOOKUP(AC60,Bausteine!$A$2:$AY$76,7,FALSE))+IF(AF60="",0,VLOOKUP(AF60,Bausteine!$A$2:$AY$76,7,FALSE))+IF(AG60="",0,VLOOKUP(AG60,Bausteine!$A$2:$AY$76,7,FALSE))+IF(AH60="",0,VLOOKUP(AH60,Bausteine!$A$2:$AY$76,7,FALSE))+IF(AQ60="",0,VLOOKUP(AQ60,Bausteine!$A$2:$AY$76,7,FALSE))+AI60</f>
        <v/>
      </c>
      <c r="Q60">
        <f>N60*Parameter!$B$2</f>
        <v/>
      </c>
      <c r="R60">
        <f>AE60-Q60</f>
        <v/>
      </c>
      <c r="S60">
        <f>IF(C60="",0,VLOOKUP(C60,Bausteine!$A$2:$AY$76,13,FALSE))*IF(F60="",0,VLOOKUP(F60,Bausteine!$A$2:$AY$76,16,FALSE))/100</f>
        <v/>
      </c>
      <c r="T60">
        <f>IF(C60="",0,VLOOKUP(C60,Bausteine!$A$2:$AY$76,8,FALSE))*IF(F60="",0,VLOOKUP(F60,Bausteine!$A$2:$AY$76,15,FALSE))/100+IF(D60="",0,VLOOKUP(D60,Bausteine!$A$2:$AY$76,8,FALSE))+IF(E60="",0,VLOOKUP(E60,Bausteine!$A$2:$AY$76,8,FALSE))+IF(G60="",0,VLOOKUP(G60,Bausteine!$A$2:$AY$76,8,FALSE))+IF(H60="",0,VLOOKUP(H60,Bausteine!$A$2:$AY$76,8,FALSE))+IF(I60="",0,VLOOKUP(I60,Bausteine!$A$2:$AY$76,8,FALSE))+IF(J60="",0,VLOOKUP(J60,Bausteine!$A$2:$AY$76,8,FALSE))+IF(K60="",0,VLOOKUP(K60,Bausteine!$A$2:$AY$76,8,FALSE))+IF(L60="",0,VLOOKUP(L60,Bausteine!$A$2:$AY$76,8,FALSE))+IF(AC60="",0,VLOOKUP(AC60,Bausteine!$A$2:$AY$76,8,FALSE))+IF(AF60="",0,VLOOKUP(AF60,Bausteine!$A$2:$AY$76,8,FALSE))+IF(AG60="",0,VLOOKUP(AG60,Bausteine!$A$2:$AY$76,8,FALSE))+IF(AH60="",0,VLOOKUP(AH60,Bausteine!$A$2:$AY$76,8,FALSE))+IF(AQ60="",0,VLOOKUP(AQ60,Bausteine!$A$2:$AY$76,8,FALSE))+AJ60</f>
        <v/>
      </c>
      <c r="U60">
        <f>IF(C60="",0,VLOOKUP(C60,Bausteine!$A$2:$AY$76,9,FALSE))+IF(D60="",0,VLOOKUP(D60,Bausteine!$A$2:$AY$76,9,FALSE))+IF(E60="",0,VLOOKUP(E60,Bausteine!$A$2:$AY$76,9,FALSE))+IF(F60="",0,VLOOKUP(F60,Bausteine!$A$2:$AY$76,9,FALSE))+IF(G60="",0,VLOOKUP(G60,Bausteine!$A$2:$AY$76,9,FALSE))+IF(H60="",0,VLOOKUP(H60,Bausteine!$A$2:$AY$76,9,FALSE))+IF(I60="",0,VLOOKUP(I60,Bausteine!$A$2:$AY$76,9,FALSE))+IF(J60="",0,VLOOKUP(J60,Bausteine!$A$2:$AY$76,9,FALSE))+IF(K60="",0,VLOOKUP(K60,Bausteine!$A$2:$AY$76,9,FALSE))+IF(L60="",0,VLOOKUP(L60,Bausteine!$A$2:$AY$76,9,FALSE))+IF(AC60="",0,VLOOKUP(AC60,Bausteine!$A$2:$AY$76,9,FALSE))+IF(AF60="",0,VLOOKUP(AF60,Bausteine!$A$2:$AY$76,9,FALSE))+IF(AG60="",0,VLOOKUP(AG60,Bausteine!$A$2:$AY$76,9,FALSE))+IF(AH60="",0,VLOOKUP(AH60,Bausteine!$A$2:$AY$76,9,FALSE))+IF(AQ60="",0,VLOOKUP(AQ60,Bausteine!$A$2:$AY$76,9,FALSE))</f>
        <v/>
      </c>
      <c r="V60">
        <f>IF(D60="",0,VLOOKUP(D60,Bausteine!$A$2:$AY$76,10,FALSE))-U60/IF(E60="",0,VLOOKUP(E60,Bausteine!$A$2:$AY$76,11,FALSE))</f>
        <v/>
      </c>
      <c r="W60">
        <f>IF(Y60&lt;&gt;"OK","",ROUND(MIN(IF(C60="",0,VLOOKUP(C60,Bausteine!$A$2:$AY$76,21,FALSE)),IF(AQ60="",0,VLOOKUP(AQ60,Bausteine!$A$2:$AY$76,21,FALSE)),IF(C60="",0,VLOOKUP(C60,Bausteine!$A$2:$AY$76,20,FALSE))*(V60/T60/(IF(C60="",0,VLOOKUP(C60,Bausteine!$A$2:$AY$76,19,FALSE))/IF(C60="",0,VLOOKUP(C60,Bausteine!$A$2:$AY$76,18,FALSE))))^Parameter!$B$3),0))</f>
        <v/>
      </c>
      <c r="X60">
        <f>IF(F60="",0,VLOOKUP(F60,Bausteine!$A$2:$AY$76,14,FALSE))</f>
        <v/>
      </c>
      <c r="Y60">
        <f>IFERROR(IF(OR(AD60&lt;=0,AD60&gt;1,R60&lt;=0,T60&lt;=0,V60&lt;=0,U60&gt;IF(E60="",0,VLOOKUP(E60,Bausteine!$A$2:$AY$76,12,FALSE)),T60&gt;MIN(IF(C60="",0,VLOOKUP(C60,Bausteine!$A$2:$AY$76,22,FALSE)),IF(AQ60="",0,VLOOKUP(AQ60,Bausteine!$A$2:$AY$76,22,FALSE))),IF(E60="",0,VLOOKUP(E60,Bausteine!$A$2:$AY$76,11,FALSE))&lt;=0,IF(E60="",0,VLOOKUP(E60,Bausteine!$A$2:$AY$76,11,FALSE))&gt;1),"UNGUELTIG","OK"),"FEHLER")</f>
        <v/>
      </c>
      <c r="Z60" t="n">
        <v>2000</v>
      </c>
      <c r="AA60" t="n">
        <v>50</v>
      </c>
      <c r="AB60" t="inlineStr"/>
      <c r="AC60" t="inlineStr"/>
      <c r="AD60">
        <f>IF(AC60="",1,IF(AC60="",0,VLOOKUP(AC60,Bausteine!$A$2:$AY$76,37,FALSE))/100)</f>
        <v/>
      </c>
      <c r="AE60">
        <f>P60*AD60</f>
        <v/>
      </c>
      <c r="AF60" t="inlineStr"/>
      <c r="AG60" t="inlineStr"/>
      <c r="AH60" t="inlineStr"/>
      <c r="AI60">
        <f>SUMIF(Startbesatzung!$A$2:$A$7,A60,Startbesatzung!$D$2:$D$7)</f>
        <v/>
      </c>
      <c r="AJ60">
        <f>SUMIF(Startbesatzung!$A$2:$A$7,A60,Startbesatzung!$E$2:$E$7)</f>
        <v/>
      </c>
      <c r="AK60">
        <f>MAX(0,IF(Startbesatzung!A2=A60,Startbesatzung!G2,0),IF(Startbesatzung!A3=A60,Startbesatzung!G3,0),IF(Startbesatzung!A4=A60,Startbesatzung!G4,0),IF(Startbesatzung!A5=A60,Startbesatzung!G5,0),IF(Startbesatzung!A6=A60,Startbesatzung!G6,0),IF(Startbesatzung!A7=A60,Startbesatzung!G7,0))</f>
        <v/>
      </c>
      <c r="AL60">
        <f>IF(AF60="","",IF(IF(AH60="",0,VLOOKUP(AH60,Bausteine!$A$2:$AY$76,38,FALSE))&gt;0,IF(AH60="",0,VLOOKUP(AH60,Bausteine!$A$2:$AY$76,38,FALSE)),IF(AG60="",0,VLOOKUP(AG60,Bausteine!$A$2:$AY$76,28,FALSE))))</f>
        <v/>
      </c>
      <c r="AM60">
        <f>IF(AF60="","",IF(AG60="",0,VLOOKUP(AG60,Bausteine!$A$2:$AY$76,44,FALSE)))</f>
        <v/>
      </c>
      <c r="AN60">
        <f>IF(AF60="","",IF(AF60="",0,VLOOKUP(AF60,Bausteine!$A$2:$AY$76,27,FALSE)))</f>
        <v/>
      </c>
      <c r="AO60">
        <f>IF(AF60="","",IF(AF60="",0,VLOOKUP(AF60,Bausteine!$A$2:$AY$76,25,FALSE)))</f>
        <v/>
      </c>
      <c r="AP60">
        <f>IF(AF60="","",IF(AH60="",0,VLOOKUP(AH60,Bausteine!$A$2:$AY$76,29,FALSE)))</f>
        <v/>
      </c>
      <c r="AQ60" t="inlineStr">
        <is>
          <t>walker-heavy</t>
        </is>
      </c>
      <c r="AR60">
        <f>IF(AQ60="",0,VLOOKUP(AQ60,Bausteine!$A$2:$AY$76,48,FALSE))</f>
        <v/>
      </c>
      <c r="AS60">
        <f>MIN(IF(AQ60="",0,VLOOKUP(AQ60,Bausteine!$A$2:$AY$76,50,FALSE)),IF(C60="",0,VLOOKUP(C60,Bausteine!$A$2:$AY$76,51,FALSE)))</f>
        <v/>
      </c>
    </row>
    <row r="61">
      <c r="A61" t="inlineStr">
        <is>
          <t>Heavy Tesla Tank baseline</t>
        </is>
      </c>
      <c r="B61" t="inlineStr">
        <is>
          <t>soviet</t>
        </is>
      </c>
      <c r="C61" t="inlineStr">
        <is>
          <t>heavy-tesla</t>
        </is>
      </c>
      <c r="D61" t="inlineStr">
        <is>
          <t>diesel</t>
        </is>
      </c>
      <c r="E61" t="inlineStr">
        <is>
          <t>baseline-generator</t>
        </is>
      </c>
      <c r="F61" t="inlineStr">
        <is>
          <t>heavy</t>
        </is>
      </c>
      <c r="G61" t="inlineStr">
        <is>
          <t>twin-coil</t>
        </is>
      </c>
      <c r="H61" t="inlineStr">
        <is>
          <t>tesla</t>
        </is>
      </c>
      <c r="I61" t="inlineStr">
        <is>
          <t>discharge</t>
        </is>
      </c>
      <c r="J61" t="inlineStr"/>
      <c r="K61" t="inlineStr"/>
      <c r="L61" t="inlineStr"/>
      <c r="M61">
        <f>IF(C61="",0,VLOOKUP(C61,Bausteine!$A$2:$AY$76,4,FALSE))+IF(D61="",0,VLOOKUP(D61,Bausteine!$A$2:$AY$76,4,FALSE))+IF(E61="",0,VLOOKUP(E61,Bausteine!$A$2:$AY$76,4,FALSE))+IF(F61="",0,VLOOKUP(F61,Bausteine!$A$2:$AY$76,4,FALSE))+IF(G61="",0,VLOOKUP(G61,Bausteine!$A$2:$AY$76,4,FALSE))+IF(H61="",0,VLOOKUP(H61,Bausteine!$A$2:$AY$76,4,FALSE))+IF(I61="",0,VLOOKUP(I61,Bausteine!$A$2:$AY$76,4,FALSE))+IF(J61="",0,VLOOKUP(J61,Bausteine!$A$2:$AY$76,4,FALSE))+IF(K61="",0,VLOOKUP(K61,Bausteine!$A$2:$AY$76,4,FALSE))+IF(L61="",0,VLOOKUP(L61,Bausteine!$A$2:$AY$76,4,FALSE))+IF(AC61="",0,VLOOKUP(AC61,Bausteine!$A$2:$AY$76,4,FALSE))+IF(AF61="",0,VLOOKUP(AF61,Bausteine!$A$2:$AY$76,4,FALSE))+IF(AG61="",0,VLOOKUP(AG61,Bausteine!$A$2:$AY$76,4,FALSE))+IF(AH61="",0,VLOOKUP(AH61,Bausteine!$A$2:$AY$76,4,FALSE))+IF(AQ61="",0,VLOOKUP(AQ61,Bausteine!$A$2:$AY$76,4,FALSE))</f>
        <v/>
      </c>
      <c r="N61">
        <f>IF(C61="",0,VLOOKUP(C61,Bausteine!$A$2:$AY$76,5,FALSE))+IF(D61="",0,VLOOKUP(D61,Bausteine!$A$2:$AY$76,5,FALSE))+IF(E61="",0,VLOOKUP(E61,Bausteine!$A$2:$AY$76,5,FALSE))+IF(F61="",0,VLOOKUP(F61,Bausteine!$A$2:$AY$76,5,FALSE))+IF(G61="",0,VLOOKUP(G61,Bausteine!$A$2:$AY$76,5,FALSE))+IF(H61="",0,VLOOKUP(H61,Bausteine!$A$2:$AY$76,5,FALSE))+IF(I61="",0,VLOOKUP(I61,Bausteine!$A$2:$AY$76,5,FALSE))+IF(J61="",0,VLOOKUP(J61,Bausteine!$A$2:$AY$76,5,FALSE))+IF(K61="",0,VLOOKUP(K61,Bausteine!$A$2:$AY$76,5,FALSE))+IF(L61="",0,VLOOKUP(L61,Bausteine!$A$2:$AY$76,5,FALSE))+IF(AC61="",0,VLOOKUP(AC61,Bausteine!$A$2:$AY$76,5,FALSE))+IF(AF61="",0,VLOOKUP(AF61,Bausteine!$A$2:$AY$76,5,FALSE))+IF(AG61="",0,VLOOKUP(AG61,Bausteine!$A$2:$AY$76,5,FALSE))+IF(AH61="",0,VLOOKUP(AH61,Bausteine!$A$2:$AY$76,5,FALSE))+IF(AQ61="",0,VLOOKUP(AQ61,Bausteine!$A$2:$AY$76,5,FALSE))</f>
        <v/>
      </c>
      <c r="O61">
        <f>MAX(IF(C61="",0,VLOOKUP(C61,Bausteine!$A$2:$AY$76,6,FALSE)),IF(D61="",0,VLOOKUP(D61,Bausteine!$A$2:$AY$76,6,FALSE)),IF(E61="",0,VLOOKUP(E61,Bausteine!$A$2:$AY$76,6,FALSE)),IF(F61="",0,VLOOKUP(F61,Bausteine!$A$2:$AY$76,6,FALSE)),IF(G61="",0,VLOOKUP(G61,Bausteine!$A$2:$AY$76,6,FALSE)),IF(H61="",0,VLOOKUP(H61,Bausteine!$A$2:$AY$76,6,FALSE)),IF(I61="",0,VLOOKUP(I61,Bausteine!$A$2:$AY$76,6,FALSE)),IF(J61="",0,VLOOKUP(J61,Bausteine!$A$2:$AY$76,6,FALSE)),IF(K61="",0,VLOOKUP(K61,Bausteine!$A$2:$AY$76,6,FALSE)),IF(L61="",0,VLOOKUP(L61,Bausteine!$A$2:$AY$76,6,FALSE)),IF(AC61="",0,VLOOKUP(AC61,Bausteine!$A$2:$AY$76,6,FALSE)),IF(AF61="",0,VLOOKUP(AF61,Bausteine!$A$2:$AY$76,6,FALSE)),IF(AG61="",0,VLOOKUP(AG61,Bausteine!$A$2:$AY$76,6,FALSE)),IF(AH61="",0,VLOOKUP(AH61,Bausteine!$A$2:$AY$76,6,FALSE)),IF(AQ61="",0,VLOOKUP(AQ61,Bausteine!$A$2:$AY$76,6,FALSE)),AK61)</f>
        <v/>
      </c>
      <c r="P61">
        <f>IF(C61="",0,VLOOKUP(C61,Bausteine!$A$2:$AY$76,7,FALSE))*IF(F61="",0,VLOOKUP(F61,Bausteine!$A$2:$AY$76,17,FALSE))/100+IF(D61="",0,VLOOKUP(D61,Bausteine!$A$2:$AY$76,7,FALSE))+IF(E61="",0,VLOOKUP(E61,Bausteine!$A$2:$AY$76,7,FALSE))+IF(G61="",0,VLOOKUP(G61,Bausteine!$A$2:$AY$76,7,FALSE))+IF(H61="",0,VLOOKUP(H61,Bausteine!$A$2:$AY$76,7,FALSE))+IF(I61="",0,VLOOKUP(I61,Bausteine!$A$2:$AY$76,7,FALSE))+IF(J61="",0,VLOOKUP(J61,Bausteine!$A$2:$AY$76,7,FALSE))+IF(K61="",0,VLOOKUP(K61,Bausteine!$A$2:$AY$76,7,FALSE))+IF(L61="",0,VLOOKUP(L61,Bausteine!$A$2:$AY$76,7,FALSE))+IF(AC61="",0,VLOOKUP(AC61,Bausteine!$A$2:$AY$76,7,FALSE))+IF(AF61="",0,VLOOKUP(AF61,Bausteine!$A$2:$AY$76,7,FALSE))+IF(AG61="",0,VLOOKUP(AG61,Bausteine!$A$2:$AY$76,7,FALSE))+IF(AH61="",0,VLOOKUP(AH61,Bausteine!$A$2:$AY$76,7,FALSE))+IF(AQ61="",0,VLOOKUP(AQ61,Bausteine!$A$2:$AY$76,7,FALSE))+AI61</f>
        <v/>
      </c>
      <c r="Q61">
        <f>N61*Parameter!$B$2</f>
        <v/>
      </c>
      <c r="R61">
        <f>AE61-Q61</f>
        <v/>
      </c>
      <c r="S61">
        <f>IF(C61="",0,VLOOKUP(C61,Bausteine!$A$2:$AY$76,13,FALSE))*IF(F61="",0,VLOOKUP(F61,Bausteine!$A$2:$AY$76,16,FALSE))/100</f>
        <v/>
      </c>
      <c r="T61">
        <f>IF(C61="",0,VLOOKUP(C61,Bausteine!$A$2:$AY$76,8,FALSE))*IF(F61="",0,VLOOKUP(F61,Bausteine!$A$2:$AY$76,15,FALSE))/100+IF(D61="",0,VLOOKUP(D61,Bausteine!$A$2:$AY$76,8,FALSE))+IF(E61="",0,VLOOKUP(E61,Bausteine!$A$2:$AY$76,8,FALSE))+IF(G61="",0,VLOOKUP(G61,Bausteine!$A$2:$AY$76,8,FALSE))+IF(H61="",0,VLOOKUP(H61,Bausteine!$A$2:$AY$76,8,FALSE))+IF(I61="",0,VLOOKUP(I61,Bausteine!$A$2:$AY$76,8,FALSE))+IF(J61="",0,VLOOKUP(J61,Bausteine!$A$2:$AY$76,8,FALSE))+IF(K61="",0,VLOOKUP(K61,Bausteine!$A$2:$AY$76,8,FALSE))+IF(L61="",0,VLOOKUP(L61,Bausteine!$A$2:$AY$76,8,FALSE))+IF(AC61="",0,VLOOKUP(AC61,Bausteine!$A$2:$AY$76,8,FALSE))+IF(AF61="",0,VLOOKUP(AF61,Bausteine!$A$2:$AY$76,8,FALSE))+IF(AG61="",0,VLOOKUP(AG61,Bausteine!$A$2:$AY$76,8,FALSE))+IF(AH61="",0,VLOOKUP(AH61,Bausteine!$A$2:$AY$76,8,FALSE))+IF(AQ61="",0,VLOOKUP(AQ61,Bausteine!$A$2:$AY$76,8,FALSE))+AJ61</f>
        <v/>
      </c>
      <c r="U61">
        <f>IF(C61="",0,VLOOKUP(C61,Bausteine!$A$2:$AY$76,9,FALSE))+IF(D61="",0,VLOOKUP(D61,Bausteine!$A$2:$AY$76,9,FALSE))+IF(E61="",0,VLOOKUP(E61,Bausteine!$A$2:$AY$76,9,FALSE))+IF(F61="",0,VLOOKUP(F61,Bausteine!$A$2:$AY$76,9,FALSE))+IF(G61="",0,VLOOKUP(G61,Bausteine!$A$2:$AY$76,9,FALSE))+IF(H61="",0,VLOOKUP(H61,Bausteine!$A$2:$AY$76,9,FALSE))+IF(I61="",0,VLOOKUP(I61,Bausteine!$A$2:$AY$76,9,FALSE))+IF(J61="",0,VLOOKUP(J61,Bausteine!$A$2:$AY$76,9,FALSE))+IF(K61="",0,VLOOKUP(K61,Bausteine!$A$2:$AY$76,9,FALSE))+IF(L61="",0,VLOOKUP(L61,Bausteine!$A$2:$AY$76,9,FALSE))+IF(AC61="",0,VLOOKUP(AC61,Bausteine!$A$2:$AY$76,9,FALSE))+IF(AF61="",0,VLOOKUP(AF61,Bausteine!$A$2:$AY$76,9,FALSE))+IF(AG61="",0,VLOOKUP(AG61,Bausteine!$A$2:$AY$76,9,FALSE))+IF(AH61="",0,VLOOKUP(AH61,Bausteine!$A$2:$AY$76,9,FALSE))+IF(AQ61="",0,VLOOKUP(AQ61,Bausteine!$A$2:$AY$76,9,FALSE))</f>
        <v/>
      </c>
      <c r="V61">
        <f>IF(D61="",0,VLOOKUP(D61,Bausteine!$A$2:$AY$76,10,FALSE))-U61/IF(E61="",0,VLOOKUP(E61,Bausteine!$A$2:$AY$76,11,FALSE))</f>
        <v/>
      </c>
      <c r="W61">
        <f>IF(Y61&lt;&gt;"OK","",ROUND(MIN(IF(C61="",0,VLOOKUP(C61,Bausteine!$A$2:$AY$76,21,FALSE)),IF(AQ61="",0,VLOOKUP(AQ61,Bausteine!$A$2:$AY$76,21,FALSE)),IF(C61="",0,VLOOKUP(C61,Bausteine!$A$2:$AY$76,20,FALSE))*(V61/T61/(IF(C61="",0,VLOOKUP(C61,Bausteine!$A$2:$AY$76,19,FALSE))/IF(C61="",0,VLOOKUP(C61,Bausteine!$A$2:$AY$76,18,FALSE))))^Parameter!$B$3),0))</f>
        <v/>
      </c>
      <c r="X61">
        <f>IF(F61="",0,VLOOKUP(F61,Bausteine!$A$2:$AY$76,14,FALSE))</f>
        <v/>
      </c>
      <c r="Y61">
        <f>IFERROR(IF(OR(AD61&lt;=0,AD61&gt;1,R61&lt;=0,T61&lt;=0,V61&lt;=0,U61&gt;IF(E61="",0,VLOOKUP(E61,Bausteine!$A$2:$AY$76,12,FALSE)),T61&gt;MIN(IF(C61="",0,VLOOKUP(C61,Bausteine!$A$2:$AY$76,22,FALSE)),IF(AQ61="",0,VLOOKUP(AQ61,Bausteine!$A$2:$AY$76,22,FALSE))),IF(E61="",0,VLOOKUP(E61,Bausteine!$A$2:$AY$76,11,FALSE))&lt;=0,IF(E61="",0,VLOOKUP(E61,Bausteine!$A$2:$AY$76,11,FALSE))&gt;1),"UNGUELTIG","OK"),"FEHLER")</f>
        <v/>
      </c>
      <c r="Z61" t="n">
        <v>1350</v>
      </c>
      <c r="AA61" t="n">
        <v>100</v>
      </c>
      <c r="AB61" t="inlineStr"/>
      <c r="AC61" t="inlineStr"/>
      <c r="AD61">
        <f>IF(AC61="",1,IF(AC61="",0,VLOOKUP(AC61,Bausteine!$A$2:$AY$76,37,FALSE))/100)</f>
        <v/>
      </c>
      <c r="AE61">
        <f>P61*AD61</f>
        <v/>
      </c>
      <c r="AF61" t="inlineStr"/>
      <c r="AG61" t="inlineStr"/>
      <c r="AH61" t="inlineStr"/>
      <c r="AI61">
        <f>SUMIF(Startbesatzung!$A$2:$A$7,A61,Startbesatzung!$D$2:$D$7)</f>
        <v/>
      </c>
      <c r="AJ61">
        <f>SUMIF(Startbesatzung!$A$2:$A$7,A61,Startbesatzung!$E$2:$E$7)</f>
        <v/>
      </c>
      <c r="AK61">
        <f>MAX(0,IF(Startbesatzung!A2=A61,Startbesatzung!G2,0),IF(Startbesatzung!A3=A61,Startbesatzung!G3,0),IF(Startbesatzung!A4=A61,Startbesatzung!G4,0),IF(Startbesatzung!A5=A61,Startbesatzung!G5,0),IF(Startbesatzung!A6=A61,Startbesatzung!G6,0),IF(Startbesatzung!A7=A61,Startbesatzung!G7,0))</f>
        <v/>
      </c>
      <c r="AL61">
        <f>IF(AF61="","",IF(IF(AH61="",0,VLOOKUP(AH61,Bausteine!$A$2:$AY$76,38,FALSE))&gt;0,IF(AH61="",0,VLOOKUP(AH61,Bausteine!$A$2:$AY$76,38,FALSE)),IF(AG61="",0,VLOOKUP(AG61,Bausteine!$A$2:$AY$76,28,FALSE))))</f>
        <v/>
      </c>
      <c r="AM61">
        <f>IF(AF61="","",IF(AG61="",0,VLOOKUP(AG61,Bausteine!$A$2:$AY$76,44,FALSE)))</f>
        <v/>
      </c>
      <c r="AN61">
        <f>IF(AF61="","",IF(AF61="",0,VLOOKUP(AF61,Bausteine!$A$2:$AY$76,27,FALSE)))</f>
        <v/>
      </c>
      <c r="AO61">
        <f>IF(AF61="","",IF(AF61="",0,VLOOKUP(AF61,Bausteine!$A$2:$AY$76,25,FALSE)))</f>
        <v/>
      </c>
      <c r="AP61">
        <f>IF(AF61="","",IF(AH61="",0,VLOOKUP(AH61,Bausteine!$A$2:$AY$76,29,FALSE)))</f>
        <v/>
      </c>
      <c r="AQ61" t="inlineStr">
        <is>
          <t>tracks-standard</t>
        </is>
      </c>
      <c r="AR61">
        <f>IF(AQ61="",0,VLOOKUP(AQ61,Bausteine!$A$2:$AY$76,48,FALSE))</f>
        <v/>
      </c>
      <c r="AS61">
        <f>MIN(IF(AQ61="",0,VLOOKUP(AQ61,Bausteine!$A$2:$AY$76,50,FALSE)),IF(C61="",0,VLOOKUP(C61,Bausteine!$A$2:$AY$76,51,FALSE)))</f>
        <v/>
      </c>
    </row>
  </sheetData>
  <dataValidations count="1">
    <dataValidation sqref="C2:L61 AC2:AC61 AF2:AH61 AQ2:AQ61" showDropDown="0" showInputMessage="0" showErrorMessage="1" allowBlank="0" errorTitle="Unbekannter Baustein" error="Bitte eine vorhandene ID wählen." type="list">
      <formula1>ComponentIDs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Locomotor</t>
        </is>
      </c>
      <c r="B1" s="1" t="inlineStr">
        <is>
          <t>Quelle</t>
        </is>
      </c>
      <c r="C1" s="1" t="inlineStr">
        <is>
          <t>Ueberfahren</t>
        </is>
      </c>
      <c r="D1" s="1" t="inlineStr">
        <is>
          <t>Clear</t>
        </is>
      </c>
      <c r="E1" s="1" t="inlineStr">
        <is>
          <t>Rough</t>
        </is>
      </c>
      <c r="F1" s="1" t="inlineStr">
        <is>
          <t>Road</t>
        </is>
      </c>
      <c r="G1" s="1" t="inlineStr">
        <is>
          <t>Bridge</t>
        </is>
      </c>
      <c r="H1" s="1" t="inlineStr">
        <is>
          <t>Ford</t>
        </is>
      </c>
      <c r="I1" s="1" t="inlineStr">
        <is>
          <t>Ore</t>
        </is>
      </c>
      <c r="J1" s="1" t="inlineStr">
        <is>
          <t>Gems</t>
        </is>
      </c>
      <c r="K1" s="1" t="inlineStr">
        <is>
          <t>Tiberium</t>
        </is>
      </c>
      <c r="L1" s="1" t="inlineStr">
        <is>
          <t>BlueTiberium</t>
        </is>
      </c>
      <c r="M1" s="1" t="inlineStr">
        <is>
          <t>Beach</t>
        </is>
      </c>
    </row>
    <row r="2">
      <c r="A2" t="inlineStr">
        <is>
          <t>wheeled</t>
        </is>
      </c>
      <c r="B2" t="inlineStr">
        <is>
          <t>mods/ca/rules/world.yaml: ^BaseWorld / Locomotor@WHEELED</t>
        </is>
      </c>
      <c r="C2" t="inlineStr">
        <is>
          <t>mine, crate, beacon</t>
        </is>
      </c>
      <c r="D2" t="n">
        <v>100</v>
      </c>
      <c r="E2" t="n">
        <v>75</v>
      </c>
      <c r="F2" t="n">
        <v>125</v>
      </c>
      <c r="G2" t="n">
        <v>125</v>
      </c>
      <c r="H2" t="n">
        <v>75</v>
      </c>
      <c r="I2" t="n">
        <v>88</v>
      </c>
      <c r="J2" t="n">
        <v>88</v>
      </c>
      <c r="K2" t="n">
        <v>88</v>
      </c>
      <c r="L2" t="n">
        <v>88</v>
      </c>
      <c r="M2" t="n">
        <v>50</v>
      </c>
    </row>
    <row r="3">
      <c r="A3" t="inlineStr">
        <is>
          <t>tracked</t>
        </is>
      </c>
      <c r="B3" t="inlineStr">
        <is>
          <t>mods/ca/rules/world.yaml: ^BaseWorld / Locomotor@TRACKED</t>
        </is>
      </c>
      <c r="C3" t="inlineStr">
        <is>
          <t>wall, infantry, mine, crate, beacon, lightwall</t>
        </is>
      </c>
      <c r="D3" t="n">
        <v>100</v>
      </c>
      <c r="E3" t="n">
        <v>88</v>
      </c>
      <c r="F3" t="n">
        <v>125</v>
      </c>
      <c r="G3" t="n">
        <v>125</v>
      </c>
      <c r="H3" t="n">
        <v>88</v>
      </c>
      <c r="I3" t="n">
        <v>88</v>
      </c>
      <c r="J3" t="n">
        <v>88</v>
      </c>
      <c r="K3" t="n">
        <v>88</v>
      </c>
      <c r="L3" t="n">
        <v>88</v>
      </c>
      <c r="M3" t="n">
        <v>88</v>
      </c>
    </row>
    <row r="4">
      <c r="A4" t="inlineStr">
        <is>
          <t>lighttracked</t>
        </is>
      </c>
      <c r="B4" t="inlineStr">
        <is>
          <t>mods/ca/rules/world.yaml: ^BaseWorld / Locomotor@LIGHTTRACKED</t>
        </is>
      </c>
      <c r="C4" t="inlineStr">
        <is>
          <t>wall, mine, crate, beacon, lightwall</t>
        </is>
      </c>
      <c r="D4" t="n">
        <v>100</v>
      </c>
      <c r="E4" t="n">
        <v>88</v>
      </c>
      <c r="F4" t="n">
        <v>125</v>
      </c>
      <c r="G4" t="n">
        <v>125</v>
      </c>
      <c r="H4" t="n">
        <v>88</v>
      </c>
      <c r="I4" t="n">
        <v>88</v>
      </c>
      <c r="J4" t="n">
        <v>88</v>
      </c>
      <c r="K4" t="n">
        <v>88</v>
      </c>
      <c r="L4" t="n">
        <v>88</v>
      </c>
      <c r="M4" t="n">
        <v>88</v>
      </c>
    </row>
    <row r="5">
      <c r="A5" t="inlineStr">
        <is>
          <t>sheavytracked</t>
        </is>
      </c>
      <c r="B5" t="inlineStr">
        <is>
          <t>mods/ca/rules/world.yaml: ^BaseWorld / Locomotor@SHEAVYTRACKED</t>
        </is>
      </c>
      <c r="C5" t="inlineStr">
        <is>
          <t>wall, infantry, tank, mine, crate, heavywall, lightwall, beacon</t>
        </is>
      </c>
      <c r="D5" t="n">
        <v>100</v>
      </c>
      <c r="E5" t="n">
        <v>88</v>
      </c>
      <c r="F5" t="n">
        <v>125</v>
      </c>
      <c r="G5" t="n">
        <v>125</v>
      </c>
      <c r="H5" t="n">
        <v>88</v>
      </c>
      <c r="I5" t="n">
        <v>88</v>
      </c>
      <c r="J5" t="n">
        <v>88</v>
      </c>
      <c r="K5" t="n">
        <v>88</v>
      </c>
      <c r="L5" t="n">
        <v>88</v>
      </c>
      <c r="M5" t="n">
        <v>88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8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7" customWidth="1" min="7" max="7"/>
    <col width="17" customWidth="1" min="8" max="8"/>
    <col width="23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1" t="inlineStr">
        <is>
          <t>Fraktion</t>
        </is>
      </c>
      <c r="B1" s="1" t="inlineStr">
        <is>
          <t>Actor</t>
        </is>
      </c>
      <c r="C1" s="1" t="inlineStr">
        <is>
          <t>Name lokal</t>
        </is>
      </c>
      <c r="D1" s="1" t="inlineStr">
        <is>
          <t>Preis lokal</t>
        </is>
      </c>
      <c r="E1" s="1" t="inlineStr">
        <is>
          <t>HP lokal</t>
        </is>
      </c>
      <c r="F1" s="1" t="inlineStr">
        <is>
          <t>Tempo lokal</t>
        </is>
      </c>
      <c r="G1" s="1" t="inlineStr">
        <is>
          <t>Locomotor lokal</t>
        </is>
      </c>
      <c r="H1" s="1" t="inlineStr">
        <is>
          <t>Buildable lokal</t>
        </is>
      </c>
      <c r="I1" s="1" t="inlineStr">
        <is>
          <t>Voraussetzungen lokal</t>
        </is>
      </c>
      <c r="J1" s="1" t="inlineStr">
        <is>
          <t>Erbt von</t>
        </is>
      </c>
      <c r="K1" s="1" t="inlineStr">
        <is>
          <t>Waffen lokal</t>
        </is>
      </c>
      <c r="L1" s="1" t="inlineStr">
        <is>
          <t>Pruefhinweise</t>
        </is>
      </c>
      <c r="M1" s="1" t="inlineStr">
        <is>
          <t>Status</t>
        </is>
      </c>
      <c r="N1" s="1" t="inlineStr">
        <is>
          <t>Entwuerfe</t>
        </is>
      </c>
      <c r="O1" s="1" t="inlineStr">
        <is>
          <t>Quelle</t>
        </is>
      </c>
    </row>
    <row r="2">
      <c r="A2" t="inlineStr">
        <is>
          <t>china</t>
        </is>
      </c>
      <c r="B2" t="inlineStr">
        <is>
          <t>CHNMCV</t>
        </is>
      </c>
      <c r="C2" t="inlineStr">
        <is>
          <t>Bulldozer (China)</t>
        </is>
      </c>
      <c r="D2" t="inlineStr">
        <is>
          <t>1000</t>
        </is>
      </c>
      <c r="E2" t="inlineStr">
        <is>
          <t>60000</t>
        </is>
      </c>
      <c r="F2" t="inlineStr">
        <is>
          <t>56</t>
        </is>
      </c>
      <c r="G2" t="inlineStr">
        <is>
          <t>heavywheeled</t>
        </is>
      </c>
      <c r="H2" t="inlineStr">
        <is>
          <t>local declaration</t>
        </is>
      </c>
      <c r="I2" t="inlineStr">
        <is>
          <t>~chcommand</t>
        </is>
      </c>
      <c r="J2" t="inlineStr">
        <is>
          <t>^ConstructionVehicle, ^BiologicalDriver, ^TDVehicleSprite, ^VoxelVehicle, ^MustBeDestroyed, ^BigVehicle, ^EarlyGameBuildBoost</t>
        </is>
      </c>
      <c r="K2" t="inlineStr"/>
      <c r="L2" t="inlineStr">
        <is>
          <t>transformation/deploy</t>
        </is>
      </c>
      <c r="M2" t="inlineStr">
        <is>
          <t>not modeled; inspection required</t>
        </is>
      </c>
      <c r="N2" t="inlineStr"/>
      <c r="O2" t="inlineStr">
        <is>
          <t>mods/ca/rules/china/vehicles.yaml</t>
        </is>
      </c>
    </row>
    <row r="3">
      <c r="A3" t="inlineStr">
        <is>
          <t>china</t>
        </is>
      </c>
      <c r="B3" t="inlineStr">
        <is>
          <t>CHNMCV.Nukular</t>
        </is>
      </c>
      <c r="C3" t="inlineStr"/>
      <c r="D3" t="inlineStr"/>
      <c r="E3" t="inlineStr"/>
      <c r="F3" t="inlineStr"/>
      <c r="G3" t="inlineStr"/>
      <c r="H3" t="inlineStr">
        <is>
          <t>removed locally</t>
        </is>
      </c>
      <c r="I3" t="inlineStr"/>
      <c r="J3" t="inlineStr">
        <is>
          <t>CHNMCV, ^NukularConyard</t>
        </is>
      </c>
      <c r="K3" t="inlineStr"/>
      <c r="L3" t="inlineStr"/>
      <c r="M3" t="inlineStr">
        <is>
          <t>not modeled; inspection required</t>
        </is>
      </c>
      <c r="N3" t="inlineStr"/>
      <c r="O3" t="inlineStr">
        <is>
          <t>mods/ca/rules/china/vehicles.yaml</t>
        </is>
      </c>
    </row>
    <row r="4">
      <c r="A4" t="inlineStr">
        <is>
          <t>china</t>
        </is>
      </c>
      <c r="B4" t="inlineStr">
        <is>
          <t>chbattle</t>
        </is>
      </c>
      <c r="C4" t="inlineStr">
        <is>
          <t>Battlemaster</t>
        </is>
      </c>
      <c r="D4" t="inlineStr">
        <is>
          <t>950</t>
        </is>
      </c>
      <c r="E4" t="inlineStr">
        <is>
          <t>40000</t>
        </is>
      </c>
      <c r="F4" t="inlineStr">
        <is>
          <t>100</t>
        </is>
      </c>
      <c r="G4" t="inlineStr"/>
      <c r="H4" t="inlineStr">
        <is>
          <t>local declaration</t>
        </is>
      </c>
      <c r="I4" t="inlineStr">
        <is>
          <t>chweap, ~vehicles.china, ~!vehicles.chinainf, ~!upg.battlemaster</t>
        </is>
      </c>
      <c r="J4" t="inlineStr">
        <is>
          <t>^FightingTankTurreted, ^VoxelTurretedTank, ^BiologicalDriver, ^PrioAntiHeavy, ^GeneralsVehicle, ^HordeBonus, ^AtomicTank, ^UranShells, ^AnnounceOnBuild, ^AttackTurretedVoice</t>
        </is>
      </c>
      <c r="K4" t="inlineStr">
        <is>
          <t>CHBattlemasterCannon</t>
        </is>
      </c>
      <c r="L4" t="inlineStr"/>
      <c r="M4" t="inlineStr">
        <is>
          <t>scalar design; runtime pending</t>
        </is>
      </c>
      <c r="N4" t="inlineStr">
        <is>
          <t>Battlemaster baseline, Battlemaster nuclear drive</t>
        </is>
      </c>
      <c r="O4" t="inlineStr">
        <is>
          <t>mods/ca/rules/china/vehicles.yaml</t>
        </is>
      </c>
    </row>
    <row r="5">
      <c r="A5" t="inlineStr">
        <is>
          <t>china</t>
        </is>
      </c>
      <c r="B5" t="inlineStr">
        <is>
          <t>chbattle.Autoloader</t>
        </is>
      </c>
      <c r="C5" t="inlineStr">
        <is>
          <t>Battlemaster (Autoloader)</t>
        </is>
      </c>
      <c r="D5" t="inlineStr"/>
      <c r="E5" t="inlineStr"/>
      <c r="F5" t="inlineStr"/>
      <c r="G5" t="inlineStr"/>
      <c r="H5" t="inlineStr">
        <is>
          <t>local declaration</t>
        </is>
      </c>
      <c r="I5" t="inlineStr">
        <is>
          <t>chweap, ~vehicles.china, ~promotion.battlemaster.autoloader, ~!upg.battlemaster2</t>
        </is>
      </c>
      <c r="J5" t="inlineStr">
        <is>
          <t>chbattle</t>
        </is>
      </c>
      <c r="K5" t="inlineStr">
        <is>
          <t>CHBattlemasterCannon.Autoloader</t>
        </is>
      </c>
      <c r="L5" t="inlineStr"/>
      <c r="M5" t="inlineStr">
        <is>
          <t>scalar design; runtime pending</t>
        </is>
      </c>
      <c r="N5" t="inlineStr">
        <is>
          <t>Battlemaster Autoloader</t>
        </is>
      </c>
      <c r="O5" t="inlineStr">
        <is>
          <t>mods/ca/rules/china/vehicles.yaml</t>
        </is>
      </c>
    </row>
    <row r="6">
      <c r="A6" t="inlineStr">
        <is>
          <t>china</t>
        </is>
      </c>
      <c r="B6" t="inlineStr">
        <is>
          <t>chbattle.Autoloader.PDL</t>
        </is>
      </c>
      <c r="C6" t="inlineStr">
        <is>
          <t>Battlemaster (Autoloader, PDL)</t>
        </is>
      </c>
      <c r="D6" t="inlineStr">
        <is>
          <t>1600</t>
        </is>
      </c>
      <c r="E6" t="inlineStr"/>
      <c r="F6" t="inlineStr"/>
      <c r="G6" t="inlineStr"/>
      <c r="H6" t="inlineStr">
        <is>
          <t>local declaration</t>
        </is>
      </c>
      <c r="I6" t="inlineStr">
        <is>
          <t>chweap, ~vehicles.china, ~promotion.battlemaster.autoloader, ~promotion.battlemaster.pdl</t>
        </is>
      </c>
      <c r="J6" t="inlineStr">
        <is>
          <t>chbattle.Autoloader, ^PointLaserDefenseSystem</t>
        </is>
      </c>
      <c r="K6" t="inlineStr"/>
      <c r="L6" t="inlineStr"/>
      <c r="M6" t="inlineStr">
        <is>
          <t>scalar design; runtime pending</t>
        </is>
      </c>
      <c r="N6" t="inlineStr">
        <is>
          <t>Battlemaster Autoloader PDL</t>
        </is>
      </c>
      <c r="O6" t="inlineStr">
        <is>
          <t>mods/ca/rules/china/vehicles.yaml</t>
        </is>
      </c>
    </row>
    <row r="7">
      <c r="A7" t="inlineStr">
        <is>
          <t>china</t>
        </is>
      </c>
      <c r="B7" t="inlineStr">
        <is>
          <t>chbattle.Autoloader.Reflector</t>
        </is>
      </c>
      <c r="C7" t="inlineStr">
        <is>
          <t>Battlemaster (Autoloader, Reflector)</t>
        </is>
      </c>
      <c r="D7" t="inlineStr"/>
      <c r="E7" t="inlineStr"/>
      <c r="F7" t="inlineStr"/>
      <c r="G7" t="inlineStr"/>
      <c r="H7" t="inlineStr">
        <is>
          <t>local declaration</t>
        </is>
      </c>
      <c r="I7" t="inlineStr">
        <is>
          <t>chweap, ~vehicles.china, ~promotion.battlemaster.autoloader, ~promotion.battlemaster.reflector</t>
        </is>
      </c>
      <c r="J7" t="inlineStr">
        <is>
          <t>chbattle.Autoloader, ^ReflectorArmor</t>
        </is>
      </c>
      <c r="K7" t="inlineStr"/>
      <c r="L7" t="inlineStr"/>
      <c r="M7" t="inlineStr">
        <is>
          <t>scalar design; runtime pending</t>
        </is>
      </c>
      <c r="N7" t="inlineStr">
        <is>
          <t>Battlemaster Autoloader Reflector</t>
        </is>
      </c>
      <c r="O7" t="inlineStr">
        <is>
          <t>mods/ca/rules/china/vehicles.yaml</t>
        </is>
      </c>
    </row>
    <row r="8">
      <c r="A8" t="inlineStr">
        <is>
          <t>china</t>
        </is>
      </c>
      <c r="B8" t="inlineStr">
        <is>
          <t>chbattle.Nuclear_Shells</t>
        </is>
      </c>
      <c r="C8" t="inlineStr">
        <is>
          <t>Battlemaster (Nuclear Shells)</t>
        </is>
      </c>
      <c r="D8" t="inlineStr"/>
      <c r="E8" t="inlineStr"/>
      <c r="F8" t="inlineStr"/>
      <c r="G8" t="inlineStr"/>
      <c r="H8" t="inlineStr">
        <is>
          <t>local declaration</t>
        </is>
      </c>
      <c r="I8" t="inlineStr">
        <is>
          <t>chweap, ~vehicles.china, ~promotion.battlemaster.nuclear_shells, ~!upg.battlemaster2</t>
        </is>
      </c>
      <c r="J8" t="inlineStr">
        <is>
          <t>chbattle, ^PrioAntiLight</t>
        </is>
      </c>
      <c r="K8" t="inlineStr">
        <is>
          <t>CHBattlemasterCannon.Nuclear_Shells</t>
        </is>
      </c>
      <c r="L8" t="inlineStr"/>
      <c r="M8" t="inlineStr">
        <is>
          <t>scalar design; runtime pending</t>
        </is>
      </c>
      <c r="N8" t="inlineStr">
        <is>
          <t>Battlemaster Nuclear Shells</t>
        </is>
      </c>
      <c r="O8" t="inlineStr">
        <is>
          <t>mods/ca/rules/china/vehicles.yaml</t>
        </is>
      </c>
    </row>
    <row r="9">
      <c r="A9" t="inlineStr">
        <is>
          <t>china</t>
        </is>
      </c>
      <c r="B9" t="inlineStr">
        <is>
          <t>chbattle.Nuclear_Shells.PDL</t>
        </is>
      </c>
      <c r="C9" t="inlineStr">
        <is>
          <t>Battlemaster (Nuke, PDL)</t>
        </is>
      </c>
      <c r="D9" t="inlineStr">
        <is>
          <t>1600</t>
        </is>
      </c>
      <c r="E9" t="inlineStr"/>
      <c r="F9" t="inlineStr"/>
      <c r="G9" t="inlineStr"/>
      <c r="H9" t="inlineStr">
        <is>
          <t>local declaration</t>
        </is>
      </c>
      <c r="I9" t="inlineStr">
        <is>
          <t>chweap, ~vehicles.china, ~promotion.battlemaster.nuclear_shells, ~promotion.battlemaster.pdl</t>
        </is>
      </c>
      <c r="J9" t="inlineStr">
        <is>
          <t>chbattle.Nuclear_Shells, ^PointLaserDefenseSystem</t>
        </is>
      </c>
      <c r="K9" t="inlineStr"/>
      <c r="L9" t="inlineStr"/>
      <c r="M9" t="inlineStr">
        <is>
          <t>scalar design; runtime pending</t>
        </is>
      </c>
      <c r="N9" t="inlineStr">
        <is>
          <t>Battlemaster Nuclear Shells PDL</t>
        </is>
      </c>
      <c r="O9" t="inlineStr">
        <is>
          <t>mods/ca/rules/china/vehicles.yaml</t>
        </is>
      </c>
    </row>
    <row r="10">
      <c r="A10" t="inlineStr">
        <is>
          <t>china</t>
        </is>
      </c>
      <c r="B10" t="inlineStr">
        <is>
          <t>chbattle.Nuclear_Shells.Reflector</t>
        </is>
      </c>
      <c r="C10" t="inlineStr">
        <is>
          <t>Battlemaster (Nuke, Reflector)</t>
        </is>
      </c>
      <c r="D10" t="inlineStr"/>
      <c r="E10" t="inlineStr"/>
      <c r="F10" t="inlineStr"/>
      <c r="G10" t="inlineStr"/>
      <c r="H10" t="inlineStr">
        <is>
          <t>local declaration</t>
        </is>
      </c>
      <c r="I10" t="inlineStr">
        <is>
          <t>chweap, ~vehicles.china, ~promotion.battlemaster.nuclear_shells, ~promotion.battlemaster.reflector</t>
        </is>
      </c>
      <c r="J10" t="inlineStr">
        <is>
          <t>chbattle.Nuclear_Shells, ^ReflectorArmor</t>
        </is>
      </c>
      <c r="K10" t="inlineStr"/>
      <c r="L10" t="inlineStr"/>
      <c r="M10" t="inlineStr">
        <is>
          <t>scalar design; runtime pending</t>
        </is>
      </c>
      <c r="N10" t="inlineStr">
        <is>
          <t>Battlemaster Nuclear Shells Reflector</t>
        </is>
      </c>
      <c r="O10" t="inlineStr">
        <is>
          <t>mods/ca/rules/china/vehicles.yaml</t>
        </is>
      </c>
    </row>
    <row r="11">
      <c r="A11" t="inlineStr">
        <is>
          <t>china</t>
        </is>
      </c>
      <c r="B11" t="inlineStr">
        <is>
          <t>chbattle.Mass_Production</t>
        </is>
      </c>
      <c r="C11" t="inlineStr">
        <is>
          <t>Battlemaster (Mass Production)</t>
        </is>
      </c>
      <c r="D11" t="inlineStr">
        <is>
          <t>600</t>
        </is>
      </c>
      <c r="E11" t="inlineStr"/>
      <c r="F11" t="inlineStr"/>
      <c r="G11" t="inlineStr"/>
      <c r="H11" t="inlineStr">
        <is>
          <t>local declaration</t>
        </is>
      </c>
      <c r="I11" t="inlineStr">
        <is>
          <t>chweap, ~vehicles.china, ~promotion.battlemaster.mass_production, ~!upg.battlemaster2</t>
        </is>
      </c>
      <c r="J11" t="inlineStr">
        <is>
          <t>chbattle</t>
        </is>
      </c>
      <c r="K11" t="inlineStr"/>
      <c r="L11" t="inlineStr"/>
      <c r="M11" t="inlineStr">
        <is>
          <t>scalar design; runtime pending</t>
        </is>
      </c>
      <c r="N11" t="inlineStr">
        <is>
          <t>Battlemaster Mass Production</t>
        </is>
      </c>
      <c r="O11" t="inlineStr">
        <is>
          <t>mods/ca/rules/china/vehicles.yaml</t>
        </is>
      </c>
    </row>
    <row r="12">
      <c r="A12" t="inlineStr">
        <is>
          <t>china</t>
        </is>
      </c>
      <c r="B12" t="inlineStr">
        <is>
          <t>chbattle.Mass_Production.PDL</t>
        </is>
      </c>
      <c r="C12" t="inlineStr">
        <is>
          <t>Battlemaster (PDL)</t>
        </is>
      </c>
      <c r="D12" t="inlineStr">
        <is>
          <t>1000</t>
        </is>
      </c>
      <c r="E12" t="inlineStr"/>
      <c r="F12" t="inlineStr"/>
      <c r="G12" t="inlineStr"/>
      <c r="H12" t="inlineStr">
        <is>
          <t>local declaration</t>
        </is>
      </c>
      <c r="I12" t="inlineStr">
        <is>
          <t>chweap, ~vehicles.china, ~promotion.battlemaster.mass_production, ~promotion.battlemaster.pdl</t>
        </is>
      </c>
      <c r="J12" t="inlineStr">
        <is>
          <t>chbattle.Mass_Production, ^PointLaserDefenseSystem</t>
        </is>
      </c>
      <c r="K12" t="inlineStr"/>
      <c r="L12" t="inlineStr"/>
      <c r="M12" t="inlineStr">
        <is>
          <t>scalar design; runtime pending</t>
        </is>
      </c>
      <c r="N12" t="inlineStr">
        <is>
          <t>Battlemaster Mass Production PDL</t>
        </is>
      </c>
      <c r="O12" t="inlineStr">
        <is>
          <t>mods/ca/rules/china/vehicles.yaml</t>
        </is>
      </c>
    </row>
    <row r="13">
      <c r="A13" t="inlineStr">
        <is>
          <t>china</t>
        </is>
      </c>
      <c r="B13" t="inlineStr">
        <is>
          <t>chbattle.Mass_Production.Reflector</t>
        </is>
      </c>
      <c r="C13" t="inlineStr">
        <is>
          <t>Battlemaster (Reflector)</t>
        </is>
      </c>
      <c r="D13" t="inlineStr"/>
      <c r="E13" t="inlineStr"/>
      <c r="F13" t="inlineStr"/>
      <c r="G13" t="inlineStr"/>
      <c r="H13" t="inlineStr">
        <is>
          <t>local declaration</t>
        </is>
      </c>
      <c r="I13" t="inlineStr">
        <is>
          <t>chweap, ~vehicles.china, ~promotion.battlemaster.mass_production, ~promotion.battlemaster.reflector</t>
        </is>
      </c>
      <c r="J13" t="inlineStr">
        <is>
          <t>chbattle.Mass_Production, ^ReflectorArmor</t>
        </is>
      </c>
      <c r="K13" t="inlineStr"/>
      <c r="L13" t="inlineStr"/>
      <c r="M13" t="inlineStr">
        <is>
          <t>scalar design; runtime pending</t>
        </is>
      </c>
      <c r="N13" t="inlineStr">
        <is>
          <t>Battlemaster Mass Production Reflector</t>
        </is>
      </c>
      <c r="O13" t="inlineStr">
        <is>
          <t>mods/ca/rules/china/vehicles.yaml</t>
        </is>
      </c>
    </row>
    <row r="14">
      <c r="A14" t="inlineStr">
        <is>
          <t>china</t>
        </is>
      </c>
      <c r="B14" t="inlineStr">
        <is>
          <t>charty</t>
        </is>
      </c>
      <c r="C14" t="inlineStr">
        <is>
          <t>Inferno Cannon</t>
        </is>
      </c>
      <c r="D14" t="inlineStr">
        <is>
          <t>900</t>
        </is>
      </c>
      <c r="E14" t="inlineStr">
        <is>
          <t>12000</t>
        </is>
      </c>
      <c r="F14" t="inlineStr">
        <is>
          <t>90</t>
        </is>
      </c>
      <c r="G14" t="inlineStr"/>
      <c r="H14" t="inlineStr">
        <is>
          <t>local declaration</t>
        </is>
      </c>
      <c r="I14" t="inlineStr">
        <is>
          <t>chweap, radar, ~vehicles.china, ~!vehicles.chinainf</t>
        </is>
      </c>
      <c r="J14" t="inlineStr">
        <is>
          <t>^FightingVehicle, ^VoxelVehicle, ^BiologicalDriver, ^PrioArtillery, ^GeneralsVehicle, ^AnnounceOnBuild, ^AttackFrontalVoice</t>
        </is>
      </c>
      <c r="K14" t="inlineStr">
        <is>
          <t>CHInfernoCannon, CHInfernoCannon.Black_Napalm</t>
        </is>
      </c>
      <c r="L14" t="inlineStr">
        <is>
          <t>multiple/conditional armaments</t>
        </is>
      </c>
      <c r="M14" t="inlineStr">
        <is>
          <t>not modeled; inspection required</t>
        </is>
      </c>
      <c r="N14" t="inlineStr"/>
      <c r="O14" t="inlineStr">
        <is>
          <t>mods/ca/rules/china/vehicles.yaml</t>
        </is>
      </c>
    </row>
    <row r="15">
      <c r="A15" t="inlineStr">
        <is>
          <t>china</t>
        </is>
      </c>
      <c r="B15" t="inlineStr">
        <is>
          <t>charty.Husk</t>
        </is>
      </c>
      <c r="C15" t="inlineStr">
        <is>
          <t>Inferno Cannon (Destroyed)</t>
        </is>
      </c>
      <c r="D15" t="inlineStr"/>
      <c r="E15" t="inlineStr"/>
      <c r="F15" t="inlineStr"/>
      <c r="G15" t="inlineStr"/>
      <c r="H15" t="inlineStr">
        <is>
          <t>inherited/unresolved</t>
        </is>
      </c>
      <c r="I15" t="inlineStr"/>
      <c r="J15" t="inlineStr">
        <is>
          <t>^LightHusk</t>
        </is>
      </c>
      <c r="K15" t="inlineStr"/>
      <c r="L15" t="inlineStr"/>
      <c r="M15" t="inlineStr">
        <is>
          <t>not modeled; inspection required</t>
        </is>
      </c>
      <c r="N15" t="inlineStr"/>
      <c r="O15" t="inlineStr">
        <is>
          <t>mods/ca/rules/china/vehicles.yaml</t>
        </is>
      </c>
    </row>
    <row r="16">
      <c r="A16" t="inlineStr">
        <is>
          <t>china</t>
        </is>
      </c>
      <c r="B16" t="inlineStr">
        <is>
          <t>choverlord</t>
        </is>
      </c>
      <c r="C16" t="inlineStr">
        <is>
          <t>Overlord Tank</t>
        </is>
      </c>
      <c r="D16" t="inlineStr">
        <is>
          <t>2000</t>
        </is>
      </c>
      <c r="E16" t="inlineStr">
        <is>
          <t>95000</t>
        </is>
      </c>
      <c r="F16" t="inlineStr">
        <is>
          <t>56</t>
        </is>
      </c>
      <c r="G16" t="inlineStr">
        <is>
          <t>sheavytracked</t>
        </is>
      </c>
      <c r="H16" t="inlineStr">
        <is>
          <t>local declaration</t>
        </is>
      </c>
      <c r="I16" t="inlineStr">
        <is>
          <t>radar, ~vehicles.china, ~!vehicles.chinainf, ~!upg.overlord</t>
        </is>
      </c>
      <c r="J16" t="inlineStr">
        <is>
          <t>^FightingTankTurreted, ^VoxelTurretedTank, ^BigVehicle, ^BiologicalDriver, ^PrioAntiHeavy, ^GeneralsVehicle, ^AtomicTank, ^UranShells, ^AnnounceOnBuild, ^AttackTurretedVoice</t>
        </is>
      </c>
      <c r="K16" t="inlineStr">
        <is>
          <t>OverlordCannon</t>
        </is>
      </c>
      <c r="L16" t="inlineStr"/>
      <c r="M16" t="inlineStr">
        <is>
          <t>scalar design; runtime pending</t>
        </is>
      </c>
      <c r="N16" t="inlineStr">
        <is>
          <t>Overlord baseline</t>
        </is>
      </c>
      <c r="O16" t="inlineStr">
        <is>
          <t>mods/ca/rules/china/vehicles.yaml</t>
        </is>
      </c>
    </row>
    <row r="17">
      <c r="A17" t="inlineStr">
        <is>
          <t>china</t>
        </is>
      </c>
      <c r="B17" t="inlineStr">
        <is>
          <t>choverlord.Gatling</t>
        </is>
      </c>
      <c r="C17" t="inlineStr">
        <is>
          <t>Gatling Overlord</t>
        </is>
      </c>
      <c r="D17" t="inlineStr">
        <is>
          <t>2000</t>
        </is>
      </c>
      <c r="E17" t="inlineStr"/>
      <c r="F17" t="inlineStr"/>
      <c r="G17" t="inlineStr"/>
      <c r="H17" t="inlineStr">
        <is>
          <t>local declaration</t>
        </is>
      </c>
      <c r="I17" t="inlineStr">
        <is>
          <t>tier3, ~promotion.overlord.gatling, ~!upg.overlord2</t>
        </is>
      </c>
      <c r="J17" t="inlineStr">
        <is>
          <t>choverlord, ^ChinaGatlingOverlord, ^PrioAntiHeavyAA, ^SensorEquipment</t>
        </is>
      </c>
      <c r="K17" t="inlineStr"/>
      <c r="L17" t="inlineStr">
        <is>
          <t>sensor, special attacks</t>
        </is>
      </c>
      <c r="M17" t="inlineStr">
        <is>
          <t>scalar design; runtime pending</t>
        </is>
      </c>
      <c r="N17" t="inlineStr">
        <is>
          <t>Overlord Gatling</t>
        </is>
      </c>
      <c r="O17" t="inlineStr">
        <is>
          <t>mods/ca/rules/china/vehicles.yaml</t>
        </is>
      </c>
    </row>
    <row r="18">
      <c r="A18" t="inlineStr">
        <is>
          <t>china</t>
        </is>
      </c>
      <c r="B18" t="inlineStr">
        <is>
          <t>choverlord.Gatling.PDL</t>
        </is>
      </c>
      <c r="C18" t="inlineStr">
        <is>
          <t>Gatling Overlord (PDL)</t>
        </is>
      </c>
      <c r="D18" t="inlineStr">
        <is>
          <t>2800</t>
        </is>
      </c>
      <c r="E18" t="inlineStr"/>
      <c r="F18" t="inlineStr"/>
      <c r="G18" t="inlineStr"/>
      <c r="H18" t="inlineStr">
        <is>
          <t>local declaration</t>
        </is>
      </c>
      <c r="I18" t="inlineStr">
        <is>
          <t>tier3, ~vehicles.china, ~promotion.overlord.gatling, ~promotion.overlord.pdl</t>
        </is>
      </c>
      <c r="J18" t="inlineStr">
        <is>
          <t>choverlord.Gatling, ^PointLaserDefenseSystem</t>
        </is>
      </c>
      <c r="K18" t="inlineStr"/>
      <c r="L18" t="inlineStr"/>
      <c r="M18" t="inlineStr">
        <is>
          <t>scalar design; runtime pending</t>
        </is>
      </c>
      <c r="N18" t="inlineStr">
        <is>
          <t>Overlord Gatling PDL</t>
        </is>
      </c>
      <c r="O18" t="inlineStr">
        <is>
          <t>mods/ca/rules/china/vehicles.yaml</t>
        </is>
      </c>
    </row>
    <row r="19">
      <c r="A19" t="inlineStr">
        <is>
          <t>china</t>
        </is>
      </c>
      <c r="B19" t="inlineStr">
        <is>
          <t>choverlord.Gatling.Reflector</t>
        </is>
      </c>
      <c r="C19" t="inlineStr">
        <is>
          <t>Gatling Overlord (Reflector)</t>
        </is>
      </c>
      <c r="D19" t="inlineStr"/>
      <c r="E19" t="inlineStr"/>
      <c r="F19" t="inlineStr"/>
      <c r="G19" t="inlineStr"/>
      <c r="H19" t="inlineStr">
        <is>
          <t>local declaration</t>
        </is>
      </c>
      <c r="I19" t="inlineStr">
        <is>
          <t>tier3, ~vehicles.china, ~promotion.overlord.gatling, ~promotion.overlord.reflector</t>
        </is>
      </c>
      <c r="J19" t="inlineStr">
        <is>
          <t>choverlord.Gatling, ^ReflectorArmor</t>
        </is>
      </c>
      <c r="K19" t="inlineStr"/>
      <c r="L19" t="inlineStr"/>
      <c r="M19" t="inlineStr">
        <is>
          <t>scalar design; runtime pending</t>
        </is>
      </c>
      <c r="N19" t="inlineStr">
        <is>
          <t>Overlord Gatling Reflector</t>
        </is>
      </c>
      <c r="O19" t="inlineStr">
        <is>
          <t>mods/ca/rules/china/vehicles.yaml</t>
        </is>
      </c>
    </row>
    <row r="20">
      <c r="A20" t="inlineStr">
        <is>
          <t>china</t>
        </is>
      </c>
      <c r="B20" t="inlineStr">
        <is>
          <t>choverlord.Bunker</t>
        </is>
      </c>
      <c r="C20" t="inlineStr">
        <is>
          <t>Bunker Overlord</t>
        </is>
      </c>
      <c r="D20" t="inlineStr">
        <is>
          <t>3000</t>
        </is>
      </c>
      <c r="E20" t="inlineStr"/>
      <c r="F20" t="inlineStr"/>
      <c r="G20" t="inlineStr"/>
      <c r="H20" t="inlineStr">
        <is>
          <t>local declaration</t>
        </is>
      </c>
      <c r="I20" t="inlineStr">
        <is>
          <t>tier3, ~promotion.overlord.bunker, ~!upg.overlord2</t>
        </is>
      </c>
      <c r="J20" t="inlineStr">
        <is>
          <t>choverlord, ^PrioAntiHeavyAA, ^AttackingCargoAndTurret</t>
        </is>
      </c>
      <c r="K20" t="inlineStr"/>
      <c r="L20" t="inlineStr">
        <is>
          <t>cargo</t>
        </is>
      </c>
      <c r="M20" t="inlineStr">
        <is>
          <t>scalar design; runtime pending</t>
        </is>
      </c>
      <c r="N20" t="inlineStr">
        <is>
          <t>Overlord Bunker</t>
        </is>
      </c>
      <c r="O20" t="inlineStr">
        <is>
          <t>mods/ca/rules/china/vehicles.yaml</t>
        </is>
      </c>
    </row>
    <row r="21">
      <c r="A21" t="inlineStr">
        <is>
          <t>china</t>
        </is>
      </c>
      <c r="B21" t="inlineStr">
        <is>
          <t>choverlord.Bunker.PDL</t>
        </is>
      </c>
      <c r="C21" t="inlineStr">
        <is>
          <t>Bunker Overlord (PDL)</t>
        </is>
      </c>
      <c r="D21" t="inlineStr">
        <is>
          <t>3600</t>
        </is>
      </c>
      <c r="E21" t="inlineStr"/>
      <c r="F21" t="inlineStr"/>
      <c r="G21" t="inlineStr"/>
      <c r="H21" t="inlineStr">
        <is>
          <t>local declaration</t>
        </is>
      </c>
      <c r="I21" t="inlineStr">
        <is>
          <t>tier3, ~vehicles.china, ~promotion.overlord.bunker, ~promotion.overlord.pdl</t>
        </is>
      </c>
      <c r="J21" t="inlineStr">
        <is>
          <t>choverlord.Bunker, ^AttackingCargoAndPDL</t>
        </is>
      </c>
      <c r="K21" t="inlineStr"/>
      <c r="L21" t="inlineStr">
        <is>
          <t>cargo</t>
        </is>
      </c>
      <c r="M21" t="inlineStr">
        <is>
          <t>scalar design; runtime pending</t>
        </is>
      </c>
      <c r="N21" t="inlineStr">
        <is>
          <t>Overlord Bunker PDL</t>
        </is>
      </c>
      <c r="O21" t="inlineStr">
        <is>
          <t>mods/ca/rules/china/vehicles.yaml</t>
        </is>
      </c>
    </row>
    <row r="22">
      <c r="A22" t="inlineStr">
        <is>
          <t>china</t>
        </is>
      </c>
      <c r="B22" t="inlineStr">
        <is>
          <t>choverlord.Bunker.Reflector</t>
        </is>
      </c>
      <c r="C22" t="inlineStr">
        <is>
          <t>Bunker Overlord (Reflector)</t>
        </is>
      </c>
      <c r="D22" t="inlineStr"/>
      <c r="E22" t="inlineStr"/>
      <c r="F22" t="inlineStr"/>
      <c r="G22" t="inlineStr"/>
      <c r="H22" t="inlineStr">
        <is>
          <t>local declaration</t>
        </is>
      </c>
      <c r="I22" t="inlineStr">
        <is>
          <t>tier3, ~vehicles.china, ~promotion.overlord.bunker, ~promotion.overlord.reflector</t>
        </is>
      </c>
      <c r="J22" t="inlineStr">
        <is>
          <t>choverlord.Bunker, ^ReflectorArmor</t>
        </is>
      </c>
      <c r="K22" t="inlineStr"/>
      <c r="L22" t="inlineStr"/>
      <c r="M22" t="inlineStr">
        <is>
          <t>scalar design; runtime pending</t>
        </is>
      </c>
      <c r="N22" t="inlineStr">
        <is>
          <t>Overlord Bunker Reflector</t>
        </is>
      </c>
      <c r="O22" t="inlineStr">
        <is>
          <t>mods/ca/rules/china/vehicles.yaml</t>
        </is>
      </c>
    </row>
    <row r="23">
      <c r="A23" t="inlineStr">
        <is>
          <t>china</t>
        </is>
      </c>
      <c r="B23" t="inlineStr">
        <is>
          <t>choverlord.Propaganda</t>
        </is>
      </c>
      <c r="C23" t="inlineStr">
        <is>
          <t>Propaganda Overlord</t>
        </is>
      </c>
      <c r="D23" t="inlineStr">
        <is>
          <t>2200</t>
        </is>
      </c>
      <c r="E23" t="inlineStr"/>
      <c r="F23" t="inlineStr"/>
      <c r="G23" t="inlineStr"/>
      <c r="H23" t="inlineStr">
        <is>
          <t>local declaration</t>
        </is>
      </c>
      <c r="I23" t="inlineStr">
        <is>
          <t>tier3, ~promotion.overlord.propaganda, ~!upg.overlord2</t>
        </is>
      </c>
      <c r="J23" t="inlineStr">
        <is>
          <t>choverlord, ^PropagandaSpeaker</t>
        </is>
      </c>
      <c r="K23" t="inlineStr"/>
      <c r="L23" t="inlineStr">
        <is>
          <t>special attacks</t>
        </is>
      </c>
      <c r="M23" t="inlineStr">
        <is>
          <t>scalar design; runtime pending</t>
        </is>
      </c>
      <c r="N23" t="inlineStr">
        <is>
          <t>Overlord Propaganda</t>
        </is>
      </c>
      <c r="O23" t="inlineStr">
        <is>
          <t>mods/ca/rules/china/vehicles.yaml</t>
        </is>
      </c>
    </row>
    <row r="24">
      <c r="A24" t="inlineStr">
        <is>
          <t>china</t>
        </is>
      </c>
      <c r="B24" t="inlineStr">
        <is>
          <t>choverlord.Propaganda.PDL</t>
        </is>
      </c>
      <c r="C24" t="inlineStr">
        <is>
          <t>Propaganda Overlord (PDL)</t>
        </is>
      </c>
      <c r="D24" t="inlineStr">
        <is>
          <t>2800</t>
        </is>
      </c>
      <c r="E24" t="inlineStr"/>
      <c r="F24" t="inlineStr"/>
      <c r="G24" t="inlineStr"/>
      <c r="H24" t="inlineStr">
        <is>
          <t>local declaration</t>
        </is>
      </c>
      <c r="I24" t="inlineStr">
        <is>
          <t>tier3, ~vehicles.china, ~promotion.overlord.propaganda, ~promotion.overlord.pdl</t>
        </is>
      </c>
      <c r="J24" t="inlineStr">
        <is>
          <t>choverlord.Propaganda, ^PointLaserDefenseSystem</t>
        </is>
      </c>
      <c r="K24" t="inlineStr"/>
      <c r="L24" t="inlineStr"/>
      <c r="M24" t="inlineStr">
        <is>
          <t>scalar design; runtime pending</t>
        </is>
      </c>
      <c r="N24" t="inlineStr">
        <is>
          <t>Overlord Propaganda PDL</t>
        </is>
      </c>
      <c r="O24" t="inlineStr">
        <is>
          <t>mods/ca/rules/china/vehicles.yaml</t>
        </is>
      </c>
    </row>
    <row r="25">
      <c r="A25" t="inlineStr">
        <is>
          <t>china</t>
        </is>
      </c>
      <c r="B25" t="inlineStr">
        <is>
          <t>choverlord.Propaganda.Reflector</t>
        </is>
      </c>
      <c r="C25" t="inlineStr">
        <is>
          <t>Propaganda Overlord (Reflector)</t>
        </is>
      </c>
      <c r="D25" t="inlineStr"/>
      <c r="E25" t="inlineStr"/>
      <c r="F25" t="inlineStr"/>
      <c r="G25" t="inlineStr"/>
      <c r="H25" t="inlineStr">
        <is>
          <t>local declaration</t>
        </is>
      </c>
      <c r="I25" t="inlineStr">
        <is>
          <t>tier3, ~vehicles.china, ~promotion.overlord.propaganda, ~promotion.overlord.reflector</t>
        </is>
      </c>
      <c r="J25" t="inlineStr">
        <is>
          <t>choverlord.Propaganda, ^ReflectorArmor</t>
        </is>
      </c>
      <c r="K25" t="inlineStr"/>
      <c r="L25" t="inlineStr"/>
      <c r="M25" t="inlineStr">
        <is>
          <t>scalar design; runtime pending</t>
        </is>
      </c>
      <c r="N25" t="inlineStr">
        <is>
          <t>Overlord Propaganda Reflector</t>
        </is>
      </c>
      <c r="O25" t="inlineStr">
        <is>
          <t>mods/ca/rules/china/vehicles.yaml</t>
        </is>
      </c>
    </row>
    <row r="26">
      <c r="A26" t="inlineStr">
        <is>
          <t>china</t>
        </is>
      </c>
      <c r="B26" t="inlineStr">
        <is>
          <t>choverlord.Nuke_Shells</t>
        </is>
      </c>
      <c r="C26" t="inlineStr">
        <is>
          <t>Nuke Overlord</t>
        </is>
      </c>
      <c r="D26" t="inlineStr">
        <is>
          <t>2500</t>
        </is>
      </c>
      <c r="E26" t="inlineStr"/>
      <c r="F26" t="inlineStr"/>
      <c r="G26" t="inlineStr"/>
      <c r="H26" t="inlineStr">
        <is>
          <t>local declaration</t>
        </is>
      </c>
      <c r="I26" t="inlineStr">
        <is>
          <t>tier3, ~promotion.overlord.nuclear_shells, ~!upg.overlord2</t>
        </is>
      </c>
      <c r="J26" t="inlineStr">
        <is>
          <t>choverlord, ^PrioAntiLight</t>
        </is>
      </c>
      <c r="K26" t="inlineStr">
        <is>
          <t>OverlordCannonNuclear</t>
        </is>
      </c>
      <c r="L26" t="inlineStr"/>
      <c r="M26" t="inlineStr">
        <is>
          <t>scalar design; runtime pending</t>
        </is>
      </c>
      <c r="N26" t="inlineStr">
        <is>
          <t>Overlord Nuclear Shells</t>
        </is>
      </c>
      <c r="O26" t="inlineStr">
        <is>
          <t>mods/ca/rules/china/vehicles.yaml</t>
        </is>
      </c>
    </row>
    <row r="27">
      <c r="A27" t="inlineStr">
        <is>
          <t>china</t>
        </is>
      </c>
      <c r="B27" t="inlineStr">
        <is>
          <t>choverlord.Nuke_Shells.PDL</t>
        </is>
      </c>
      <c r="C27" t="inlineStr">
        <is>
          <t>Nuke Overlord (PDL)</t>
        </is>
      </c>
      <c r="D27" t="inlineStr">
        <is>
          <t>3000</t>
        </is>
      </c>
      <c r="E27" t="inlineStr"/>
      <c r="F27" t="inlineStr"/>
      <c r="G27" t="inlineStr"/>
      <c r="H27" t="inlineStr">
        <is>
          <t>local declaration</t>
        </is>
      </c>
      <c r="I27" t="inlineStr">
        <is>
          <t>tier3, ~promotion.overlord.nuclear_shells, ~promotion.overlord.pdl</t>
        </is>
      </c>
      <c r="J27" t="inlineStr">
        <is>
          <t>choverlord.Nuke_Shells, ^PointLaserDefenseSystem</t>
        </is>
      </c>
      <c r="K27" t="inlineStr"/>
      <c r="L27" t="inlineStr"/>
      <c r="M27" t="inlineStr">
        <is>
          <t>scalar design; runtime pending</t>
        </is>
      </c>
      <c r="N27" t="inlineStr">
        <is>
          <t>Overlord Nuclear Shells PDL</t>
        </is>
      </c>
      <c r="O27" t="inlineStr">
        <is>
          <t>mods/ca/rules/china/vehicles.yaml</t>
        </is>
      </c>
    </row>
    <row r="28">
      <c r="A28" t="inlineStr">
        <is>
          <t>china</t>
        </is>
      </c>
      <c r="B28" t="inlineStr">
        <is>
          <t>choverlord.Nuke_Shells.Reflector</t>
        </is>
      </c>
      <c r="C28" t="inlineStr">
        <is>
          <t>Nuke Overlord (Reflector)</t>
        </is>
      </c>
      <c r="D28" t="inlineStr"/>
      <c r="E28" t="inlineStr"/>
      <c r="F28" t="inlineStr"/>
      <c r="G28" t="inlineStr"/>
      <c r="H28" t="inlineStr">
        <is>
          <t>local declaration</t>
        </is>
      </c>
      <c r="I28" t="inlineStr">
        <is>
          <t>~vehicles.china, ~promotion.overlord.nuclear_shells, ~promotion.overlord.reflector</t>
        </is>
      </c>
      <c r="J28" t="inlineStr">
        <is>
          <t>choverlord.Nuke_Shells, ^ReflectorArmor</t>
        </is>
      </c>
      <c r="K28" t="inlineStr"/>
      <c r="L28" t="inlineStr"/>
      <c r="M28" t="inlineStr">
        <is>
          <t>scalar design; runtime pending</t>
        </is>
      </c>
      <c r="N28" t="inlineStr">
        <is>
          <t>Overlord Nuclear Shells Reflector</t>
        </is>
      </c>
      <c r="O28" t="inlineStr">
        <is>
          <t>mods/ca/rules/china/vehicles.yaml</t>
        </is>
      </c>
    </row>
    <row r="29">
      <c r="A29" t="inlineStr">
        <is>
          <t>china</t>
        </is>
      </c>
      <c r="B29" t="inlineStr">
        <is>
          <t>choverlord.Plasma</t>
        </is>
      </c>
      <c r="C29" t="inlineStr">
        <is>
          <t>Plasma Overlord</t>
        </is>
      </c>
      <c r="D29" t="inlineStr"/>
      <c r="E29" t="inlineStr"/>
      <c r="F29" t="inlineStr"/>
      <c r="G29" t="inlineStr"/>
      <c r="H29" t="inlineStr">
        <is>
          <t>local declaration</t>
        </is>
      </c>
      <c r="I29" t="inlineStr">
        <is>
          <t>tier3, ~promotion.overlord.plasma, ~!upg.overlord2</t>
        </is>
      </c>
      <c r="J29" t="inlineStr">
        <is>
          <t>choverlord, ^PrioEnergyWeapon</t>
        </is>
      </c>
      <c r="K29" t="inlineStr">
        <is>
          <t>CHECMBeam.Overlord, CHECMBeam.Overlord</t>
        </is>
      </c>
      <c r="L29" t="inlineStr">
        <is>
          <t>multiple/conditional armaments</t>
        </is>
      </c>
      <c r="M29" t="inlineStr">
        <is>
          <t>not modeled; inspection required</t>
        </is>
      </c>
      <c r="N29" t="inlineStr"/>
      <c r="O29" t="inlineStr">
        <is>
          <t>mods/ca/rules/china/vehicles.yaml</t>
        </is>
      </c>
    </row>
    <row r="30">
      <c r="A30" t="inlineStr">
        <is>
          <t>china</t>
        </is>
      </c>
      <c r="B30" t="inlineStr">
        <is>
          <t>choverlord.Plasma.PDL</t>
        </is>
      </c>
      <c r="C30" t="inlineStr">
        <is>
          <t>Plasma Overlord (PDL)</t>
        </is>
      </c>
      <c r="D30" t="inlineStr">
        <is>
          <t>2500</t>
        </is>
      </c>
      <c r="E30" t="inlineStr"/>
      <c r="F30" t="inlineStr"/>
      <c r="G30" t="inlineStr"/>
      <c r="H30" t="inlineStr">
        <is>
          <t>local declaration</t>
        </is>
      </c>
      <c r="I30" t="inlineStr">
        <is>
          <t>tier3, ~vehicles.china, ~promotion.overlord.plasma, ~promotion.overlord.pdl</t>
        </is>
      </c>
      <c r="J30" t="inlineStr">
        <is>
          <t>choverlord.Plasma, ^PointLaserDefenseSystem</t>
        </is>
      </c>
      <c r="K30" t="inlineStr"/>
      <c r="L30" t="inlineStr"/>
      <c r="M30" t="inlineStr">
        <is>
          <t>not modeled; inspection required</t>
        </is>
      </c>
      <c r="N30" t="inlineStr"/>
      <c r="O30" t="inlineStr">
        <is>
          <t>mods/ca/rules/china/vehicles.yaml</t>
        </is>
      </c>
    </row>
    <row r="31">
      <c r="A31" t="inlineStr">
        <is>
          <t>china</t>
        </is>
      </c>
      <c r="B31" t="inlineStr">
        <is>
          <t>choverlord.Plasma.Reflector</t>
        </is>
      </c>
      <c r="C31" t="inlineStr">
        <is>
          <t>Plasma Overlord (Reflector)</t>
        </is>
      </c>
      <c r="D31" t="inlineStr"/>
      <c r="E31" t="inlineStr"/>
      <c r="F31" t="inlineStr"/>
      <c r="G31" t="inlineStr"/>
      <c r="H31" t="inlineStr">
        <is>
          <t>local declaration</t>
        </is>
      </c>
      <c r="I31" t="inlineStr">
        <is>
          <t>tier3, ~vehicles.china, ~promotion.overlord.plasma, ~promotion.overlord.reflector</t>
        </is>
      </c>
      <c r="J31" t="inlineStr">
        <is>
          <t>choverlord.Plasma, ^ReflectorArmor</t>
        </is>
      </c>
      <c r="K31" t="inlineStr"/>
      <c r="L31" t="inlineStr"/>
      <c r="M31" t="inlineStr">
        <is>
          <t>not modeled; inspection required</t>
        </is>
      </c>
      <c r="N31" t="inlineStr"/>
      <c r="O31" t="inlineStr">
        <is>
          <t>mods/ca/rules/china/vehicles.yaml</t>
        </is>
      </c>
    </row>
    <row r="32">
      <c r="A32" t="inlineStr">
        <is>
          <t>china</t>
        </is>
      </c>
      <c r="B32" t="inlineStr">
        <is>
          <t>choverlord.Husk</t>
        </is>
      </c>
      <c r="C32" t="inlineStr">
        <is>
          <t>Overlord Tank (Destroyed)</t>
        </is>
      </c>
      <c r="D32" t="inlineStr"/>
      <c r="E32" t="inlineStr"/>
      <c r="F32" t="inlineStr"/>
      <c r="G32" t="inlineStr"/>
      <c r="H32" t="inlineStr">
        <is>
          <t>inherited/unresolved</t>
        </is>
      </c>
      <c r="I32" t="inlineStr"/>
      <c r="J32" t="inlineStr">
        <is>
          <t>^LightHusk</t>
        </is>
      </c>
      <c r="K32" t="inlineStr"/>
      <c r="L32" t="inlineStr"/>
      <c r="M32" t="inlineStr">
        <is>
          <t>not modeled; inspection required</t>
        </is>
      </c>
      <c r="N32" t="inlineStr"/>
      <c r="O32" t="inlineStr">
        <is>
          <t>mods/ca/rules/china/vehicles.yaml</t>
        </is>
      </c>
    </row>
    <row r="33">
      <c r="A33" t="inlineStr">
        <is>
          <t>china</t>
        </is>
      </c>
      <c r="B33" t="inlineStr">
        <is>
          <t>chdragon</t>
        </is>
      </c>
      <c r="C33" t="inlineStr">
        <is>
          <t>Dragon Tank</t>
        </is>
      </c>
      <c r="D33" t="inlineStr">
        <is>
          <t>600</t>
        </is>
      </c>
      <c r="E33" t="inlineStr">
        <is>
          <t>28000</t>
        </is>
      </c>
      <c r="F33" t="inlineStr">
        <is>
          <t>103</t>
        </is>
      </c>
      <c r="G33" t="inlineStr"/>
      <c r="H33" t="inlineStr">
        <is>
          <t>local declaration</t>
        </is>
      </c>
      <c r="I33" t="inlineStr">
        <is>
          <t>~vehicles.china, ~!promotion.dragon_tank.pdl, ~!promotion.dragon_tank.reflector</t>
        </is>
      </c>
      <c r="J33" t="inlineStr">
        <is>
          <t>^TDVehicleSprite, ^FightingTankTurreted, ^VoxelTurretedTank, ^BiologicalDriver, ^PrioAntiInfantry, ^GeneralsVehicle, ^AnnounceOnBuild, ^AttackTurretedVoice</t>
        </is>
      </c>
      <c r="K33" t="inlineStr">
        <is>
          <t>CHDragonFlamer, CHDragonFlamer.Black_Napalm, CHDragonFirestorm, CHDragonFirestorm2</t>
        </is>
      </c>
      <c r="L33" t="inlineStr">
        <is>
          <t>transformation/deploy, multiple/conditional armaments</t>
        </is>
      </c>
      <c r="M33" t="inlineStr">
        <is>
          <t>scalar design; runtime pending</t>
        </is>
      </c>
      <c r="N33" t="inlineStr">
        <is>
          <t>Dragon Tank</t>
        </is>
      </c>
      <c r="O33" t="inlineStr">
        <is>
          <t>mods/ca/rules/china/vehicles.yaml</t>
        </is>
      </c>
    </row>
    <row r="34">
      <c r="A34" t="inlineStr">
        <is>
          <t>china</t>
        </is>
      </c>
      <c r="B34" t="inlineStr">
        <is>
          <t>chdragon.PDL</t>
        </is>
      </c>
      <c r="C34" t="inlineStr">
        <is>
          <t>Dragon Tank (PDL)</t>
        </is>
      </c>
      <c r="D34" t="inlineStr">
        <is>
          <t>1200</t>
        </is>
      </c>
      <c r="E34" t="inlineStr"/>
      <c r="F34" t="inlineStr"/>
      <c r="G34" t="inlineStr"/>
      <c r="H34" t="inlineStr">
        <is>
          <t>local declaration</t>
        </is>
      </c>
      <c r="I34" t="inlineStr">
        <is>
          <t>tier3, ~vehicles.china, ~promotion.dragon_tank.pdl</t>
        </is>
      </c>
      <c r="J34" t="inlineStr">
        <is>
          <t>chdragon, ^PointLaserDefenseSystem</t>
        </is>
      </c>
      <c r="K34" t="inlineStr"/>
      <c r="L34" t="inlineStr"/>
      <c r="M34" t="inlineStr">
        <is>
          <t>scalar design; runtime pending</t>
        </is>
      </c>
      <c r="N34" t="inlineStr">
        <is>
          <t>Dragon Tank PDL</t>
        </is>
      </c>
      <c r="O34" t="inlineStr">
        <is>
          <t>mods/ca/rules/china/vehicles.yaml</t>
        </is>
      </c>
    </row>
    <row r="35">
      <c r="A35" t="inlineStr">
        <is>
          <t>china</t>
        </is>
      </c>
      <c r="B35" t="inlineStr">
        <is>
          <t>chdragon.Reflector</t>
        </is>
      </c>
      <c r="C35" t="inlineStr">
        <is>
          <t>Dragon Tank (Reflector)</t>
        </is>
      </c>
      <c r="D35" t="inlineStr"/>
      <c r="E35" t="inlineStr"/>
      <c r="F35" t="inlineStr"/>
      <c r="G35" t="inlineStr"/>
      <c r="H35" t="inlineStr">
        <is>
          <t>local declaration</t>
        </is>
      </c>
      <c r="I35" t="inlineStr">
        <is>
          <t>tier3, ~vehicles.china, ~promotion.dragon_tank.reflector</t>
        </is>
      </c>
      <c r="J35" t="inlineStr">
        <is>
          <t>chdragon, ^ReflectorArmor</t>
        </is>
      </c>
      <c r="K35" t="inlineStr"/>
      <c r="L35" t="inlineStr"/>
      <c r="M35" t="inlineStr">
        <is>
          <t>scalar design; runtime pending</t>
        </is>
      </c>
      <c r="N35" t="inlineStr">
        <is>
          <t>Dragon Tank Reflector</t>
        </is>
      </c>
      <c r="O35" t="inlineStr">
        <is>
          <t>mods/ca/rules/china/vehicles.yaml</t>
        </is>
      </c>
    </row>
    <row r="36">
      <c r="A36" t="inlineStr">
        <is>
          <t>china</t>
        </is>
      </c>
      <c r="B36" t="inlineStr">
        <is>
          <t>chdragon.Husk</t>
        </is>
      </c>
      <c r="C36" t="inlineStr">
        <is>
          <t>Dragon Tank (Destroyed)</t>
        </is>
      </c>
      <c r="D36" t="inlineStr"/>
      <c r="E36" t="inlineStr"/>
      <c r="F36" t="inlineStr"/>
      <c r="G36" t="inlineStr"/>
      <c r="H36" t="inlineStr">
        <is>
          <t>inherited/unresolved</t>
        </is>
      </c>
      <c r="I36" t="inlineStr"/>
      <c r="J36" t="inlineStr">
        <is>
          <t>^LightHusk</t>
        </is>
      </c>
      <c r="K36" t="inlineStr"/>
      <c r="L36" t="inlineStr"/>
      <c r="M36" t="inlineStr">
        <is>
          <t>not modeled; inspection required</t>
        </is>
      </c>
      <c r="N36" t="inlineStr"/>
      <c r="O36" t="inlineStr">
        <is>
          <t>mods/ca/rules/china/vehicles.yaml</t>
        </is>
      </c>
    </row>
    <row r="37">
      <c r="A37" t="inlineStr">
        <is>
          <t>china</t>
        </is>
      </c>
      <c r="B37" t="inlineStr">
        <is>
          <t>chgtnk</t>
        </is>
      </c>
      <c r="C37" t="inlineStr">
        <is>
          <t>Gatling Tank</t>
        </is>
      </c>
      <c r="D37" t="inlineStr">
        <is>
          <t>800</t>
        </is>
      </c>
      <c r="E37" t="inlineStr">
        <is>
          <t>30000</t>
        </is>
      </c>
      <c r="F37" t="inlineStr">
        <is>
          <t>108</t>
        </is>
      </c>
      <c r="G37" t="inlineStr"/>
      <c r="H37" t="inlineStr">
        <is>
          <t>local declaration</t>
        </is>
      </c>
      <c r="I37" t="inlineStr">
        <is>
          <t>~vehicles.china, ~!promotion.gatling.pdl, ~!promotion.gatling.reflector</t>
        </is>
      </c>
      <c r="J37" t="inlineStr">
        <is>
          <t>^FightingTankTurreted, ^VoxelTurretedTank, ^BiologicalDriver, ^PrioAntiLightAA, ^GeneralsVehicle, ^AnnounceOnBuild, ^AttackTurretedVoice, ^ChinaGatling</t>
        </is>
      </c>
      <c r="K37" t="inlineStr"/>
      <c r="L37" t="inlineStr">
        <is>
          <t>special attacks</t>
        </is>
      </c>
      <c r="M37" t="inlineStr">
        <is>
          <t>scalar design; runtime pending</t>
        </is>
      </c>
      <c r="N37" t="inlineStr">
        <is>
          <t>Gatling Tank</t>
        </is>
      </c>
      <c r="O37" t="inlineStr">
        <is>
          <t>mods/ca/rules/china/vehicles.yaml</t>
        </is>
      </c>
    </row>
    <row r="38">
      <c r="A38" t="inlineStr">
        <is>
          <t>china</t>
        </is>
      </c>
      <c r="B38" t="inlineStr">
        <is>
          <t>chgtnk.PDL</t>
        </is>
      </c>
      <c r="C38" t="inlineStr">
        <is>
          <t>Gatling Tank (PDL)</t>
        </is>
      </c>
      <c r="D38" t="inlineStr">
        <is>
          <t>1400</t>
        </is>
      </c>
      <c r="E38" t="inlineStr"/>
      <c r="F38" t="inlineStr"/>
      <c r="G38" t="inlineStr"/>
      <c r="H38" t="inlineStr">
        <is>
          <t>local declaration</t>
        </is>
      </c>
      <c r="I38" t="inlineStr">
        <is>
          <t>tier3, ~vehicles.china, ~promotion.gatling.pdl</t>
        </is>
      </c>
      <c r="J38" t="inlineStr">
        <is>
          <t>chgtnk, ^PointLaserDefenseSystem</t>
        </is>
      </c>
      <c r="K38" t="inlineStr"/>
      <c r="L38" t="inlineStr"/>
      <c r="M38" t="inlineStr">
        <is>
          <t>scalar design; runtime pending</t>
        </is>
      </c>
      <c r="N38" t="inlineStr">
        <is>
          <t>Gatling Tank PDL</t>
        </is>
      </c>
      <c r="O38" t="inlineStr">
        <is>
          <t>mods/ca/rules/china/vehicles.yaml</t>
        </is>
      </c>
    </row>
    <row r="39">
      <c r="A39" t="inlineStr">
        <is>
          <t>china</t>
        </is>
      </c>
      <c r="B39" t="inlineStr">
        <is>
          <t>chgtnk.Reflector</t>
        </is>
      </c>
      <c r="C39" t="inlineStr">
        <is>
          <t>Gatling Tank (Reflector)</t>
        </is>
      </c>
      <c r="D39" t="inlineStr"/>
      <c r="E39" t="inlineStr"/>
      <c r="F39" t="inlineStr"/>
      <c r="G39" t="inlineStr"/>
      <c r="H39" t="inlineStr">
        <is>
          <t>local declaration</t>
        </is>
      </c>
      <c r="I39" t="inlineStr">
        <is>
          <t>tier3, ~vehicles.china, ~promotion.gatling.reflector</t>
        </is>
      </c>
      <c r="J39" t="inlineStr">
        <is>
          <t>chgtnk, ^ReflectorArmor</t>
        </is>
      </c>
      <c r="K39" t="inlineStr"/>
      <c r="L39" t="inlineStr"/>
      <c r="M39" t="inlineStr">
        <is>
          <t>scalar design; runtime pending</t>
        </is>
      </c>
      <c r="N39" t="inlineStr">
        <is>
          <t>Gatling Tank Reflector</t>
        </is>
      </c>
      <c r="O39" t="inlineStr">
        <is>
          <t>mods/ca/rules/china/vehicles.yaml</t>
        </is>
      </c>
    </row>
    <row r="40">
      <c r="A40" t="inlineStr">
        <is>
          <t>china</t>
        </is>
      </c>
      <c r="B40" t="inlineStr">
        <is>
          <t>chgtnk.Husk</t>
        </is>
      </c>
      <c r="C40" t="inlineStr">
        <is>
          <t>Gatling Tank (Destroyed)</t>
        </is>
      </c>
      <c r="D40" t="inlineStr"/>
      <c r="E40" t="inlineStr"/>
      <c r="F40" t="inlineStr"/>
      <c r="G40" t="inlineStr"/>
      <c r="H40" t="inlineStr">
        <is>
          <t>inherited/unresolved</t>
        </is>
      </c>
      <c r="I40" t="inlineStr"/>
      <c r="J40" t="inlineStr">
        <is>
          <t>^LightHusk</t>
        </is>
      </c>
      <c r="K40" t="inlineStr"/>
      <c r="L40" t="inlineStr"/>
      <c r="M40" t="inlineStr">
        <is>
          <t>not modeled; inspection required</t>
        </is>
      </c>
      <c r="N40" t="inlineStr"/>
      <c r="O40" t="inlineStr">
        <is>
          <t>mods/ca/rules/china/vehicles.yaml</t>
        </is>
      </c>
    </row>
    <row r="41">
      <c r="A41" t="inlineStr">
        <is>
          <t>china</t>
        </is>
      </c>
      <c r="B41" t="inlineStr">
        <is>
          <t>chharv</t>
        </is>
      </c>
      <c r="C41" t="inlineStr">
        <is>
          <t>Harvester Truck</t>
        </is>
      </c>
      <c r="D41" t="inlineStr">
        <is>
          <t>700</t>
        </is>
      </c>
      <c r="E41" t="inlineStr">
        <is>
          <t>30000</t>
        </is>
      </c>
      <c r="F41" t="inlineStr">
        <is>
          <t>66</t>
        </is>
      </c>
      <c r="G41" t="inlineStr">
        <is>
          <t>wheeled</t>
        </is>
      </c>
      <c r="H41" t="inlineStr">
        <is>
          <t>local declaration</t>
        </is>
      </c>
      <c r="I41" t="inlineStr">
        <is>
          <t>chsupply, ~vehicles.china</t>
        </is>
      </c>
      <c r="J41" t="inlineStr">
        <is>
          <t>^HarvesterVehicle, ^VoxelVehicle, ^GeneralsVehicle</t>
        </is>
      </c>
      <c r="K41" t="inlineStr"/>
      <c r="L41" t="inlineStr"/>
      <c r="M41" t="inlineStr">
        <is>
          <t>not modeled; inspection required</t>
        </is>
      </c>
      <c r="N41" t="inlineStr"/>
      <c r="O41" t="inlineStr">
        <is>
          <t>mods/ca/rules/china/vehicles.yaml</t>
        </is>
      </c>
    </row>
    <row r="42">
      <c r="A42" t="inlineStr">
        <is>
          <t>china</t>
        </is>
      </c>
      <c r="B42" t="inlineStr">
        <is>
          <t>chharv.Husk</t>
        </is>
      </c>
      <c r="C42" t="inlineStr">
        <is>
          <t>Supply Truck (Destroyed)</t>
        </is>
      </c>
      <c r="D42" t="inlineStr"/>
      <c r="E42" t="inlineStr"/>
      <c r="F42" t="inlineStr"/>
      <c r="G42" t="inlineStr"/>
      <c r="H42" t="inlineStr">
        <is>
          <t>inherited/unresolved</t>
        </is>
      </c>
      <c r="I42" t="inlineStr"/>
      <c r="J42" t="inlineStr">
        <is>
          <t>^LightHusk</t>
        </is>
      </c>
      <c r="K42" t="inlineStr"/>
      <c r="L42" t="inlineStr"/>
      <c r="M42" t="inlineStr">
        <is>
          <t>not modeled; inspection required</t>
        </is>
      </c>
      <c r="N42" t="inlineStr"/>
      <c r="O42" t="inlineStr">
        <is>
          <t>mods/ca/rules/china/vehicles.yaml</t>
        </is>
      </c>
    </row>
    <row r="43">
      <c r="A43" t="inlineStr">
        <is>
          <t>china</t>
        </is>
      </c>
      <c r="B43" t="inlineStr">
        <is>
          <t>choutpost</t>
        </is>
      </c>
      <c r="C43" t="inlineStr">
        <is>
          <t>Listening Outpost</t>
        </is>
      </c>
      <c r="D43" t="inlineStr">
        <is>
          <t>600</t>
        </is>
      </c>
      <c r="E43" t="inlineStr">
        <is>
          <t>24000</t>
        </is>
      </c>
      <c r="F43" t="inlineStr">
        <is>
          <t>85</t>
        </is>
      </c>
      <c r="G43" t="inlineStr"/>
      <c r="H43" t="inlineStr">
        <is>
          <t>local declaration</t>
        </is>
      </c>
      <c r="I43" t="inlineStr">
        <is>
          <t>radar, vehicles, ~china, ~!upg.outpost</t>
        </is>
      </c>
      <c r="J43" t="inlineStr">
        <is>
          <t>^FightingVehicle, ^VoxelVehicle, ^CloakStealthVoxel, ^BiologicalDriver, ^GeneralsVehicle, ^AnnounceOnBuild, ^Transport, ^SensorEquipment, ^MobileDeployableRadar</t>
        </is>
      </c>
      <c r="K43" t="inlineStr"/>
      <c r="L43" t="inlineStr">
        <is>
          <t>cargo, sensor</t>
        </is>
      </c>
      <c r="M43" t="inlineStr">
        <is>
          <t>not modeled; inspection required</t>
        </is>
      </c>
      <c r="N43" t="inlineStr"/>
      <c r="O43" t="inlineStr">
        <is>
          <t>mods/ca/rules/china/vehicles.yaml</t>
        </is>
      </c>
    </row>
    <row r="44">
      <c r="A44" t="inlineStr">
        <is>
          <t>china</t>
        </is>
      </c>
      <c r="B44" t="inlineStr">
        <is>
          <t>choutpost.Propaganda</t>
        </is>
      </c>
      <c r="C44" t="inlineStr">
        <is>
          <t>Propaganda Outpost</t>
        </is>
      </c>
      <c r="D44" t="inlineStr">
        <is>
          <t>800</t>
        </is>
      </c>
      <c r="E44" t="inlineStr">
        <is>
          <t>35000</t>
        </is>
      </c>
      <c r="F44" t="inlineStr"/>
      <c r="G44" t="inlineStr"/>
      <c r="H44" t="inlineStr">
        <is>
          <t>local declaration</t>
        </is>
      </c>
      <c r="I44" t="inlineStr">
        <is>
          <t>tier3, vehicles, ~chinainf, ~promotion.outpost.propaganda, ~!upg.outpost2</t>
        </is>
      </c>
      <c r="J44" t="inlineStr">
        <is>
          <t>choutpost, ^PropagandaSpeaker</t>
        </is>
      </c>
      <c r="K44" t="inlineStr"/>
      <c r="L44" t="inlineStr">
        <is>
          <t>special attacks</t>
        </is>
      </c>
      <c r="M44" t="inlineStr">
        <is>
          <t>not modeled; inspection required</t>
        </is>
      </c>
      <c r="N44" t="inlineStr"/>
      <c r="O44" t="inlineStr">
        <is>
          <t>mods/ca/rules/china/vehicles.yaml</t>
        </is>
      </c>
    </row>
    <row r="45">
      <c r="A45" t="inlineStr">
        <is>
          <t>china</t>
        </is>
      </c>
      <c r="B45" t="inlineStr">
        <is>
          <t>choutpost.Propaganda.PDL</t>
        </is>
      </c>
      <c r="C45" t="inlineStr">
        <is>
          <t>Propaganda Outpost (PDL)</t>
        </is>
      </c>
      <c r="D45" t="inlineStr">
        <is>
          <t>1300</t>
        </is>
      </c>
      <c r="E45" t="inlineStr"/>
      <c r="F45" t="inlineStr"/>
      <c r="G45" t="inlineStr"/>
      <c r="H45" t="inlineStr">
        <is>
          <t>local declaration</t>
        </is>
      </c>
      <c r="I45" t="inlineStr">
        <is>
          <t>tier3, vehicles, ~china, ~promotion.outpost.propaganda, ~promotion.outpost.pdl</t>
        </is>
      </c>
      <c r="J45" t="inlineStr">
        <is>
          <t>choutpost.Propaganda, ^PointLaserDefenseSystemBig</t>
        </is>
      </c>
      <c r="K45" t="inlineStr"/>
      <c r="L45" t="inlineStr"/>
      <c r="M45" t="inlineStr">
        <is>
          <t>not modeled; inspection required</t>
        </is>
      </c>
      <c r="N45" t="inlineStr"/>
      <c r="O45" t="inlineStr">
        <is>
          <t>mods/ca/rules/china/vehicles.yaml</t>
        </is>
      </c>
    </row>
    <row r="46">
      <c r="A46" t="inlineStr">
        <is>
          <t>china</t>
        </is>
      </c>
      <c r="B46" t="inlineStr">
        <is>
          <t>choutpost.Propaganda.Reflector</t>
        </is>
      </c>
      <c r="C46" t="inlineStr">
        <is>
          <t>Propaganda Outpost (Reflector)</t>
        </is>
      </c>
      <c r="D46" t="inlineStr"/>
      <c r="E46" t="inlineStr"/>
      <c r="F46" t="inlineStr"/>
      <c r="G46" t="inlineStr"/>
      <c r="H46" t="inlineStr">
        <is>
          <t>local declaration</t>
        </is>
      </c>
      <c r="I46" t="inlineStr">
        <is>
          <t>tier3, vehicles, ~china, ~promotion.outpost.propaganda, ~promotion.outpost.reflector</t>
        </is>
      </c>
      <c r="J46" t="inlineStr">
        <is>
          <t>choutpost.Propaganda, ^ReflectorArmor</t>
        </is>
      </c>
      <c r="K46" t="inlineStr"/>
      <c r="L46" t="inlineStr"/>
      <c r="M46" t="inlineStr">
        <is>
          <t>not modeled; inspection required</t>
        </is>
      </c>
      <c r="N46" t="inlineStr"/>
      <c r="O46" t="inlineStr">
        <is>
          <t>mods/ca/rules/china/vehicles.yaml</t>
        </is>
      </c>
    </row>
    <row r="47">
      <c r="A47" t="inlineStr">
        <is>
          <t>china</t>
        </is>
      </c>
      <c r="B47" t="inlineStr">
        <is>
          <t>choutpost.Bunker</t>
        </is>
      </c>
      <c r="C47" t="inlineStr">
        <is>
          <t>Bunker Outpost</t>
        </is>
      </c>
      <c r="D47" t="inlineStr">
        <is>
          <t>1500</t>
        </is>
      </c>
      <c r="E47" t="inlineStr">
        <is>
          <t>35000</t>
        </is>
      </c>
      <c r="F47" t="inlineStr"/>
      <c r="G47" t="inlineStr"/>
      <c r="H47" t="inlineStr">
        <is>
          <t>local declaration</t>
        </is>
      </c>
      <c r="I47" t="inlineStr">
        <is>
          <t>tier3, vehicles, ~chinainf, ~promotion.outpost.bunker, ~!upg.outpost2</t>
        </is>
      </c>
      <c r="J47" t="inlineStr">
        <is>
          <t>choutpost, ^FightingVehicle, ^TDVehicleSprite, ^AttackingCargo, ^PrioAntiHeavyAA</t>
        </is>
      </c>
      <c r="K47" t="inlineStr"/>
      <c r="L47" t="inlineStr">
        <is>
          <t>cargo</t>
        </is>
      </c>
      <c r="M47" t="inlineStr">
        <is>
          <t>not modeled; inspection required</t>
        </is>
      </c>
      <c r="N47" t="inlineStr"/>
      <c r="O47" t="inlineStr">
        <is>
          <t>mods/ca/rules/china/vehicles.yaml</t>
        </is>
      </c>
    </row>
    <row r="48">
      <c r="A48" t="inlineStr">
        <is>
          <t>china</t>
        </is>
      </c>
      <c r="B48" t="inlineStr">
        <is>
          <t>choutpost.Bunker.PDL</t>
        </is>
      </c>
      <c r="C48" t="inlineStr">
        <is>
          <t>Bunker Outpost (PDL)</t>
        </is>
      </c>
      <c r="D48" t="inlineStr">
        <is>
          <t>1600</t>
        </is>
      </c>
      <c r="E48" t="inlineStr"/>
      <c r="F48" t="inlineStr"/>
      <c r="G48" t="inlineStr"/>
      <c r="H48" t="inlineStr">
        <is>
          <t>local declaration</t>
        </is>
      </c>
      <c r="I48" t="inlineStr">
        <is>
          <t>tier3, vehicles, ~china, ~promotion.outpost.bunker, ~promotion.outpost.pdl</t>
        </is>
      </c>
      <c r="J48" t="inlineStr">
        <is>
          <t>choutpost.Bunker, ^PointLaserDefenseSystem, ^AttackingCargoAndTurret</t>
        </is>
      </c>
      <c r="K48" t="inlineStr"/>
      <c r="L48" t="inlineStr">
        <is>
          <t>cargo</t>
        </is>
      </c>
      <c r="M48" t="inlineStr">
        <is>
          <t>not modeled; inspection required</t>
        </is>
      </c>
      <c r="N48" t="inlineStr"/>
      <c r="O48" t="inlineStr">
        <is>
          <t>mods/ca/rules/china/vehicles.yaml</t>
        </is>
      </c>
    </row>
    <row r="49">
      <c r="A49" t="inlineStr">
        <is>
          <t>china</t>
        </is>
      </c>
      <c r="B49" t="inlineStr">
        <is>
          <t>choutpost.Bunker.Reflector</t>
        </is>
      </c>
      <c r="C49" t="inlineStr">
        <is>
          <t>Bunker Outpost (Reflector)</t>
        </is>
      </c>
      <c r="D49" t="inlineStr"/>
      <c r="E49" t="inlineStr"/>
      <c r="F49" t="inlineStr"/>
      <c r="G49" t="inlineStr"/>
      <c r="H49" t="inlineStr">
        <is>
          <t>local declaration</t>
        </is>
      </c>
      <c r="I49" t="inlineStr">
        <is>
          <t>tier3, vehicles, ~china, ~promotion.outpost.bunker, ~promotion.outpost.reflector</t>
        </is>
      </c>
      <c r="J49" t="inlineStr">
        <is>
          <t>choutpost.Bunker, ^ReflectorArmor</t>
        </is>
      </c>
      <c r="K49" t="inlineStr"/>
      <c r="L49" t="inlineStr"/>
      <c r="M49" t="inlineStr">
        <is>
          <t>not modeled; inspection required</t>
        </is>
      </c>
      <c r="N49" t="inlineStr"/>
      <c r="O49" t="inlineStr">
        <is>
          <t>mods/ca/rules/china/vehicles.yaml</t>
        </is>
      </c>
    </row>
    <row r="50">
      <c r="A50" t="inlineStr">
        <is>
          <t>china</t>
        </is>
      </c>
      <c r="B50" t="inlineStr">
        <is>
          <t>checm</t>
        </is>
      </c>
      <c r="C50" t="inlineStr">
        <is>
          <t>ECM Tank</t>
        </is>
      </c>
      <c r="D50" t="inlineStr">
        <is>
          <t>800</t>
        </is>
      </c>
      <c r="E50" t="inlineStr">
        <is>
          <t>24000</t>
        </is>
      </c>
      <c r="F50" t="inlineStr">
        <is>
          <t>90</t>
        </is>
      </c>
      <c r="G50" t="inlineStr"/>
      <c r="H50" t="inlineStr">
        <is>
          <t>local declaration</t>
        </is>
      </c>
      <c r="I50" t="inlineStr">
        <is>
          <t>chweap, radar, ~vehicles.china, ~!upg.ecm</t>
        </is>
      </c>
      <c r="J50" t="inlineStr">
        <is>
          <t>^FightingVehicle, ^VoxelTurretedTank, ^BiologicalDriver, ^PrioEnergyWeapon, ^GeneralsVehicle, ^AnnounceOnBuild, ^AttackTurretedVoice</t>
        </is>
      </c>
      <c r="K50" t="inlineStr">
        <is>
          <t>CHECMDisable</t>
        </is>
      </c>
      <c r="L50" t="inlineStr"/>
      <c r="M50" t="inlineStr">
        <is>
          <t>not modeled; inspection required</t>
        </is>
      </c>
      <c r="N50" t="inlineStr"/>
      <c r="O50" t="inlineStr">
        <is>
          <t>mods/ca/rules/china/vehicles.yaml</t>
        </is>
      </c>
    </row>
    <row r="51">
      <c r="A51" t="inlineStr">
        <is>
          <t>china</t>
        </is>
      </c>
      <c r="B51" t="inlineStr">
        <is>
          <t>checm.pulse</t>
        </is>
      </c>
      <c r="C51" t="inlineStr">
        <is>
          <t>Plasma Pulse Tank</t>
        </is>
      </c>
      <c r="D51" t="inlineStr">
        <is>
          <t>1000</t>
        </is>
      </c>
      <c r="E51" t="inlineStr"/>
      <c r="F51" t="inlineStr"/>
      <c r="G51" t="inlineStr"/>
      <c r="H51" t="inlineStr">
        <is>
          <t>local declaration</t>
        </is>
      </c>
      <c r="I51" t="inlineStr">
        <is>
          <t>tier3, ~vehicles.china, ~promotion.ecm.pulse</t>
        </is>
      </c>
      <c r="J51" t="inlineStr">
        <is>
          <t>checm, ^PrioEnergyAntiHeavy</t>
        </is>
      </c>
      <c r="K51" t="inlineStr">
        <is>
          <t>CHECMBeam.Pulse</t>
        </is>
      </c>
      <c r="L51" t="inlineStr"/>
      <c r="M51" t="inlineStr">
        <is>
          <t>not modeled; inspection required</t>
        </is>
      </c>
      <c r="N51" t="inlineStr"/>
      <c r="O51" t="inlineStr">
        <is>
          <t>mods/ca/rules/china/vehicles.yaml</t>
        </is>
      </c>
    </row>
    <row r="52">
      <c r="A52" t="inlineStr">
        <is>
          <t>china</t>
        </is>
      </c>
      <c r="B52" t="inlineStr">
        <is>
          <t>checm.focus</t>
        </is>
      </c>
      <c r="C52" t="inlineStr">
        <is>
          <t>Plasma Focus Tank</t>
        </is>
      </c>
      <c r="D52" t="inlineStr">
        <is>
          <t>1000</t>
        </is>
      </c>
      <c r="E52" t="inlineStr"/>
      <c r="F52" t="inlineStr"/>
      <c r="G52" t="inlineStr"/>
      <c r="H52" t="inlineStr">
        <is>
          <t>local declaration</t>
        </is>
      </c>
      <c r="I52" t="inlineStr">
        <is>
          <t>tier3, ~vehicles.china, ~promotion.ecm.focus</t>
        </is>
      </c>
      <c r="J52" t="inlineStr">
        <is>
          <t>checm, ^PrioEnergyAntiHeavy</t>
        </is>
      </c>
      <c r="K52" t="inlineStr">
        <is>
          <t>CHECMBeam.Focus</t>
        </is>
      </c>
      <c r="L52" t="inlineStr"/>
      <c r="M52" t="inlineStr">
        <is>
          <t>not modeled; inspection required</t>
        </is>
      </c>
      <c r="N52" t="inlineStr"/>
      <c r="O52" t="inlineStr">
        <is>
          <t>mods/ca/rules/china/vehicles.yaml</t>
        </is>
      </c>
    </row>
    <row r="53">
      <c r="A53" t="inlineStr">
        <is>
          <t>china</t>
        </is>
      </c>
      <c r="B53" t="inlineStr">
        <is>
          <t>checm.chain</t>
        </is>
      </c>
      <c r="C53" t="inlineStr">
        <is>
          <t>Plasma Chain Tank</t>
        </is>
      </c>
      <c r="D53" t="inlineStr">
        <is>
          <t>1000</t>
        </is>
      </c>
      <c r="E53" t="inlineStr"/>
      <c r="F53" t="inlineStr"/>
      <c r="G53" t="inlineStr"/>
      <c r="H53" t="inlineStr">
        <is>
          <t>local declaration</t>
        </is>
      </c>
      <c r="I53" t="inlineStr">
        <is>
          <t>tier3, ~vehicles.china, ~promotion.ecm.chain</t>
        </is>
      </c>
      <c r="J53" t="inlineStr">
        <is>
          <t>checm</t>
        </is>
      </c>
      <c r="K53" t="inlineStr">
        <is>
          <t>CHECMBeam.Chain</t>
        </is>
      </c>
      <c r="L53" t="inlineStr"/>
      <c r="M53" t="inlineStr">
        <is>
          <t>not modeled; inspection required</t>
        </is>
      </c>
      <c r="N53" t="inlineStr"/>
      <c r="O53" t="inlineStr">
        <is>
          <t>mods/ca/rules/china/vehicles.yaml</t>
        </is>
      </c>
    </row>
    <row r="54">
      <c r="A54" t="inlineStr">
        <is>
          <t>china</t>
        </is>
      </c>
      <c r="B54" t="inlineStr">
        <is>
          <t>CHTRUK</t>
        </is>
      </c>
      <c r="C54" t="inlineStr"/>
      <c r="D54" t="inlineStr"/>
      <c r="E54" t="inlineStr"/>
      <c r="F54" t="inlineStr"/>
      <c r="G54" t="inlineStr"/>
      <c r="H54" t="inlineStr">
        <is>
          <t>local declaration</t>
        </is>
      </c>
      <c r="I54" t="inlineStr"/>
      <c r="J54" t="inlineStr">
        <is>
          <t>TRUK</t>
        </is>
      </c>
      <c r="K54" t="inlineStr"/>
      <c r="L54" t="inlineStr"/>
      <c r="M54" t="inlineStr">
        <is>
          <t>not modeled; inspection required</t>
        </is>
      </c>
      <c r="N54" t="inlineStr"/>
      <c r="O54" t="inlineStr">
        <is>
          <t>mods/ca/rules/china/vehicles.yaml</t>
        </is>
      </c>
    </row>
    <row r="55">
      <c r="A55" t="inlineStr">
        <is>
          <t>china</t>
        </is>
      </c>
      <c r="B55" t="inlineStr">
        <is>
          <t>chcrawl</t>
        </is>
      </c>
      <c r="C55" t="inlineStr">
        <is>
          <t>Troop Crawler</t>
        </is>
      </c>
      <c r="D55" t="inlineStr">
        <is>
          <t>1350</t>
        </is>
      </c>
      <c r="E55" t="inlineStr">
        <is>
          <t>27500</t>
        </is>
      </c>
      <c r="F55" t="inlineStr">
        <is>
          <t>110</t>
        </is>
      </c>
      <c r="G55" t="inlineStr"/>
      <c r="H55" t="inlineStr">
        <is>
          <t>local declaration</t>
        </is>
      </c>
      <c r="I55" t="inlineStr">
        <is>
          <t>chweap, ~vehicles.china, ~!vehicles.chinainf</t>
        </is>
      </c>
      <c r="J55" t="inlineStr">
        <is>
          <t>^FightingVehicle, ^VoxelVehicle, ^BiologicalDriver, ^GeneralsVehicle, ^AnnounceOnBuild, ^Transport</t>
        </is>
      </c>
      <c r="K55" t="inlineStr"/>
      <c r="L55" t="inlineStr">
        <is>
          <t>cargo</t>
        </is>
      </c>
      <c r="M55" t="inlineStr">
        <is>
          <t>not modeled; inspection required</t>
        </is>
      </c>
      <c r="N55" t="inlineStr"/>
      <c r="O55" t="inlineStr">
        <is>
          <t>mods/ca/rules/china/vehicles.yaml</t>
        </is>
      </c>
    </row>
    <row r="56">
      <c r="A56" t="inlineStr">
        <is>
          <t>china</t>
        </is>
      </c>
      <c r="B56" t="inlineStr">
        <is>
          <t>chcrawl2</t>
        </is>
      </c>
      <c r="C56" t="inlineStr">
        <is>
          <t>Heavy Troop Crawler</t>
        </is>
      </c>
      <c r="D56" t="inlineStr">
        <is>
          <t>1000</t>
        </is>
      </c>
      <c r="E56" t="inlineStr">
        <is>
          <t>45000</t>
        </is>
      </c>
      <c r="F56" t="inlineStr">
        <is>
          <t>125</t>
        </is>
      </c>
      <c r="G56" t="inlineStr"/>
      <c r="H56" t="inlineStr">
        <is>
          <t>local declaration</t>
        </is>
      </c>
      <c r="I56" t="inlineStr">
        <is>
          <t>chweap, ~vehicles.chinainf, ~!upg.crawler</t>
        </is>
      </c>
      <c r="J56" t="inlineStr">
        <is>
          <t>chcrawl, ^Tank, ^PrioAntiLight, ^AttackingCargo</t>
        </is>
      </c>
      <c r="K56" t="inlineStr"/>
      <c r="L56" t="inlineStr">
        <is>
          <t>cargo</t>
        </is>
      </c>
      <c r="M56" t="inlineStr">
        <is>
          <t>not modeled; inspection required</t>
        </is>
      </c>
      <c r="N56" t="inlineStr"/>
      <c r="O56" t="inlineStr">
        <is>
          <t>mods/ca/rules/china/vehicles.yaml</t>
        </is>
      </c>
    </row>
    <row r="57">
      <c r="A57" t="inlineStr">
        <is>
          <t>china</t>
        </is>
      </c>
      <c r="B57" t="inlineStr">
        <is>
          <t>chcrawl2.Hunter</t>
        </is>
      </c>
      <c r="C57" t="inlineStr">
        <is>
          <t>Hunter Troop Crawler</t>
        </is>
      </c>
      <c r="D57" t="inlineStr">
        <is>
          <t>2500</t>
        </is>
      </c>
      <c r="E57" t="inlineStr"/>
      <c r="F57" t="inlineStr"/>
      <c r="G57" t="inlineStr"/>
      <c r="H57" t="inlineStr">
        <is>
          <t>local declaration</t>
        </is>
      </c>
      <c r="I57" t="inlineStr">
        <is>
          <t>radar, ~promotion.crawler.hunter, ~!upg.crawler2</t>
        </is>
      </c>
      <c r="J57" t="inlineStr">
        <is>
          <t>chcrawl2, ^PrioAntiHeavyAA</t>
        </is>
      </c>
      <c r="K57" t="inlineStr"/>
      <c r="L57" t="inlineStr">
        <is>
          <t>cargo</t>
        </is>
      </c>
      <c r="M57" t="inlineStr">
        <is>
          <t>not modeled; inspection required</t>
        </is>
      </c>
      <c r="N57" t="inlineStr"/>
      <c r="O57" t="inlineStr">
        <is>
          <t>mods/ca/rules/china/vehicles.yaml</t>
        </is>
      </c>
    </row>
    <row r="58">
      <c r="A58" t="inlineStr">
        <is>
          <t>china</t>
        </is>
      </c>
      <c r="B58" t="inlineStr">
        <is>
          <t>chcrawl2.Hunter.PDL</t>
        </is>
      </c>
      <c r="C58" t="inlineStr">
        <is>
          <t>Hunter Troop Crawler (PDL)</t>
        </is>
      </c>
      <c r="D58" t="inlineStr">
        <is>
          <t>3200</t>
        </is>
      </c>
      <c r="E58" t="inlineStr"/>
      <c r="F58" t="inlineStr"/>
      <c r="G58" t="inlineStr"/>
      <c r="H58" t="inlineStr">
        <is>
          <t>local declaration</t>
        </is>
      </c>
      <c r="I58" t="inlineStr">
        <is>
          <t>tier3, ~promotion.crawler.hunter, ~promotion.crawler.pdl</t>
        </is>
      </c>
      <c r="J58" t="inlineStr">
        <is>
          <t>chcrawl2.Hunter, ^AttackingCargoAndPDL</t>
        </is>
      </c>
      <c r="K58" t="inlineStr"/>
      <c r="L58" t="inlineStr">
        <is>
          <t>cargo</t>
        </is>
      </c>
      <c r="M58" t="inlineStr">
        <is>
          <t>not modeled; inspection required</t>
        </is>
      </c>
      <c r="N58" t="inlineStr"/>
      <c r="O58" t="inlineStr">
        <is>
          <t>mods/ca/rules/china/vehicles.yaml</t>
        </is>
      </c>
    </row>
    <row r="59">
      <c r="A59" t="inlineStr">
        <is>
          <t>china</t>
        </is>
      </c>
      <c r="B59" t="inlineStr">
        <is>
          <t>chcrawl2.Hunter.Reflector</t>
        </is>
      </c>
      <c r="C59" t="inlineStr">
        <is>
          <t>Hunter Troop Crawler (Reflector)</t>
        </is>
      </c>
      <c r="D59" t="inlineStr">
        <is>
          <t>2500</t>
        </is>
      </c>
      <c r="E59" t="inlineStr"/>
      <c r="F59" t="inlineStr"/>
      <c r="G59" t="inlineStr"/>
      <c r="H59" t="inlineStr">
        <is>
          <t>local declaration</t>
        </is>
      </c>
      <c r="I59" t="inlineStr">
        <is>
          <t>tier3, ~promotion.crawler.hunter, ~promotion.crawler.reflector</t>
        </is>
      </c>
      <c r="J59" t="inlineStr">
        <is>
          <t>chcrawl2.Hunter, ^ReflectorArmor</t>
        </is>
      </c>
      <c r="K59" t="inlineStr"/>
      <c r="L59" t="inlineStr"/>
      <c r="M59" t="inlineStr">
        <is>
          <t>not modeled; inspection required</t>
        </is>
      </c>
      <c r="N59" t="inlineStr"/>
      <c r="O59" t="inlineStr">
        <is>
          <t>mods/ca/rules/china/vehicles.yaml</t>
        </is>
      </c>
    </row>
    <row r="60">
      <c r="A60" t="inlineStr">
        <is>
          <t>china</t>
        </is>
      </c>
      <c r="B60" t="inlineStr">
        <is>
          <t>chcrawl2.Assault</t>
        </is>
      </c>
      <c r="C60" t="inlineStr">
        <is>
          <t>Assault Troop Crawler</t>
        </is>
      </c>
      <c r="D60" t="inlineStr">
        <is>
          <t>2000</t>
        </is>
      </c>
      <c r="E60" t="inlineStr"/>
      <c r="F60" t="inlineStr"/>
      <c r="G60" t="inlineStr"/>
      <c r="H60" t="inlineStr">
        <is>
          <t>local declaration</t>
        </is>
      </c>
      <c r="I60" t="inlineStr">
        <is>
          <t>radar, ~promotion.crawler.assault, ~promotion.crawler.reflector, ~!upg.crawler2</t>
        </is>
      </c>
      <c r="J60" t="inlineStr">
        <is>
          <t>chcrawl2, ^PrioAntiLightAA</t>
        </is>
      </c>
      <c r="K60" t="inlineStr"/>
      <c r="L60" t="inlineStr">
        <is>
          <t>cargo</t>
        </is>
      </c>
      <c r="M60" t="inlineStr">
        <is>
          <t>not modeled; inspection required</t>
        </is>
      </c>
      <c r="N60" t="inlineStr"/>
      <c r="O60" t="inlineStr">
        <is>
          <t>mods/ca/rules/china/vehicles.yaml</t>
        </is>
      </c>
    </row>
    <row r="61">
      <c r="A61" t="inlineStr">
        <is>
          <t>china</t>
        </is>
      </c>
      <c r="B61" t="inlineStr">
        <is>
          <t>chcrawl2.Assault.PDL</t>
        </is>
      </c>
      <c r="C61" t="inlineStr">
        <is>
          <t>Assault Troop Crawler (PDL)</t>
        </is>
      </c>
      <c r="D61" t="inlineStr">
        <is>
          <t>2600</t>
        </is>
      </c>
      <c r="E61" t="inlineStr"/>
      <c r="F61" t="inlineStr"/>
      <c r="G61" t="inlineStr"/>
      <c r="H61" t="inlineStr">
        <is>
          <t>local declaration</t>
        </is>
      </c>
      <c r="I61" t="inlineStr">
        <is>
          <t>tier3, ~promotion.crawler.assault, ~promotion.crawler.pdl</t>
        </is>
      </c>
      <c r="J61" t="inlineStr">
        <is>
          <t>chcrawl2.Assault, ^AttackingCargoAndPDL</t>
        </is>
      </c>
      <c r="K61" t="inlineStr"/>
      <c r="L61" t="inlineStr">
        <is>
          <t>cargo</t>
        </is>
      </c>
      <c r="M61" t="inlineStr">
        <is>
          <t>not modeled; inspection required</t>
        </is>
      </c>
      <c r="N61" t="inlineStr"/>
      <c r="O61" t="inlineStr">
        <is>
          <t>mods/ca/rules/china/vehicles.yaml</t>
        </is>
      </c>
    </row>
    <row r="62">
      <c r="A62" t="inlineStr">
        <is>
          <t>china</t>
        </is>
      </c>
      <c r="B62" t="inlineStr">
        <is>
          <t>chcrawl2.Assault.Reflector</t>
        </is>
      </c>
      <c r="C62" t="inlineStr">
        <is>
          <t>Assault Troop Crawler (Reflector)</t>
        </is>
      </c>
      <c r="D62" t="inlineStr">
        <is>
          <t>2000</t>
        </is>
      </c>
      <c r="E62" t="inlineStr"/>
      <c r="F62" t="inlineStr"/>
      <c r="G62" t="inlineStr"/>
      <c r="H62" t="inlineStr">
        <is>
          <t>local declaration</t>
        </is>
      </c>
      <c r="I62" t="inlineStr">
        <is>
          <t>tier3, ~promotion.crawler.assault, ~promotion.crawler.reflector</t>
        </is>
      </c>
      <c r="J62" t="inlineStr">
        <is>
          <t>chcrawl2.Assault, ^ReflectorArmor</t>
        </is>
      </c>
      <c r="K62" t="inlineStr"/>
      <c r="L62" t="inlineStr"/>
      <c r="M62" t="inlineStr">
        <is>
          <t>not modeled; inspection required</t>
        </is>
      </c>
      <c r="N62" t="inlineStr"/>
      <c r="O62" t="inlineStr">
        <is>
          <t>mods/ca/rules/china/vehicles.yaml</t>
        </is>
      </c>
    </row>
    <row r="63">
      <c r="A63" t="inlineStr">
        <is>
          <t>china</t>
        </is>
      </c>
      <c r="B63" t="inlineStr">
        <is>
          <t>chcrawl.Husk</t>
        </is>
      </c>
      <c r="C63" t="inlineStr">
        <is>
          <t>Troop Crawler (Destroyed)</t>
        </is>
      </c>
      <c r="D63" t="inlineStr"/>
      <c r="E63" t="inlineStr"/>
      <c r="F63" t="inlineStr"/>
      <c r="G63" t="inlineStr"/>
      <c r="H63" t="inlineStr">
        <is>
          <t>inherited/unresolved</t>
        </is>
      </c>
      <c r="I63" t="inlineStr"/>
      <c r="J63" t="inlineStr">
        <is>
          <t>^LightHusk</t>
        </is>
      </c>
      <c r="K63" t="inlineStr"/>
      <c r="L63" t="inlineStr"/>
      <c r="M63" t="inlineStr">
        <is>
          <t>not modeled; inspection required</t>
        </is>
      </c>
      <c r="N63" t="inlineStr"/>
      <c r="O63" t="inlineStr">
        <is>
          <t>mods/ca/rules/china/vehicles.yaml</t>
        </is>
      </c>
    </row>
    <row r="64">
      <c r="A64" t="inlineStr">
        <is>
          <t>china</t>
        </is>
      </c>
      <c r="B64" t="inlineStr">
        <is>
          <t>chnukecann</t>
        </is>
      </c>
      <c r="C64" t="inlineStr">
        <is>
          <t>Nuke Cannon</t>
        </is>
      </c>
      <c r="D64" t="inlineStr">
        <is>
          <t>2400</t>
        </is>
      </c>
      <c r="E64" t="inlineStr">
        <is>
          <t>24000</t>
        </is>
      </c>
      <c r="F64" t="inlineStr">
        <is>
          <t>55</t>
        </is>
      </c>
      <c r="G64" t="inlineStr">
        <is>
          <t>tracked</t>
        </is>
      </c>
      <c r="H64" t="inlineStr">
        <is>
          <t>local declaration</t>
        </is>
      </c>
      <c r="I64" t="inlineStr">
        <is>
          <t>tier3, ~chweap, ~nuke_cannon.access, ~!upg.nuke_cannon</t>
        </is>
      </c>
      <c r="J64" t="inlineStr">
        <is>
          <t>^FightingTankTurreted, ^VoxelTurretedTank, ^BigVehicle, ^BiologicalDriver, ^PrioArtillery, ^GeneralsVehicle, ^AttackTurretedVoice, ^DeployToAttack</t>
        </is>
      </c>
      <c r="K64" t="inlineStr">
        <is>
          <t>CHNukeCannon</t>
        </is>
      </c>
      <c r="L64" t="inlineStr"/>
      <c r="M64" t="inlineStr">
        <is>
          <t>not modeled; inspection required</t>
        </is>
      </c>
      <c r="N64" t="inlineStr"/>
      <c r="O64" t="inlineStr">
        <is>
          <t>mods/ca/rules/china/vehicles.yaml</t>
        </is>
      </c>
    </row>
    <row r="65">
      <c r="A65" t="inlineStr">
        <is>
          <t>china</t>
        </is>
      </c>
      <c r="B65" t="inlineStr">
        <is>
          <t>chnukecann.Range</t>
        </is>
      </c>
      <c r="C65" t="inlineStr">
        <is>
          <t>Nuke Cannon (Range)</t>
        </is>
      </c>
      <c r="D65" t="inlineStr">
        <is>
          <t>2700</t>
        </is>
      </c>
      <c r="E65" t="inlineStr">
        <is>
          <t>30000</t>
        </is>
      </c>
      <c r="F65" t="inlineStr"/>
      <c r="G65" t="inlineStr"/>
      <c r="H65" t="inlineStr">
        <is>
          <t>local declaration</t>
        </is>
      </c>
      <c r="I65" t="inlineStr">
        <is>
          <t>chweap, tier3, ~vehicles.chinaatom, ~promotion.nuke_cannon.range</t>
        </is>
      </c>
      <c r="J65" t="inlineStr">
        <is>
          <t>chnukecann</t>
        </is>
      </c>
      <c r="K65" t="inlineStr">
        <is>
          <t>CHNukeCannon.Range</t>
        </is>
      </c>
      <c r="L65" t="inlineStr"/>
      <c r="M65" t="inlineStr">
        <is>
          <t>not modeled; inspection required</t>
        </is>
      </c>
      <c r="N65" t="inlineStr"/>
      <c r="O65" t="inlineStr">
        <is>
          <t>mods/ca/rules/china/vehicles.yaml</t>
        </is>
      </c>
    </row>
    <row r="66">
      <c r="A66" t="inlineStr">
        <is>
          <t>china</t>
        </is>
      </c>
      <c r="B66" t="inlineStr">
        <is>
          <t>chnukecann.Neutron</t>
        </is>
      </c>
      <c r="C66" t="inlineStr">
        <is>
          <t>Neutron Cannon (Neutron)</t>
        </is>
      </c>
      <c r="D66" t="inlineStr">
        <is>
          <t>2700</t>
        </is>
      </c>
      <c r="E66" t="inlineStr">
        <is>
          <t>30000</t>
        </is>
      </c>
      <c r="F66" t="inlineStr"/>
      <c r="G66" t="inlineStr"/>
      <c r="H66" t="inlineStr">
        <is>
          <t>local declaration</t>
        </is>
      </c>
      <c r="I66" t="inlineStr">
        <is>
          <t>chweap, tier3, ~vehicles.chinaatom, ~promotion.nuke_cannon.neutron</t>
        </is>
      </c>
      <c r="J66" t="inlineStr">
        <is>
          <t>chnukecann</t>
        </is>
      </c>
      <c r="K66" t="inlineStr">
        <is>
          <t>CHNukeCannon.Neutron</t>
        </is>
      </c>
      <c r="L66" t="inlineStr"/>
      <c r="M66" t="inlineStr">
        <is>
          <t>not modeled; inspection required</t>
        </is>
      </c>
      <c r="N66" t="inlineStr"/>
      <c r="O66" t="inlineStr">
        <is>
          <t>mods/ca/rules/china/vehicles.yaml</t>
        </is>
      </c>
    </row>
    <row r="67">
      <c r="A67" t="inlineStr">
        <is>
          <t>china</t>
        </is>
      </c>
      <c r="B67" t="inlineStr">
        <is>
          <t>chnukecannon.shell</t>
        </is>
      </c>
      <c r="C67" t="inlineStr">
        <is>
          <t>Nuclear Shell</t>
        </is>
      </c>
      <c r="D67" t="inlineStr">
        <is>
          <t>50</t>
        </is>
      </c>
      <c r="E67" t="inlineStr">
        <is>
          <t>15000</t>
        </is>
      </c>
      <c r="F67" t="inlineStr"/>
      <c r="G67" t="inlineStr"/>
      <c r="H67" t="inlineStr">
        <is>
          <t>inherited/unresolved</t>
        </is>
      </c>
      <c r="I67" t="inlineStr"/>
      <c r="J67" t="inlineStr">
        <is>
          <t>^ShootableMissile</t>
        </is>
      </c>
      <c r="K67" t="inlineStr"/>
      <c r="L67" t="inlineStr"/>
      <c r="M67" t="inlineStr">
        <is>
          <t>not modeled; inspection required</t>
        </is>
      </c>
      <c r="N67" t="inlineStr"/>
      <c r="O67" t="inlineStr">
        <is>
          <t>mods/ca/rules/china/vehicles.yaml</t>
        </is>
      </c>
    </row>
    <row r="68">
      <c r="A68" t="inlineStr">
        <is>
          <t>china</t>
        </is>
      </c>
      <c r="B68" t="inlineStr">
        <is>
          <t>chnukecannon.shell.range</t>
        </is>
      </c>
      <c r="C68" t="inlineStr"/>
      <c r="D68" t="inlineStr"/>
      <c r="E68" t="inlineStr"/>
      <c r="F68" t="inlineStr"/>
      <c r="G68" t="inlineStr"/>
      <c r="H68" t="inlineStr">
        <is>
          <t>inherited/unresolved</t>
        </is>
      </c>
      <c r="I68" t="inlineStr"/>
      <c r="J68" t="inlineStr">
        <is>
          <t>chnukecannon.shell</t>
        </is>
      </c>
      <c r="K68" t="inlineStr"/>
      <c r="L68" t="inlineStr"/>
      <c r="M68" t="inlineStr">
        <is>
          <t>not modeled; inspection required</t>
        </is>
      </c>
      <c r="N68" t="inlineStr"/>
      <c r="O68" t="inlineStr">
        <is>
          <t>mods/ca/rules/china/vehicles.yaml</t>
        </is>
      </c>
    </row>
    <row r="69">
      <c r="A69" t="inlineStr">
        <is>
          <t>china</t>
        </is>
      </c>
      <c r="B69" t="inlineStr">
        <is>
          <t>chnukecannon.shell.neutron</t>
        </is>
      </c>
      <c r="C69" t="inlineStr">
        <is>
          <t>Neutron Shell</t>
        </is>
      </c>
      <c r="D69" t="inlineStr"/>
      <c r="E69" t="inlineStr"/>
      <c r="F69" t="inlineStr"/>
      <c r="G69" t="inlineStr"/>
      <c r="H69" t="inlineStr">
        <is>
          <t>inherited/unresolved</t>
        </is>
      </c>
      <c r="I69" t="inlineStr"/>
      <c r="J69" t="inlineStr">
        <is>
          <t>chnukecannon.shell</t>
        </is>
      </c>
      <c r="K69" t="inlineStr"/>
      <c r="L69" t="inlineStr"/>
      <c r="M69" t="inlineStr">
        <is>
          <t>not modeled; inspection required</t>
        </is>
      </c>
      <c r="N69" t="inlineStr"/>
      <c r="O69" t="inlineStr">
        <is>
          <t>mods/ca/rules/china/vehicles.yaml</t>
        </is>
      </c>
    </row>
    <row r="70">
      <c r="A70" t="inlineStr">
        <is>
          <t>china</t>
        </is>
      </c>
      <c r="B70" t="inlineStr">
        <is>
          <t>chnukecann.Husk</t>
        </is>
      </c>
      <c r="C70" t="inlineStr">
        <is>
          <t>Nuke Cannon (Destroyed)</t>
        </is>
      </c>
      <c r="D70" t="inlineStr"/>
      <c r="E70" t="inlineStr"/>
      <c r="F70" t="inlineStr"/>
      <c r="G70" t="inlineStr"/>
      <c r="H70" t="inlineStr">
        <is>
          <t>inherited/unresolved</t>
        </is>
      </c>
      <c r="I70" t="inlineStr"/>
      <c r="J70" t="inlineStr">
        <is>
          <t>^LightHusk</t>
        </is>
      </c>
      <c r="K70" t="inlineStr"/>
      <c r="L70" t="inlineStr"/>
      <c r="M70" t="inlineStr">
        <is>
          <t>not modeled; inspection required</t>
        </is>
      </c>
      <c r="N70" t="inlineStr"/>
      <c r="O70" t="inlineStr">
        <is>
          <t>mods/ca/rules/china/vehicles.yaml</t>
        </is>
      </c>
    </row>
    <row r="71">
      <c r="A71" t="inlineStr">
        <is>
          <t>china</t>
        </is>
      </c>
      <c r="B71" t="inlineStr">
        <is>
          <t>Bixi</t>
        </is>
      </c>
      <c r="C71" t="inlineStr">
        <is>
          <t>Bixi Dragon</t>
        </is>
      </c>
      <c r="D71" t="inlineStr">
        <is>
          <t>900</t>
        </is>
      </c>
      <c r="E71" t="inlineStr">
        <is>
          <t>16000</t>
        </is>
      </c>
      <c r="F71" t="inlineStr">
        <is>
          <t>56</t>
        </is>
      </c>
      <c r="G71" t="inlineStr"/>
      <c r="H71" t="inlineStr">
        <is>
          <t>local declaration</t>
        </is>
      </c>
      <c r="I71" t="inlineStr">
        <is>
          <t>tier3, ~chweap, ~promotion.bixi_dragon</t>
        </is>
      </c>
      <c r="J71" t="inlineStr">
        <is>
          <t>^FightingVehicle, ^VoxelVehicle, ^BiologicalDriver, ^PrioArtillery, ^SovietArtillery</t>
        </is>
      </c>
      <c r="K71" t="inlineStr">
        <is>
          <t>BixiLauncher</t>
        </is>
      </c>
      <c r="L71" t="inlineStr"/>
      <c r="M71" t="inlineStr">
        <is>
          <t>not modeled; inspection required</t>
        </is>
      </c>
      <c r="N71" t="inlineStr"/>
      <c r="O71" t="inlineStr">
        <is>
          <t>mods/ca/rules/china/vehicles.yaml</t>
        </is>
      </c>
    </row>
    <row r="72">
      <c r="A72" t="inlineStr">
        <is>
          <t>china</t>
        </is>
      </c>
      <c r="B72" t="inlineStr">
        <is>
          <t>Bixi.Missile</t>
        </is>
      </c>
      <c r="C72" t="inlineStr">
        <is>
          <t>Bixi Missile</t>
        </is>
      </c>
      <c r="D72" t="inlineStr"/>
      <c r="E72" t="inlineStr">
        <is>
          <t>8000</t>
        </is>
      </c>
      <c r="F72" t="inlineStr"/>
      <c r="G72" t="inlineStr"/>
      <c r="H72" t="inlineStr">
        <is>
          <t>inherited/unresolved</t>
        </is>
      </c>
      <c r="I72" t="inlineStr"/>
      <c r="J72" t="inlineStr">
        <is>
          <t>^VoxelShootableMissile</t>
        </is>
      </c>
      <c r="K72" t="inlineStr"/>
      <c r="L72" t="inlineStr"/>
      <c r="M72" t="inlineStr">
        <is>
          <t>not modeled; inspection required</t>
        </is>
      </c>
      <c r="N72" t="inlineStr"/>
      <c r="O72" t="inlineStr">
        <is>
          <t>mods/ca/rules/china/vehicles.yaml</t>
        </is>
      </c>
    </row>
    <row r="73">
      <c r="A73" t="inlineStr">
        <is>
          <t>gdi</t>
        </is>
      </c>
      <c r="B73" t="inlineStr">
        <is>
          <t>HMMV</t>
        </is>
      </c>
      <c r="C73" t="inlineStr">
        <is>
          <t>Hum-Vee</t>
        </is>
      </c>
      <c r="D73" t="inlineStr">
        <is>
          <t>400</t>
        </is>
      </c>
      <c r="E73" t="inlineStr">
        <is>
          <t>15000</t>
        </is>
      </c>
      <c r="F73" t="inlineStr">
        <is>
          <t>157</t>
        </is>
      </c>
      <c r="G73" t="inlineStr"/>
      <c r="H73" t="inlineStr">
        <is>
          <t>local declaration</t>
        </is>
      </c>
      <c r="I73" t="inlineStr">
        <is>
          <t>weap.td, vehicles, ~eagle</t>
        </is>
      </c>
      <c r="J73" t="inlineStr">
        <is>
          <t>^FightingVehicleTurreted, ^VoxelTurretedTank, ^BiologicalDriver, ^SensorEquipment, ^PrioAntiInfantry</t>
        </is>
      </c>
      <c r="K73" t="inlineStr">
        <is>
          <t>M60mgTD</t>
        </is>
      </c>
      <c r="L73" t="inlineStr">
        <is>
          <t>sensor</t>
        </is>
      </c>
      <c r="M73" t="inlineStr">
        <is>
          <t>scalar design; runtime pending</t>
        </is>
      </c>
      <c r="N73" t="inlineStr">
        <is>
          <t>Hum-Vee baseline</t>
        </is>
      </c>
      <c r="O73" t="inlineStr">
        <is>
          <t>mods/ca/rules/gdi/vehicles.yaml</t>
        </is>
      </c>
    </row>
    <row r="74">
      <c r="A74" t="inlineStr">
        <is>
          <t>gdi</t>
        </is>
      </c>
      <c r="B74" t="inlineStr">
        <is>
          <t>MTNK</t>
        </is>
      </c>
      <c r="C74" t="inlineStr">
        <is>
          <t>Battle Tank</t>
        </is>
      </c>
      <c r="D74" t="inlineStr">
        <is>
          <t>900</t>
        </is>
      </c>
      <c r="E74" t="inlineStr">
        <is>
          <t>52000</t>
        </is>
      </c>
      <c r="F74" t="inlineStr">
        <is>
          <t>82</t>
        </is>
      </c>
      <c r="G74" t="inlineStr"/>
      <c r="H74" t="inlineStr">
        <is>
          <t>local declaration</t>
        </is>
      </c>
      <c r="I74" t="inlineStr">
        <is>
          <t>vehicles, ~gdi, ~!upg.gdibattletank</t>
        </is>
      </c>
      <c r="J74" t="inlineStr">
        <is>
          <t>^FightingTankTurreted, ^VoxelTurretedTank, ^BiologicalDriver, ^DronePairing, ^GDIHeavyVehicleArmor, ^PrioAntiHeavy</t>
        </is>
      </c>
      <c r="K74" t="inlineStr">
        <is>
          <t>120mm</t>
        </is>
      </c>
      <c r="L74" t="inlineStr"/>
      <c r="M74" t="inlineStr">
        <is>
          <t>scalar design; runtime pending</t>
        </is>
      </c>
      <c r="N74" t="inlineStr">
        <is>
          <t>GDI Battle Tank baseline</t>
        </is>
      </c>
      <c r="O74" t="inlineStr">
        <is>
          <t>mods/ca/rules/gdi/vehicles.yaml</t>
        </is>
      </c>
    </row>
    <row r="75">
      <c r="A75" t="inlineStr">
        <is>
          <t>gdi</t>
        </is>
      </c>
      <c r="B75" t="inlineStr">
        <is>
          <t>MTNK.PDL</t>
        </is>
      </c>
      <c r="C75" t="inlineStr">
        <is>
          <t>Battle Tank (PDL)</t>
        </is>
      </c>
      <c r="D75" t="inlineStr">
        <is>
          <t>1500</t>
        </is>
      </c>
      <c r="E75" t="inlineStr"/>
      <c r="F75" t="inlineStr"/>
      <c r="G75" t="inlineStr"/>
      <c r="H75" t="inlineStr">
        <is>
          <t>local declaration</t>
        </is>
      </c>
      <c r="I75" t="inlineStr">
        <is>
          <t>vehicles, ~gdi, ~promotion.battle_tank.pdl</t>
        </is>
      </c>
      <c r="J75" t="inlineStr">
        <is>
          <t>MTNK, ^PointLaserDefenseSystem</t>
        </is>
      </c>
      <c r="K75" t="inlineStr"/>
      <c r="L75" t="inlineStr"/>
      <c r="M75" t="inlineStr">
        <is>
          <t>not modeled; inspection required</t>
        </is>
      </c>
      <c r="N75" t="inlineStr"/>
      <c r="O75" t="inlineStr">
        <is>
          <t>mods/ca/rules/gdi/vehicles.yaml</t>
        </is>
      </c>
    </row>
    <row r="76">
      <c r="A76" t="inlineStr">
        <is>
          <t>gdi</t>
        </is>
      </c>
      <c r="B76" t="inlineStr">
        <is>
          <t>MTNK.Reflector</t>
        </is>
      </c>
      <c r="C76" t="inlineStr">
        <is>
          <t>Battle Tank (Reflector)</t>
        </is>
      </c>
      <c r="D76" t="inlineStr"/>
      <c r="E76" t="inlineStr"/>
      <c r="F76" t="inlineStr"/>
      <c r="G76" t="inlineStr"/>
      <c r="H76" t="inlineStr">
        <is>
          <t>local declaration</t>
        </is>
      </c>
      <c r="I76" t="inlineStr">
        <is>
          <t>vehicles, ~gdi, ~promotion.battle_tank.reflector</t>
        </is>
      </c>
      <c r="J76" t="inlineStr">
        <is>
          <t>MTNK, ^ReflectorArmor</t>
        </is>
      </c>
      <c r="K76" t="inlineStr"/>
      <c r="L76" t="inlineStr"/>
      <c r="M76" t="inlineStr">
        <is>
          <t>not modeled; inspection required</t>
        </is>
      </c>
      <c r="N76" t="inlineStr"/>
      <c r="O76" t="inlineStr">
        <is>
          <t>mods/ca/rules/gdi/vehicles.yaml</t>
        </is>
      </c>
    </row>
    <row r="77">
      <c r="A77" t="inlineStr">
        <is>
          <t>gdi</t>
        </is>
      </c>
      <c r="B77" t="inlineStr">
        <is>
          <t>Mammoth</t>
        </is>
      </c>
      <c r="C77" t="inlineStr">
        <is>
          <t>Mammoth Tank</t>
        </is>
      </c>
      <c r="D77" t="inlineStr">
        <is>
          <t>1700</t>
        </is>
      </c>
      <c r="E77" t="inlineStr">
        <is>
          <t>78000</t>
        </is>
      </c>
      <c r="F77" t="inlineStr">
        <is>
          <t>52</t>
        </is>
      </c>
      <c r="G77" t="inlineStr">
        <is>
          <t>heavytracked</t>
        </is>
      </c>
      <c r="H77" t="inlineStr">
        <is>
          <t>local declaration</t>
        </is>
      </c>
      <c r="I77" t="inlineStr">
        <is>
          <t>tier3, vehicles, ~gdi, ~!talon, ~!upg.gdimammoth</t>
        </is>
      </c>
      <c r="J77" t="inlineStr">
        <is>
          <t>^FightingTankTurreted, ^VoxelTurretedTank, ^BigVehicle, ^BiologicalDriver, ^DronePairing, ^GDIHeavyVehicleArmor, ^PrioAntiHeavy</t>
        </is>
      </c>
      <c r="K77" t="inlineStr">
        <is>
          <t>130mmTD, MammothTusk</t>
        </is>
      </c>
      <c r="L77" t="inlineStr">
        <is>
          <t>multiple/conditional armaments</t>
        </is>
      </c>
      <c r="M77" t="inlineStr">
        <is>
          <t>not modeled; inspection required</t>
        </is>
      </c>
      <c r="N77" t="inlineStr"/>
      <c r="O77" t="inlineStr">
        <is>
          <t>mods/ca/rules/gdi/vehicles.yaml</t>
        </is>
      </c>
    </row>
    <row r="78">
      <c r="A78" t="inlineStr">
        <is>
          <t>gdi</t>
        </is>
      </c>
      <c r="B78" t="inlineStr">
        <is>
          <t>Mammoth.Ion</t>
        </is>
      </c>
      <c r="C78" t="inlineStr">
        <is>
          <t>Ion Mammoth Tank</t>
        </is>
      </c>
      <c r="D78" t="inlineStr">
        <is>
          <t>2000</t>
        </is>
      </c>
      <c r="E78" t="inlineStr"/>
      <c r="F78" t="inlineStr"/>
      <c r="G78" t="inlineStr"/>
      <c r="H78" t="inlineStr">
        <is>
          <t>local declaration</t>
        </is>
      </c>
      <c r="I78" t="inlineStr">
        <is>
          <t>tier3, vehicles, ~gdi, ~promotion.mammoth_tank_gdi.ion, ~!upg.gdimammoth2</t>
        </is>
      </c>
      <c r="J78" t="inlineStr">
        <is>
          <t>Mammoth, ^PrioEnergyWeapon, ^ZOCOMEnergyWeapons</t>
        </is>
      </c>
      <c r="K78" t="inlineStr">
        <is>
          <t>IonZap</t>
        </is>
      </c>
      <c r="L78" t="inlineStr"/>
      <c r="M78" t="inlineStr">
        <is>
          <t>not modeled; inspection required</t>
        </is>
      </c>
      <c r="N78" t="inlineStr"/>
      <c r="O78" t="inlineStr">
        <is>
          <t>mods/ca/rules/gdi/vehicles.yaml</t>
        </is>
      </c>
    </row>
    <row r="79">
      <c r="A79" t="inlineStr">
        <is>
          <t>gdi</t>
        </is>
      </c>
      <c r="B79" t="inlineStr">
        <is>
          <t>Mammoth.Ion.Reflector</t>
        </is>
      </c>
      <c r="C79" t="inlineStr">
        <is>
          <t>Ion Mammoth Tank (Reflector)</t>
        </is>
      </c>
      <c r="D79" t="inlineStr"/>
      <c r="E79" t="inlineStr"/>
      <c r="F79" t="inlineStr"/>
      <c r="G79" t="inlineStr"/>
      <c r="H79" t="inlineStr">
        <is>
          <t>local declaration</t>
        </is>
      </c>
      <c r="I79" t="inlineStr">
        <is>
          <t>tier3, vehicles, ~gdi, ~promotion.mammoth_tank_gdi.ion, ~promotion.mammoth_tank_gdi.reflector</t>
        </is>
      </c>
      <c r="J79" t="inlineStr">
        <is>
          <t>Mammoth.Ion, ^ReflectorArmor</t>
        </is>
      </c>
      <c r="K79" t="inlineStr"/>
      <c r="L79" t="inlineStr"/>
      <c r="M79" t="inlineStr">
        <is>
          <t>not modeled; inspection required</t>
        </is>
      </c>
      <c r="N79" t="inlineStr"/>
      <c r="O79" t="inlineStr">
        <is>
          <t>mods/ca/rules/gdi/vehicles.yaml</t>
        </is>
      </c>
    </row>
    <row r="80">
      <c r="A80" t="inlineStr">
        <is>
          <t>gdi</t>
        </is>
      </c>
      <c r="B80" t="inlineStr">
        <is>
          <t>Mammoth.Ion.PDL</t>
        </is>
      </c>
      <c r="C80" t="inlineStr">
        <is>
          <t>Ion Mammoth Tank (PDL)</t>
        </is>
      </c>
      <c r="D80" t="inlineStr">
        <is>
          <t>2500</t>
        </is>
      </c>
      <c r="E80" t="inlineStr"/>
      <c r="F80" t="inlineStr"/>
      <c r="G80" t="inlineStr"/>
      <c r="H80" t="inlineStr">
        <is>
          <t>local declaration</t>
        </is>
      </c>
      <c r="I80" t="inlineStr">
        <is>
          <t>tier3, vehicles, ~gdi, ~promotion.mammoth_tank_gdi.pdl, ~promotion.mammoth_tank_gdi.ion</t>
        </is>
      </c>
      <c r="J80" t="inlineStr">
        <is>
          <t>Mammoth.Ion, ^PointLaserDefenseSystem</t>
        </is>
      </c>
      <c r="K80" t="inlineStr"/>
      <c r="L80" t="inlineStr"/>
      <c r="M80" t="inlineStr">
        <is>
          <t>not modeled; inspection required</t>
        </is>
      </c>
      <c r="N80" t="inlineStr"/>
      <c r="O80" t="inlineStr">
        <is>
          <t>mods/ca/rules/gdi/vehicles.yaml</t>
        </is>
      </c>
    </row>
    <row r="81">
      <c r="A81" t="inlineStr">
        <is>
          <t>gdi</t>
        </is>
      </c>
      <c r="B81" t="inlineStr">
        <is>
          <t>Mammoth.Nanite</t>
        </is>
      </c>
      <c r="C81" t="inlineStr">
        <is>
          <t>Nanite Mammoth Tank</t>
        </is>
      </c>
      <c r="D81" t="inlineStr">
        <is>
          <t>2500</t>
        </is>
      </c>
      <c r="E81" t="inlineStr"/>
      <c r="F81" t="inlineStr"/>
      <c r="G81" t="inlineStr"/>
      <c r="H81" t="inlineStr">
        <is>
          <t>local declaration</t>
        </is>
      </c>
      <c r="I81" t="inlineStr">
        <is>
          <t>tier3, vehicles, ~gdi, ~promotion.mammoth_tank_gdi.nr, ~!upg.gdimammoth2</t>
        </is>
      </c>
      <c r="J81" t="inlineStr">
        <is>
          <t>Mammoth, ^Shielded</t>
        </is>
      </c>
      <c r="K81" t="inlineStr"/>
      <c r="L81" t="inlineStr"/>
      <c r="M81" t="inlineStr">
        <is>
          <t>not modeled; inspection required</t>
        </is>
      </c>
      <c r="N81" t="inlineStr"/>
      <c r="O81" t="inlineStr">
        <is>
          <t>mods/ca/rules/gdi/vehicles.yaml</t>
        </is>
      </c>
    </row>
    <row r="82">
      <c r="A82" t="inlineStr">
        <is>
          <t>gdi</t>
        </is>
      </c>
      <c r="B82" t="inlineStr">
        <is>
          <t>Mammoth.Nanite.Reflector</t>
        </is>
      </c>
      <c r="C82" t="inlineStr">
        <is>
          <t>Nanite Mammoth Tank (Reflector)</t>
        </is>
      </c>
      <c r="D82" t="inlineStr"/>
      <c r="E82" t="inlineStr"/>
      <c r="F82" t="inlineStr"/>
      <c r="G82" t="inlineStr"/>
      <c r="H82" t="inlineStr">
        <is>
          <t>local declaration</t>
        </is>
      </c>
      <c r="I82" t="inlineStr">
        <is>
          <t>tier3, vehicles, ~gdi, ~promotion.mammoth_tank_gdi.nr, ~promotion.mammoth_tank_gdi.reflector</t>
        </is>
      </c>
      <c r="J82" t="inlineStr">
        <is>
          <t>Mammoth.Nanite, ^ReflectorArmor</t>
        </is>
      </c>
      <c r="K82" t="inlineStr"/>
      <c r="L82" t="inlineStr"/>
      <c r="M82" t="inlineStr">
        <is>
          <t>not modeled; inspection required</t>
        </is>
      </c>
      <c r="N82" t="inlineStr"/>
      <c r="O82" t="inlineStr">
        <is>
          <t>mods/ca/rules/gdi/vehicles.yaml</t>
        </is>
      </c>
    </row>
    <row r="83">
      <c r="A83" t="inlineStr">
        <is>
          <t>gdi</t>
        </is>
      </c>
      <c r="B83" t="inlineStr">
        <is>
          <t>Mammoth.Nanite.PDL</t>
        </is>
      </c>
      <c r="C83" t="inlineStr">
        <is>
          <t>Nanite Mammoth Tank (PDL)</t>
        </is>
      </c>
      <c r="D83" t="inlineStr">
        <is>
          <t>3000</t>
        </is>
      </c>
      <c r="E83" t="inlineStr"/>
      <c r="F83" t="inlineStr"/>
      <c r="G83" t="inlineStr"/>
      <c r="H83" t="inlineStr">
        <is>
          <t>local declaration</t>
        </is>
      </c>
      <c r="I83" t="inlineStr">
        <is>
          <t>tier3, vehicles, ~gdi, ~promotion.mammoth_tank_gdi.pdl, ~promotion.mammoth_tank_gdi.nr</t>
        </is>
      </c>
      <c r="J83" t="inlineStr">
        <is>
          <t>Mammoth.Nanite, ^PointLaserDefenseSystem</t>
        </is>
      </c>
      <c r="K83" t="inlineStr"/>
      <c r="L83" t="inlineStr"/>
      <c r="M83" t="inlineStr">
        <is>
          <t>not modeled; inspection required</t>
        </is>
      </c>
      <c r="N83" t="inlineStr"/>
      <c r="O83" t="inlineStr">
        <is>
          <t>mods/ca/rules/gdi/vehicles.yaml</t>
        </is>
      </c>
    </row>
    <row r="84">
      <c r="A84" t="inlineStr">
        <is>
          <t>gdi</t>
        </is>
      </c>
      <c r="B84" t="inlineStr">
        <is>
          <t>Mammoth.Hover</t>
        </is>
      </c>
      <c r="C84" t="inlineStr">
        <is>
          <t>Hover Mammoth Tank</t>
        </is>
      </c>
      <c r="D84" t="inlineStr">
        <is>
          <t>1600</t>
        </is>
      </c>
      <c r="E84" t="inlineStr"/>
      <c r="F84" t="inlineStr">
        <is>
          <t>92</t>
        </is>
      </c>
      <c r="G84" t="inlineStr"/>
      <c r="H84" t="inlineStr">
        <is>
          <t>local declaration</t>
        </is>
      </c>
      <c r="I84" t="inlineStr">
        <is>
          <t>tier3, vehicles, ~gdi, ~promotion.mammoth_tank_gdi.hover, ~!upg.gdimammoth2</t>
        </is>
      </c>
      <c r="J84" t="inlineStr">
        <is>
          <t>Mammoth, ^HoverVehicle</t>
        </is>
      </c>
      <c r="K84" t="inlineStr"/>
      <c r="L84" t="inlineStr">
        <is>
          <t>hover/amphibious</t>
        </is>
      </c>
      <c r="M84" t="inlineStr">
        <is>
          <t>not modeled; inspection required</t>
        </is>
      </c>
      <c r="N84" t="inlineStr"/>
      <c r="O84" t="inlineStr">
        <is>
          <t>mods/ca/rules/gdi/vehicles.yaml</t>
        </is>
      </c>
    </row>
    <row r="85">
      <c r="A85" t="inlineStr">
        <is>
          <t>gdi</t>
        </is>
      </c>
      <c r="B85" t="inlineStr">
        <is>
          <t>Mammoth.Hover.Reflector</t>
        </is>
      </c>
      <c r="C85" t="inlineStr">
        <is>
          <t>Hover Mammoth Tank (Reflector)</t>
        </is>
      </c>
      <c r="D85" t="inlineStr"/>
      <c r="E85" t="inlineStr"/>
      <c r="F85" t="inlineStr"/>
      <c r="G85" t="inlineStr"/>
      <c r="H85" t="inlineStr">
        <is>
          <t>local declaration</t>
        </is>
      </c>
      <c r="I85" t="inlineStr">
        <is>
          <t>tier3, vehicles, ~gdi, ~promotion.mammoth_tank_gdi.hover, ~promotion.mammoth_tank_gdi.reflector</t>
        </is>
      </c>
      <c r="J85" t="inlineStr">
        <is>
          <t>Mammoth.Hover, ^ReflectorArmor</t>
        </is>
      </c>
      <c r="K85" t="inlineStr"/>
      <c r="L85" t="inlineStr"/>
      <c r="M85" t="inlineStr">
        <is>
          <t>not modeled; inspection required</t>
        </is>
      </c>
      <c r="N85" t="inlineStr"/>
      <c r="O85" t="inlineStr">
        <is>
          <t>mods/ca/rules/gdi/vehicles.yaml</t>
        </is>
      </c>
    </row>
    <row r="86">
      <c r="A86" t="inlineStr">
        <is>
          <t>gdi</t>
        </is>
      </c>
      <c r="B86" t="inlineStr">
        <is>
          <t>Mammoth.Hover.PDL</t>
        </is>
      </c>
      <c r="C86" t="inlineStr">
        <is>
          <t>Hover Mammoth Tank (PDL)</t>
        </is>
      </c>
      <c r="D86" t="inlineStr">
        <is>
          <t>2200</t>
        </is>
      </c>
      <c r="E86" t="inlineStr"/>
      <c r="F86" t="inlineStr"/>
      <c r="G86" t="inlineStr"/>
      <c r="H86" t="inlineStr">
        <is>
          <t>local declaration</t>
        </is>
      </c>
      <c r="I86" t="inlineStr">
        <is>
          <t>tier3, vehicles, ~gdi, ~promotion.mammoth_tank_gdi.pdl, ~promotion.mammoth_tank_gdi.hover</t>
        </is>
      </c>
      <c r="J86" t="inlineStr">
        <is>
          <t>Mammoth.Hover, ^PointLaserDefenseSystem</t>
        </is>
      </c>
      <c r="K86" t="inlineStr"/>
      <c r="L86" t="inlineStr"/>
      <c r="M86" t="inlineStr">
        <is>
          <t>not modeled; inspection required</t>
        </is>
      </c>
      <c r="N86" t="inlineStr"/>
      <c r="O86" t="inlineStr">
        <is>
          <t>mods/ca/rules/gdi/vehicles.yaml</t>
        </is>
      </c>
    </row>
    <row r="87">
      <c r="A87" t="inlineStr">
        <is>
          <t>gdi</t>
        </is>
      </c>
      <c r="B87" t="inlineStr">
        <is>
          <t>MEMP</t>
        </is>
      </c>
      <c r="C87" t="inlineStr">
        <is>
          <t>Mobile E.M.P</t>
        </is>
      </c>
      <c r="D87" t="inlineStr">
        <is>
          <t>1050</t>
        </is>
      </c>
      <c r="E87" t="inlineStr">
        <is>
          <t>75000</t>
        </is>
      </c>
      <c r="F87" t="inlineStr">
        <is>
          <t>135</t>
        </is>
      </c>
      <c r="G87" t="inlineStr"/>
      <c r="H87" t="inlineStr">
        <is>
          <t>local declaration</t>
        </is>
      </c>
      <c r="I87" t="inlineStr">
        <is>
          <t>tier3, vehicles, ~gdi, ~promotion.mobile_emp, ~!upg.mobile_emp2</t>
        </is>
      </c>
      <c r="J87" t="inlineStr">
        <is>
          <t>^Tank, ^HighResShadow, ^RobotDriver, ^DronePairing</t>
        </is>
      </c>
      <c r="K87" t="inlineStr"/>
      <c r="L87" t="inlineStr"/>
      <c r="M87" t="inlineStr">
        <is>
          <t>not modeled; inspection required</t>
        </is>
      </c>
      <c r="N87" t="inlineStr"/>
      <c r="O87" t="inlineStr">
        <is>
          <t>mods/ca/rules/gdi/vehicles.yaml</t>
        </is>
      </c>
    </row>
    <row r="88">
      <c r="A88" t="inlineStr">
        <is>
          <t>gdi</t>
        </is>
      </c>
      <c r="B88" t="inlineStr">
        <is>
          <t>MEMP.Volatile</t>
        </is>
      </c>
      <c r="C88" t="inlineStr">
        <is>
          <t>Mobile E.M.P (Volatile)</t>
        </is>
      </c>
      <c r="D88" t="inlineStr">
        <is>
          <t>1150</t>
        </is>
      </c>
      <c r="E88" t="inlineStr"/>
      <c r="F88" t="inlineStr">
        <is>
          <t>115</t>
        </is>
      </c>
      <c r="G88" t="inlineStr"/>
      <c r="H88" t="inlineStr">
        <is>
          <t>local declaration</t>
        </is>
      </c>
      <c r="I88" t="inlineStr">
        <is>
          <t>tier3, vehicles, ~gdi, ~promotion.mobile_emp.volatile_reactor</t>
        </is>
      </c>
      <c r="J88" t="inlineStr">
        <is>
          <t>MEMP</t>
        </is>
      </c>
      <c r="K88" t="inlineStr"/>
      <c r="L88" t="inlineStr"/>
      <c r="M88" t="inlineStr">
        <is>
          <t>not modeled; inspection required</t>
        </is>
      </c>
      <c r="N88" t="inlineStr"/>
      <c r="O88" t="inlineStr">
        <is>
          <t>mods/ca/rules/gdi/vehicles.yaml</t>
        </is>
      </c>
    </row>
    <row r="89">
      <c r="A89" t="inlineStr">
        <is>
          <t>gdi</t>
        </is>
      </c>
      <c r="B89" t="inlineStr">
        <is>
          <t>MEMP.Ranged</t>
        </is>
      </c>
      <c r="C89" t="inlineStr">
        <is>
          <t>Mobile E.M.P (Ranged)</t>
        </is>
      </c>
      <c r="D89" t="inlineStr">
        <is>
          <t>1250</t>
        </is>
      </c>
      <c r="E89" t="inlineStr">
        <is>
          <t>75000</t>
        </is>
      </c>
      <c r="F89" t="inlineStr">
        <is>
          <t>135</t>
        </is>
      </c>
      <c r="G89" t="inlineStr"/>
      <c r="H89" t="inlineStr">
        <is>
          <t>local declaration</t>
        </is>
      </c>
      <c r="I89" t="inlineStr">
        <is>
          <t>tier3, vehicles, ~gdi, ~promotion.mobile_emp.ranged, ~!upg.mobile_emp2</t>
        </is>
      </c>
      <c r="J89" t="inlineStr">
        <is>
          <t>^FightingTankTurreted, ^HighResShadow, ^RobotDriver, ^DronePairing, ^PrioAntiHeavy</t>
        </is>
      </c>
      <c r="K89" t="inlineStr">
        <is>
          <t>EmpSphereThrower</t>
        </is>
      </c>
      <c r="L89" t="inlineStr"/>
      <c r="M89" t="inlineStr">
        <is>
          <t>not modeled; inspection required</t>
        </is>
      </c>
      <c r="N89" t="inlineStr"/>
      <c r="O89" t="inlineStr">
        <is>
          <t>mods/ca/rules/gdi/vehicles.yaml</t>
        </is>
      </c>
    </row>
    <row r="90">
      <c r="A90" t="inlineStr">
        <is>
          <t>gdi</t>
        </is>
      </c>
      <c r="B90" t="inlineStr">
        <is>
          <t>MEMP.Ranged.Improved</t>
        </is>
      </c>
      <c r="C90" t="inlineStr">
        <is>
          <t>Mobile E.M.P (Ranged, Improved)</t>
        </is>
      </c>
      <c r="D90" t="inlineStr">
        <is>
          <t>1500</t>
        </is>
      </c>
      <c r="E90" t="inlineStr"/>
      <c r="F90" t="inlineStr"/>
      <c r="G90" t="inlineStr"/>
      <c r="H90" t="inlineStr">
        <is>
          <t>local declaration</t>
        </is>
      </c>
      <c r="I90" t="inlineStr">
        <is>
          <t>tier3, vehicles, ~gdi, ~promotion.mobile_emp.ranged.improved</t>
        </is>
      </c>
      <c r="J90" t="inlineStr">
        <is>
          <t>MEMP.Ranged</t>
        </is>
      </c>
      <c r="K90" t="inlineStr">
        <is>
          <t>EmpSphereThrower.Improved</t>
        </is>
      </c>
      <c r="L90" t="inlineStr"/>
      <c r="M90" t="inlineStr">
        <is>
          <t>not modeled; inspection required</t>
        </is>
      </c>
      <c r="N90" t="inlineStr"/>
      <c r="O90" t="inlineStr">
        <is>
          <t>mods/ca/rules/gdi/vehicles.yaml</t>
        </is>
      </c>
    </row>
    <row r="91">
      <c r="A91" t="inlineStr">
        <is>
          <t>gdi</t>
        </is>
      </c>
      <c r="B91" t="inlineStr">
        <is>
          <t>MSAR</t>
        </is>
      </c>
      <c r="C91" t="inlineStr">
        <is>
          <t>Mobile Sensor Array</t>
        </is>
      </c>
      <c r="D91" t="inlineStr">
        <is>
          <t>1000</t>
        </is>
      </c>
      <c r="E91" t="inlineStr">
        <is>
          <t>22000</t>
        </is>
      </c>
      <c r="F91" t="inlineStr">
        <is>
          <t>82</t>
        </is>
      </c>
      <c r="G91" t="inlineStr"/>
      <c r="H91" t="inlineStr">
        <is>
          <t>local declaration</t>
        </is>
      </c>
      <c r="I91" t="inlineStr">
        <is>
          <t>hq, vehicles, ~gdi, ~!promotion.mobile_sensor_pdl</t>
        </is>
      </c>
      <c r="J91" t="inlineStr">
        <is>
          <t>^Vehicle, ^VoxelVehicle, ^SensorEquipment, ^BiologicalDriver, ^MobileRadar, ^GroundSupportUnit</t>
        </is>
      </c>
      <c r="K91" t="inlineStr"/>
      <c r="L91" t="inlineStr">
        <is>
          <t>sensor</t>
        </is>
      </c>
      <c r="M91" t="inlineStr">
        <is>
          <t>not modeled; inspection required</t>
        </is>
      </c>
      <c r="N91" t="inlineStr"/>
      <c r="O91" t="inlineStr">
        <is>
          <t>mods/ca/rules/gdi/vehicles.yaml</t>
        </is>
      </c>
    </row>
    <row r="92">
      <c r="A92" t="inlineStr">
        <is>
          <t>gdi</t>
        </is>
      </c>
      <c r="B92" t="inlineStr">
        <is>
          <t>MSAR.PDL</t>
        </is>
      </c>
      <c r="C92" t="inlineStr"/>
      <c r="D92" t="inlineStr">
        <is>
          <t>1500</t>
        </is>
      </c>
      <c r="E92" t="inlineStr"/>
      <c r="F92" t="inlineStr"/>
      <c r="G92" t="inlineStr"/>
      <c r="H92" t="inlineStr">
        <is>
          <t>local declaration</t>
        </is>
      </c>
      <c r="I92" t="inlineStr">
        <is>
          <t>hq, vehicles, ~gdi, ~promotion.mobile_sensor_pdl</t>
        </is>
      </c>
      <c r="J92" t="inlineStr">
        <is>
          <t>MSAR, ^PointLaserDefenseSystem</t>
        </is>
      </c>
      <c r="K92" t="inlineStr"/>
      <c r="L92" t="inlineStr"/>
      <c r="M92" t="inlineStr">
        <is>
          <t>not modeled; inspection required</t>
        </is>
      </c>
      <c r="N92" t="inlineStr"/>
      <c r="O92" t="inlineStr">
        <is>
          <t>mods/ca/rules/gdi/vehicles.yaml</t>
        </is>
      </c>
    </row>
    <row r="93">
      <c r="A93" t="inlineStr">
        <is>
          <t>gdi</t>
        </is>
      </c>
      <c r="B93" t="inlineStr">
        <is>
          <t>MLRS</t>
        </is>
      </c>
      <c r="C93" t="inlineStr">
        <is>
          <t>MLRS</t>
        </is>
      </c>
      <c r="D93" t="inlineStr">
        <is>
          <t>950</t>
        </is>
      </c>
      <c r="E93" t="inlineStr">
        <is>
          <t>16000</t>
        </is>
      </c>
      <c r="F93" t="inlineStr">
        <is>
          <t>82</t>
        </is>
      </c>
      <c r="G93" t="inlineStr"/>
      <c r="H93" t="inlineStr">
        <is>
          <t>local declaration</t>
        </is>
      </c>
      <c r="I93" t="inlineStr">
        <is>
          <t>tier2, vehicles, ~gdi, ~!upg.mlrs</t>
        </is>
      </c>
      <c r="J93" t="inlineStr">
        <is>
          <t>^FightingVehicle, ^TDVehicleSprite, ^BiologicalDriver, ^PrioAntiLightAA, ^VoxelVehicle, ^DronePairing</t>
        </is>
      </c>
      <c r="K93" t="inlineStr">
        <is>
          <t>227mm, 227mmAA</t>
        </is>
      </c>
      <c r="L93" t="inlineStr">
        <is>
          <t>multiple/conditional armaments</t>
        </is>
      </c>
      <c r="M93" t="inlineStr">
        <is>
          <t>not modeled; inspection required</t>
        </is>
      </c>
      <c r="N93" t="inlineStr"/>
      <c r="O93" t="inlineStr">
        <is>
          <t>mods/ca/rules/gdi/vehicles.yaml</t>
        </is>
      </c>
    </row>
    <row r="94">
      <c r="A94" t="inlineStr">
        <is>
          <t>gdi</t>
        </is>
      </c>
      <c r="B94" t="inlineStr">
        <is>
          <t>MLRS.AA</t>
        </is>
      </c>
      <c r="C94" t="inlineStr">
        <is>
          <t>MLRS (AA)</t>
        </is>
      </c>
      <c r="D94" t="inlineStr"/>
      <c r="E94" t="inlineStr"/>
      <c r="F94" t="inlineStr"/>
      <c r="G94" t="inlineStr"/>
      <c r="H94" t="inlineStr">
        <is>
          <t>local declaration</t>
        </is>
      </c>
      <c r="I94" t="inlineStr">
        <is>
          <t>tier3, vehicles, ~gdi, ~promotion.aa_mlrs</t>
        </is>
      </c>
      <c r="J94" t="inlineStr">
        <is>
          <t>MLRS</t>
        </is>
      </c>
      <c r="K94" t="inlineStr">
        <is>
          <t>227mmAA.dedicated</t>
        </is>
      </c>
      <c r="L94" t="inlineStr"/>
      <c r="M94" t="inlineStr">
        <is>
          <t>not modeled; inspection required</t>
        </is>
      </c>
      <c r="N94" t="inlineStr"/>
      <c r="O94" t="inlineStr">
        <is>
          <t>mods/ca/rules/gdi/vehicles.yaml</t>
        </is>
      </c>
    </row>
    <row r="95">
      <c r="A95" t="inlineStr">
        <is>
          <t>gdi</t>
        </is>
      </c>
      <c r="B95" t="inlineStr">
        <is>
          <t>hmlrs</t>
        </is>
      </c>
      <c r="C95" t="inlineStr">
        <is>
          <t>Hover MLRS</t>
        </is>
      </c>
      <c r="D95" t="inlineStr">
        <is>
          <t>1150</t>
        </is>
      </c>
      <c r="E95" t="inlineStr">
        <is>
          <t>18000</t>
        </is>
      </c>
      <c r="F95" t="inlineStr">
        <is>
          <t>113</t>
        </is>
      </c>
      <c r="G95" t="inlineStr"/>
      <c r="H95" t="inlineStr">
        <is>
          <t>local declaration</t>
        </is>
      </c>
      <c r="I95" t="inlineStr">
        <is>
          <t>vehicles, ~gdi, tier3, ~promotion.hover_mlrs, ~!promotion.hover_mlrs.reflector, ~!promotion.hover_mlrs.pdl</t>
        </is>
      </c>
      <c r="J95" t="inlineStr">
        <is>
          <t>^FightingVehicle, ^HoverVehicle, ^BiologicalDriver, ^PrioAntiLightAA</t>
        </is>
      </c>
      <c r="K95" t="inlineStr">
        <is>
          <t>227mmH, 227mmAAH, 227mm.upg, 227mmAA.upg</t>
        </is>
      </c>
      <c r="L95" t="inlineStr">
        <is>
          <t>hover/amphibious, multiple/conditional armaments</t>
        </is>
      </c>
      <c r="M95" t="inlineStr">
        <is>
          <t>not modeled; inspection required</t>
        </is>
      </c>
      <c r="N95" t="inlineStr"/>
      <c r="O95" t="inlineStr">
        <is>
          <t>mods/ca/rules/gdi/vehicles.yaml</t>
        </is>
      </c>
    </row>
    <row r="96">
      <c r="A96" t="inlineStr">
        <is>
          <t>gdi</t>
        </is>
      </c>
      <c r="B96" t="inlineStr">
        <is>
          <t>hmlrs.Reflector</t>
        </is>
      </c>
      <c r="C96" t="inlineStr">
        <is>
          <t>Hover MLRS (Reflector)</t>
        </is>
      </c>
      <c r="D96" t="inlineStr"/>
      <c r="E96" t="inlineStr"/>
      <c r="F96" t="inlineStr"/>
      <c r="G96" t="inlineStr"/>
      <c r="H96" t="inlineStr">
        <is>
          <t>local declaration</t>
        </is>
      </c>
      <c r="I96" t="inlineStr">
        <is>
          <t>vehicles, ~gdi, tier3, ~promotion.hover_mlrs.reflector</t>
        </is>
      </c>
      <c r="J96" t="inlineStr">
        <is>
          <t>hmlrs, ^ReflectorArmor</t>
        </is>
      </c>
      <c r="K96" t="inlineStr"/>
      <c r="L96" t="inlineStr"/>
      <c r="M96" t="inlineStr">
        <is>
          <t>not modeled; inspection required</t>
        </is>
      </c>
      <c r="N96" t="inlineStr"/>
      <c r="O96" t="inlineStr">
        <is>
          <t>mods/ca/rules/gdi/vehicles.yaml</t>
        </is>
      </c>
    </row>
    <row r="97">
      <c r="A97" t="inlineStr">
        <is>
          <t>gdi</t>
        </is>
      </c>
      <c r="B97" t="inlineStr">
        <is>
          <t>hmlrs.PDL</t>
        </is>
      </c>
      <c r="C97" t="inlineStr">
        <is>
          <t>Hover MLRS (PDL)</t>
        </is>
      </c>
      <c r="D97" t="inlineStr">
        <is>
          <t>1750</t>
        </is>
      </c>
      <c r="E97" t="inlineStr"/>
      <c r="F97" t="inlineStr"/>
      <c r="G97" t="inlineStr"/>
      <c r="H97" t="inlineStr">
        <is>
          <t>local declaration</t>
        </is>
      </c>
      <c r="I97" t="inlineStr">
        <is>
          <t>vehicles, ~gdi, tier3, ~promotion.hover_mlrs.pdl</t>
        </is>
      </c>
      <c r="J97" t="inlineStr">
        <is>
          <t>^PointLaserDefenseSystem, hmlrs</t>
        </is>
      </c>
      <c r="K97" t="inlineStr"/>
      <c r="L97" t="inlineStr"/>
      <c r="M97" t="inlineStr">
        <is>
          <t>not modeled; inspection required</t>
        </is>
      </c>
      <c r="N97" t="inlineStr"/>
      <c r="O97" t="inlineStr">
        <is>
          <t>mods/ca/rules/gdi/vehicles.yaml</t>
        </is>
      </c>
    </row>
    <row r="98">
      <c r="A98" t="inlineStr">
        <is>
          <t>gdi</t>
        </is>
      </c>
      <c r="B98" t="inlineStr">
        <is>
          <t>MLRS.Hailstorm</t>
        </is>
      </c>
      <c r="C98" t="inlineStr">
        <is>
          <t>Hailstorm MLRS</t>
        </is>
      </c>
      <c r="D98" t="inlineStr">
        <is>
          <t>1200</t>
        </is>
      </c>
      <c r="E98" t="inlineStr"/>
      <c r="F98" t="inlineStr"/>
      <c r="G98" t="inlineStr"/>
      <c r="H98" t="inlineStr">
        <is>
          <t>local declaration</t>
        </is>
      </c>
      <c r="I98" t="inlineStr">
        <is>
          <t>hq, vehicles, ~gdi, ~td, tier3, ~promotion.hailstorm_mlrs</t>
        </is>
      </c>
      <c r="J98" t="inlineStr">
        <is>
          <t>MLRS, ^PrioArtillery</t>
        </is>
      </c>
      <c r="K98" t="inlineStr">
        <is>
          <t>227mm.Hailstorm</t>
        </is>
      </c>
      <c r="L98" t="inlineStr"/>
      <c r="M98" t="inlineStr">
        <is>
          <t>not modeled; inspection required</t>
        </is>
      </c>
      <c r="N98" t="inlineStr"/>
      <c r="O98" t="inlineStr">
        <is>
          <t>mods/ca/rules/gdi/vehicles.yaml</t>
        </is>
      </c>
    </row>
    <row r="99">
      <c r="A99" t="inlineStr">
        <is>
          <t>gdi</t>
        </is>
      </c>
      <c r="B99" t="inlineStr">
        <is>
          <t>TITN</t>
        </is>
      </c>
      <c r="C99" t="inlineStr">
        <is>
          <t>Titan</t>
        </is>
      </c>
      <c r="D99" t="inlineStr">
        <is>
          <t>2000</t>
        </is>
      </c>
      <c r="E99" t="inlineStr">
        <is>
          <t>100000</t>
        </is>
      </c>
      <c r="F99" t="inlineStr">
        <is>
          <t>50</t>
        </is>
      </c>
      <c r="G99" t="inlineStr">
        <is>
          <t>sheavytracked</t>
        </is>
      </c>
      <c r="H99" t="inlineStr">
        <is>
          <t>local declaration</t>
        </is>
      </c>
      <c r="I99" t="inlineStr">
        <is>
          <t>tier3, vehicles, ~talon, ~!upg.titan</t>
        </is>
      </c>
      <c r="J99" t="inlineStr">
        <is>
          <t>^FightingTankTurreted, ^HighResShadow, ^BigVehicle, ^TurretedWalker, ^GDIWalkerUpgrades, ^BiologicalDriver, ^PrioAntiLightAA</t>
        </is>
      </c>
      <c r="K99" t="inlineStr">
        <is>
          <t>TitanGun, TitanTusk</t>
        </is>
      </c>
      <c r="L99" t="inlineStr">
        <is>
          <t>walker, multiple/conditional armaments</t>
        </is>
      </c>
      <c r="M99" t="inlineStr">
        <is>
          <t>not modeled; inspection required</t>
        </is>
      </c>
      <c r="N99" t="inlineStr"/>
      <c r="O99" t="inlineStr">
        <is>
          <t>mods/ca/rules/gdi/vehicles.yaml</t>
        </is>
      </c>
    </row>
    <row r="100">
      <c r="A100" t="inlineStr">
        <is>
          <t>gdi</t>
        </is>
      </c>
      <c r="B100" t="inlineStr">
        <is>
          <t>TITN.Battle</t>
        </is>
      </c>
      <c r="C100" t="inlineStr">
        <is>
          <t>Battle Titan</t>
        </is>
      </c>
      <c r="D100" t="inlineStr">
        <is>
          <t>2200</t>
        </is>
      </c>
      <c r="E100" t="inlineStr">
        <is>
          <t>110000</t>
        </is>
      </c>
      <c r="F100" t="inlineStr"/>
      <c r="G100" t="inlineStr"/>
      <c r="H100" t="inlineStr">
        <is>
          <t>local declaration</t>
        </is>
      </c>
      <c r="I100" t="inlineStr">
        <is>
          <t>tier3, vehicles, ~gdi, ~promotion.titan.battle, ~!upg.titan2</t>
        </is>
      </c>
      <c r="J100" t="inlineStr">
        <is>
          <t>TITN</t>
        </is>
      </c>
      <c r="K100" t="inlineStr">
        <is>
          <t>TitanGun.EMP</t>
        </is>
      </c>
      <c r="L100" t="inlineStr"/>
      <c r="M100" t="inlineStr">
        <is>
          <t>not modeled; inspection required</t>
        </is>
      </c>
      <c r="N100" t="inlineStr"/>
      <c r="O100" t="inlineStr">
        <is>
          <t>mods/ca/rules/gdi/vehicles.yaml</t>
        </is>
      </c>
    </row>
    <row r="101">
      <c r="A101" t="inlineStr">
        <is>
          <t>gdi</t>
        </is>
      </c>
      <c r="B101" t="inlineStr">
        <is>
          <t>TITN.Battle.PDL</t>
        </is>
      </c>
      <c r="C101" t="inlineStr">
        <is>
          <t>Battle Titan (PDL)</t>
        </is>
      </c>
      <c r="D101" t="inlineStr">
        <is>
          <t>2800</t>
        </is>
      </c>
      <c r="E101" t="inlineStr"/>
      <c r="F101" t="inlineStr"/>
      <c r="G101" t="inlineStr"/>
      <c r="H101" t="inlineStr">
        <is>
          <t>local declaration</t>
        </is>
      </c>
      <c r="I101" t="inlineStr">
        <is>
          <t>tier3, vehicles, ~gdi, ~promotion.titan.pdl, ~promotion.titan.battle</t>
        </is>
      </c>
      <c r="J101" t="inlineStr">
        <is>
          <t>TITN.Battle, ^PointLaserDefenseSystem</t>
        </is>
      </c>
      <c r="K101" t="inlineStr"/>
      <c r="L101" t="inlineStr"/>
      <c r="M101" t="inlineStr">
        <is>
          <t>not modeled; inspection required</t>
        </is>
      </c>
      <c r="N101" t="inlineStr"/>
      <c r="O101" t="inlineStr">
        <is>
          <t>mods/ca/rules/gdi/vehicles.yaml</t>
        </is>
      </c>
    </row>
    <row r="102">
      <c r="A102" t="inlineStr">
        <is>
          <t>gdi</t>
        </is>
      </c>
      <c r="B102" t="inlineStr">
        <is>
          <t>TITN.Battle.Reflector</t>
        </is>
      </c>
      <c r="C102" t="inlineStr">
        <is>
          <t>Battle Titan (Reflector)</t>
        </is>
      </c>
      <c r="D102" t="inlineStr"/>
      <c r="E102" t="inlineStr"/>
      <c r="F102" t="inlineStr"/>
      <c r="G102" t="inlineStr"/>
      <c r="H102" t="inlineStr">
        <is>
          <t>local declaration</t>
        </is>
      </c>
      <c r="I102" t="inlineStr">
        <is>
          <t>tier3, vehicles, ~gdi, ~promotion.titan.reflector, ~promotion.titan.battle</t>
        </is>
      </c>
      <c r="J102" t="inlineStr">
        <is>
          <t>TITN.Battle, ^ReflectorArmor</t>
        </is>
      </c>
      <c r="K102" t="inlineStr"/>
      <c r="L102" t="inlineStr"/>
      <c r="M102" t="inlineStr">
        <is>
          <t>not modeled; inspection required</t>
        </is>
      </c>
      <c r="N102" t="inlineStr"/>
      <c r="O102" t="inlineStr">
        <is>
          <t>mods/ca/rules/gdi/vehicles.yaml</t>
        </is>
      </c>
    </row>
    <row r="103">
      <c r="A103" t="inlineStr">
        <is>
          <t>gdi</t>
        </is>
      </c>
      <c r="B103" t="inlineStr">
        <is>
          <t>TITN.Railgun</t>
        </is>
      </c>
      <c r="C103" t="inlineStr">
        <is>
          <t>Railgun Titan</t>
        </is>
      </c>
      <c r="D103" t="inlineStr">
        <is>
          <t>3000</t>
        </is>
      </c>
      <c r="E103" t="inlineStr"/>
      <c r="F103" t="inlineStr"/>
      <c r="G103" t="inlineStr"/>
      <c r="H103" t="inlineStr">
        <is>
          <t>local declaration</t>
        </is>
      </c>
      <c r="I103" t="inlineStr">
        <is>
          <t>tier3, vehicles, ~gdi, ~promotion.titan.railgun, ~!upg.titan2</t>
        </is>
      </c>
      <c r="J103" t="inlineStr">
        <is>
          <t>TITN, ^PrioEnergyAntiHeavy</t>
        </is>
      </c>
      <c r="K103" t="inlineStr">
        <is>
          <t>Railgun.Titan</t>
        </is>
      </c>
      <c r="L103" t="inlineStr"/>
      <c r="M103" t="inlineStr">
        <is>
          <t>not modeled; inspection required</t>
        </is>
      </c>
      <c r="N103" t="inlineStr"/>
      <c r="O103" t="inlineStr">
        <is>
          <t>mods/ca/rules/gdi/vehicles.yaml</t>
        </is>
      </c>
    </row>
    <row r="104">
      <c r="A104" t="inlineStr">
        <is>
          <t>gdi</t>
        </is>
      </c>
      <c r="B104" t="inlineStr">
        <is>
          <t>TITN.Railgun.PDL</t>
        </is>
      </c>
      <c r="C104" t="inlineStr">
        <is>
          <t>Railgun Titan (PDL)</t>
        </is>
      </c>
      <c r="D104" t="inlineStr">
        <is>
          <t>3500</t>
        </is>
      </c>
      <c r="E104" t="inlineStr"/>
      <c r="F104" t="inlineStr"/>
      <c r="G104" t="inlineStr"/>
      <c r="H104" t="inlineStr">
        <is>
          <t>local declaration</t>
        </is>
      </c>
      <c r="I104" t="inlineStr">
        <is>
          <t>tier3, vehicles, ~gdi, ~promotion.titan.pdl, ~promotion.titan.railgun</t>
        </is>
      </c>
      <c r="J104" t="inlineStr">
        <is>
          <t>TITN.Railgun, ^PointLaserDefenseSystem</t>
        </is>
      </c>
      <c r="K104" t="inlineStr"/>
      <c r="L104" t="inlineStr"/>
      <c r="M104" t="inlineStr">
        <is>
          <t>not modeled; inspection required</t>
        </is>
      </c>
      <c r="N104" t="inlineStr"/>
      <c r="O104" t="inlineStr">
        <is>
          <t>mods/ca/rules/gdi/vehicles.yaml</t>
        </is>
      </c>
    </row>
    <row r="105">
      <c r="A105" t="inlineStr">
        <is>
          <t>gdi</t>
        </is>
      </c>
      <c r="B105" t="inlineStr">
        <is>
          <t>TITN.Railgun.Reflector</t>
        </is>
      </c>
      <c r="C105" t="inlineStr">
        <is>
          <t>Railgun Titan (Reflector)</t>
        </is>
      </c>
      <c r="D105" t="inlineStr"/>
      <c r="E105" t="inlineStr"/>
      <c r="F105" t="inlineStr"/>
      <c r="G105" t="inlineStr"/>
      <c r="H105" t="inlineStr">
        <is>
          <t>local declaration</t>
        </is>
      </c>
      <c r="I105" t="inlineStr">
        <is>
          <t>tier3, vehicles, ~gdi, ~promotion.titan.reflector, ~promotion.titan.railgun</t>
        </is>
      </c>
      <c r="J105" t="inlineStr">
        <is>
          <t>TITN.Railgun, ^ReflectorArmor</t>
        </is>
      </c>
      <c r="K105" t="inlineStr"/>
      <c r="L105" t="inlineStr"/>
      <c r="M105" t="inlineStr">
        <is>
          <t>not modeled; inspection required</t>
        </is>
      </c>
      <c r="N105" t="inlineStr"/>
      <c r="O105" t="inlineStr">
        <is>
          <t>mods/ca/rules/gdi/vehicles.yaml</t>
        </is>
      </c>
    </row>
    <row r="106">
      <c r="A106" t="inlineStr">
        <is>
          <t>gdi</t>
        </is>
      </c>
      <c r="B106" t="inlineStr">
        <is>
          <t>Juggernaut</t>
        </is>
      </c>
      <c r="C106" t="inlineStr">
        <is>
          <t>Juggernaut</t>
        </is>
      </c>
      <c r="D106" t="inlineStr">
        <is>
          <t>2000</t>
        </is>
      </c>
      <c r="E106" t="inlineStr">
        <is>
          <t>60000</t>
        </is>
      </c>
      <c r="F106" t="inlineStr">
        <is>
          <t>50</t>
        </is>
      </c>
      <c r="G106" t="inlineStr">
        <is>
          <t>sheavytracked</t>
        </is>
      </c>
      <c r="H106" t="inlineStr">
        <is>
          <t>local declaration</t>
        </is>
      </c>
      <c r="I106" t="inlineStr">
        <is>
          <t>tier3, vehicles, ~talon, ~!upg.juggernaut</t>
        </is>
      </c>
      <c r="J106" t="inlineStr">
        <is>
          <t>^FightingTank, ^TDVehicleSprite, ^BigVehicle, ^HighResShadow, ^BiologicalDriver, ^GDIWalkerUpgrades, ^PrioArtillery, ^StopMovingToAttack</t>
        </is>
      </c>
      <c r="K106" t="inlineStr">
        <is>
          <t>JuggernautDummyAim, JuggernautGun</t>
        </is>
      </c>
      <c r="L106" t="inlineStr">
        <is>
          <t>walker, multiple/conditional armaments</t>
        </is>
      </c>
      <c r="M106" t="inlineStr">
        <is>
          <t>scalar design; runtime pending</t>
        </is>
      </c>
      <c r="N106" t="inlineStr">
        <is>
          <t>Juggernaut baseline</t>
        </is>
      </c>
      <c r="O106" t="inlineStr">
        <is>
          <t>mods/ca/rules/gdi/vehicles.yaml</t>
        </is>
      </c>
    </row>
    <row r="107">
      <c r="A107" t="inlineStr">
        <is>
          <t>gdi</t>
        </is>
      </c>
      <c r="B107" t="inlineStr">
        <is>
          <t>Juggernaut.Emp</t>
        </is>
      </c>
      <c r="C107" t="inlineStr">
        <is>
          <t>EMP Juggernaut</t>
        </is>
      </c>
      <c r="D107" t="inlineStr"/>
      <c r="E107" t="inlineStr"/>
      <c r="F107" t="inlineStr"/>
      <c r="G107" t="inlineStr"/>
      <c r="H107" t="inlineStr">
        <is>
          <t>local declaration</t>
        </is>
      </c>
      <c r="I107" t="inlineStr">
        <is>
          <t>tier3, vehicles, ~promotion.juggernaut.emp</t>
        </is>
      </c>
      <c r="J107" t="inlineStr">
        <is>
          <t>Juggernaut</t>
        </is>
      </c>
      <c r="K107" t="inlineStr">
        <is>
          <t>JuggernautGun.EMP</t>
        </is>
      </c>
      <c r="L107" t="inlineStr"/>
      <c r="M107" t="inlineStr">
        <is>
          <t>scalar design; runtime pending</t>
        </is>
      </c>
      <c r="N107" t="inlineStr">
        <is>
          <t>Juggernaut EMP / baseline, Juggernaut EMP / efficient</t>
        </is>
      </c>
      <c r="O107" t="inlineStr">
        <is>
          <t>mods/ca/rules/gdi/vehicles.yaml</t>
        </is>
      </c>
    </row>
    <row r="108">
      <c r="A108" t="inlineStr">
        <is>
          <t>gdi</t>
        </is>
      </c>
      <c r="B108" t="inlineStr">
        <is>
          <t>Juggernaut.Firerate</t>
        </is>
      </c>
      <c r="C108" t="inlineStr">
        <is>
          <t>Juggernaut (Fire-Rate)</t>
        </is>
      </c>
      <c r="D108" t="inlineStr"/>
      <c r="E108" t="inlineStr"/>
      <c r="F108" t="inlineStr"/>
      <c r="G108" t="inlineStr"/>
      <c r="H108" t="inlineStr">
        <is>
          <t>local declaration</t>
        </is>
      </c>
      <c r="I108" t="inlineStr">
        <is>
          <t>tier3, vehicles, ~promotion.juggernaut.firerate</t>
        </is>
      </c>
      <c r="J108" t="inlineStr">
        <is>
          <t>Juggernaut</t>
        </is>
      </c>
      <c r="K108" t="inlineStr">
        <is>
          <t>JuggernautGun.Firerate</t>
        </is>
      </c>
      <c r="L108" t="inlineStr"/>
      <c r="M108" t="inlineStr">
        <is>
          <t>not modeled; inspection required</t>
        </is>
      </c>
      <c r="N108" t="inlineStr"/>
      <c r="O108" t="inlineStr">
        <is>
          <t>mods/ca/rules/gdi/vehicles.yaml</t>
        </is>
      </c>
    </row>
    <row r="109">
      <c r="A109" t="inlineStr">
        <is>
          <t>gdi</t>
        </is>
      </c>
      <c r="B109" t="inlineStr">
        <is>
          <t>DISR</t>
        </is>
      </c>
      <c r="C109" t="inlineStr">
        <is>
          <t>Disruptor</t>
        </is>
      </c>
      <c r="D109" t="inlineStr">
        <is>
          <t>1500</t>
        </is>
      </c>
      <c r="E109" t="inlineStr">
        <is>
          <t>75000</t>
        </is>
      </c>
      <c r="F109" t="inlineStr">
        <is>
          <t>56</t>
        </is>
      </c>
      <c r="G109" t="inlineStr"/>
      <c r="H109" t="inlineStr">
        <is>
          <t>local declaration</t>
        </is>
      </c>
      <c r="I109" t="inlineStr">
        <is>
          <t>tier3, vehicles, ~zocom, ~!upg.disruptor</t>
        </is>
      </c>
      <c r="J109" t="inlineStr">
        <is>
          <t>^FightingTankTurreted, ^TDVehicleSprite, ^BigVehicle, ^HighResShadow, ^BiologicalDriver, ^PrioEnergyWeapon, ^ZOCOMEnergyWeapons, ^DronePairing, ^GDIHeavyVehicleArmor</t>
        </is>
      </c>
      <c r="K109" t="inlineStr">
        <is>
          <t>SonicZap, SonicZapVisual, SonicZap.UPG, SonicZapVisual.UPG</t>
        </is>
      </c>
      <c r="L109" t="inlineStr">
        <is>
          <t>multiple/conditional armaments</t>
        </is>
      </c>
      <c r="M109" t="inlineStr">
        <is>
          <t>not modeled; inspection required</t>
        </is>
      </c>
      <c r="N109" t="inlineStr"/>
      <c r="O109" t="inlineStr">
        <is>
          <t>mods/ca/rules/gdi/vehicles.yaml</t>
        </is>
      </c>
    </row>
    <row r="110">
      <c r="A110" t="inlineStr">
        <is>
          <t>gdi</t>
        </is>
      </c>
      <c r="B110" t="inlineStr">
        <is>
          <t>DISR.PDL</t>
        </is>
      </c>
      <c r="C110" t="inlineStr">
        <is>
          <t>Disruptor (PDL)</t>
        </is>
      </c>
      <c r="D110" t="inlineStr">
        <is>
          <t>2100</t>
        </is>
      </c>
      <c r="E110" t="inlineStr"/>
      <c r="F110" t="inlineStr"/>
      <c r="G110" t="inlineStr"/>
      <c r="H110" t="inlineStr">
        <is>
          <t>local declaration</t>
        </is>
      </c>
      <c r="I110" t="inlineStr">
        <is>
          <t>tier3, vehicles, ~zocom, ~promotion.disruptor.pdl</t>
        </is>
      </c>
      <c r="J110" t="inlineStr">
        <is>
          <t>DISR, ^PointLaserDefenseSystem, ^ZOCOMEnergyWeapons</t>
        </is>
      </c>
      <c r="K110" t="inlineStr"/>
      <c r="L110" t="inlineStr"/>
      <c r="M110" t="inlineStr">
        <is>
          <t>not modeled; inspection required</t>
        </is>
      </c>
      <c r="N110" t="inlineStr"/>
      <c r="O110" t="inlineStr">
        <is>
          <t>mods/ca/rules/gdi/vehicles.yaml</t>
        </is>
      </c>
    </row>
    <row r="111">
      <c r="A111" t="inlineStr">
        <is>
          <t>gdi</t>
        </is>
      </c>
      <c r="B111" t="inlineStr">
        <is>
          <t>DISR.Reflector</t>
        </is>
      </c>
      <c r="C111" t="inlineStr">
        <is>
          <t>Disruptor (Reflector)</t>
        </is>
      </c>
      <c r="D111" t="inlineStr"/>
      <c r="E111" t="inlineStr"/>
      <c r="F111" t="inlineStr"/>
      <c r="G111" t="inlineStr"/>
      <c r="H111" t="inlineStr">
        <is>
          <t>local declaration</t>
        </is>
      </c>
      <c r="I111" t="inlineStr">
        <is>
          <t>tier3, vehicles, ~gdi, ~promotion.disruptor.reflector</t>
        </is>
      </c>
      <c r="J111" t="inlineStr">
        <is>
          <t>DISR, ^ReflectorArmor</t>
        </is>
      </c>
      <c r="K111" t="inlineStr"/>
      <c r="L111" t="inlineStr"/>
      <c r="M111" t="inlineStr">
        <is>
          <t>not modeled; inspection required</t>
        </is>
      </c>
      <c r="N111" t="inlineStr"/>
      <c r="O111" t="inlineStr">
        <is>
          <t>mods/ca/rules/gdi/vehicles.yaml</t>
        </is>
      </c>
    </row>
    <row r="112">
      <c r="A112" t="inlineStr">
        <is>
          <t>gdi</t>
        </is>
      </c>
      <c r="B112" t="inlineStr">
        <is>
          <t>MARV</t>
        </is>
      </c>
      <c r="C112" t="inlineStr">
        <is>
          <t>M.A.R.V.</t>
        </is>
      </c>
      <c r="D112" t="inlineStr">
        <is>
          <t>10000</t>
        </is>
      </c>
      <c r="E112" t="inlineStr">
        <is>
          <t>200000</t>
        </is>
      </c>
      <c r="F112" t="inlineStr">
        <is>
          <t>40</t>
        </is>
      </c>
      <c r="G112" t="inlineStr">
        <is>
          <t>sheavytracked</t>
        </is>
      </c>
      <c r="H112" t="inlineStr">
        <is>
          <t>local declaration</t>
        </is>
      </c>
      <c r="I112" t="inlineStr">
        <is>
          <t>vehicles, ~gdi, ~promotion.marv, miss.gdi</t>
        </is>
      </c>
      <c r="J112" t="inlineStr">
        <is>
          <t>^FightingTankTurreted, ^HighResShadow, ^BigVehicle, ^BiologicalDriver, ^DronePairing, ^GDIHeavyVehicleArmor, ^PrioAntiHeavy, ^ThrowsShrapnel</t>
        </is>
      </c>
      <c r="K112" t="inlineStr">
        <is>
          <t>IonZap.Marv</t>
        </is>
      </c>
      <c r="L112" t="inlineStr"/>
      <c r="M112" t="inlineStr">
        <is>
          <t>not modeled; inspection required</t>
        </is>
      </c>
      <c r="N112" t="inlineStr"/>
      <c r="O112" t="inlineStr">
        <is>
          <t>mods/ca/rules/gdi/vehicles.yaml</t>
        </is>
      </c>
    </row>
    <row r="113">
      <c r="A113" t="inlineStr">
        <is>
          <t>gdi</t>
        </is>
      </c>
      <c r="B113" t="inlineStr">
        <is>
          <t>MAMMOTHMK2</t>
        </is>
      </c>
      <c r="C113" t="inlineStr">
        <is>
          <t>Mammoth Mk. II</t>
        </is>
      </c>
      <c r="D113" t="inlineStr">
        <is>
          <t>10000</t>
        </is>
      </c>
      <c r="E113" t="inlineStr">
        <is>
          <t>350000</t>
        </is>
      </c>
      <c r="F113" t="inlineStr">
        <is>
          <t>35</t>
        </is>
      </c>
      <c r="G113" t="inlineStr">
        <is>
          <t>heavytracked</t>
        </is>
      </c>
      <c r="H113" t="inlineStr">
        <is>
          <t>local declaration</t>
        </is>
      </c>
      <c r="I113" t="inlineStr">
        <is>
          <t>vehicles, ~gdi, ~promotion.mammoth_mkii, miss.gdi</t>
        </is>
      </c>
      <c r="J113" t="inlineStr">
        <is>
          <t>^FightingTank, ^BigVehicle, ^BiologicalDriver, ^PrioEnergyAntiHeavyAA, ^TSRenderVoxelWalker, ^GDIWalkerUpgrades, ^ZOCOMEnergyWeapons</t>
        </is>
      </c>
      <c r="K113" t="inlineStr">
        <is>
          <t>Dragon.MKII, RedEye.MKII, Railgun.MKII</t>
        </is>
      </c>
      <c r="L113" t="inlineStr">
        <is>
          <t>walker, multiple/conditional armaments</t>
        </is>
      </c>
      <c r="M113" t="inlineStr">
        <is>
          <t>not modeled; inspection required</t>
        </is>
      </c>
      <c r="N113" t="inlineStr"/>
      <c r="O113" t="inlineStr">
        <is>
          <t>mods/ca/rules/gdi/vehicles.yaml</t>
        </is>
      </c>
    </row>
    <row r="114">
      <c r="A114" t="inlineStr">
        <is>
          <t>gdi</t>
        </is>
      </c>
      <c r="B114" t="inlineStr">
        <is>
          <t>SLNG</t>
        </is>
      </c>
      <c r="C114" t="inlineStr">
        <is>
          <t>Slingshot</t>
        </is>
      </c>
      <c r="D114" t="inlineStr">
        <is>
          <t>550</t>
        </is>
      </c>
      <c r="E114" t="inlineStr">
        <is>
          <t>13500</t>
        </is>
      </c>
      <c r="F114" t="inlineStr">
        <is>
          <t>133</t>
        </is>
      </c>
      <c r="G114" t="inlineStr"/>
      <c r="H114" t="inlineStr">
        <is>
          <t>local declaration</t>
        </is>
      </c>
      <c r="I114" t="inlineStr">
        <is>
          <t>tier3, ~promotion.slingshot</t>
        </is>
      </c>
      <c r="J114" t="inlineStr">
        <is>
          <t>^FightingTankTurreted, ^LightHoverVehicle, ^HighResShadow, ^TDVehicleSprite, ^BiologicalDriver, ^PrioAntiLightAA</t>
        </is>
      </c>
      <c r="K114" t="inlineStr">
        <is>
          <t>SlingshotAA</t>
        </is>
      </c>
      <c r="L114" t="inlineStr"/>
      <c r="M114" t="inlineStr">
        <is>
          <t>not modeled; inspection required</t>
        </is>
      </c>
      <c r="N114" t="inlineStr"/>
      <c r="O114" t="inlineStr">
        <is>
          <t>mods/ca/rules/gdi/vehicles.yaml</t>
        </is>
      </c>
    </row>
    <row r="115">
      <c r="A115" t="inlineStr">
        <is>
          <t>gdi</t>
        </is>
      </c>
      <c r="B115" t="inlineStr">
        <is>
          <t>VULC</t>
        </is>
      </c>
      <c r="C115" t="inlineStr">
        <is>
          <t>Vulcan</t>
        </is>
      </c>
      <c r="D115" t="inlineStr">
        <is>
          <t>800</t>
        </is>
      </c>
      <c r="E115" t="inlineStr">
        <is>
          <t>60000</t>
        </is>
      </c>
      <c r="F115" t="inlineStr">
        <is>
          <t>100</t>
        </is>
      </c>
      <c r="G115" t="inlineStr"/>
      <c r="H115" t="inlineStr">
        <is>
          <t>local declaration</t>
        </is>
      </c>
      <c r="I115" t="inlineStr">
        <is>
          <t>vehicles, ~gdi, tier3, ~promotion.apc_vulcan, ~infantry.any</t>
        </is>
      </c>
      <c r="J115" t="inlineStr">
        <is>
          <t>^FightingTankTurreted, ^HighResShadow, ^BiologicalDriver, ^GDIHeavyVehicleArmor, ^Transport, ^PrioAntiLight, ^DronePairing</t>
        </is>
      </c>
      <c r="K115" t="inlineStr">
        <is>
          <t>MGatt.0, MGatt.1, MGatt.2, MGatt.3, MGatt.0G, MGatt.1G, MGatt.2G</t>
        </is>
      </c>
      <c r="L115" t="inlineStr">
        <is>
          <t>cargo, multiple/conditional armaments</t>
        </is>
      </c>
      <c r="M115" t="inlineStr">
        <is>
          <t>not modeled; inspection required</t>
        </is>
      </c>
      <c r="N115" t="inlineStr"/>
      <c r="O115" t="inlineStr">
        <is>
          <t>mods/ca/rules/gdi/vehicles.yaml</t>
        </is>
      </c>
    </row>
    <row r="116">
      <c r="A116" t="inlineStr">
        <is>
          <t>gdi</t>
        </is>
      </c>
      <c r="B116" t="inlineStr">
        <is>
          <t>XO</t>
        </is>
      </c>
      <c r="C116" t="inlineStr">
        <is>
          <t>X-O Powersuit</t>
        </is>
      </c>
      <c r="D116" t="inlineStr">
        <is>
          <t>800</t>
        </is>
      </c>
      <c r="E116" t="inlineStr">
        <is>
          <t>22000</t>
        </is>
      </c>
      <c r="F116" t="inlineStr">
        <is>
          <t>95</t>
        </is>
      </c>
      <c r="G116" t="inlineStr"/>
      <c r="H116" t="inlineStr">
        <is>
          <t>local declaration</t>
        </is>
      </c>
      <c r="I116" t="inlineStr">
        <is>
          <t>weap.td, vehicles, ~talon</t>
        </is>
      </c>
      <c r="J116" t="inlineStr">
        <is>
          <t>^FightingVehicle, ^HighResWalkerShadow, ^TurretedWalker, ^GDIWalkerUpgrades, ^SensorEquipment, ^BiologicalDriver, ^PrioAntiLight</t>
        </is>
      </c>
      <c r="K116" t="inlineStr">
        <is>
          <t>M60mgXO, XOLaser</t>
        </is>
      </c>
      <c r="L116" t="inlineStr">
        <is>
          <t>walker, sensor, multiple/conditional armaments</t>
        </is>
      </c>
      <c r="M116" t="inlineStr">
        <is>
          <t>not modeled; inspection required</t>
        </is>
      </c>
      <c r="N116" t="inlineStr"/>
      <c r="O116" t="inlineStr">
        <is>
          <t>mods/ca/rules/gdi/vehicles.yaml</t>
        </is>
      </c>
    </row>
    <row r="117">
      <c r="A117" t="inlineStr">
        <is>
          <t>gdi</t>
        </is>
      </c>
      <c r="B117" t="inlineStr">
        <is>
          <t>MDRN</t>
        </is>
      </c>
      <c r="C117" t="inlineStr">
        <is>
          <t>Mini Drone</t>
        </is>
      </c>
      <c r="D117" t="inlineStr">
        <is>
          <t>300</t>
        </is>
      </c>
      <c r="E117" t="inlineStr">
        <is>
          <t>15000</t>
        </is>
      </c>
      <c r="F117" t="inlineStr">
        <is>
          <t>80</t>
        </is>
      </c>
      <c r="G117" t="inlineStr">
        <is>
          <t>seal</t>
        </is>
      </c>
      <c r="H117" t="inlineStr">
        <is>
          <t>local declaration</t>
        </is>
      </c>
      <c r="I117" t="inlineStr">
        <is>
          <t>radar, vehicles, ~zocom</t>
        </is>
      </c>
      <c r="J117" t="inlineStr">
        <is>
          <t>^FightingTankTurreted, ^FightingVehicle, ^HoverVehicle, ^RobotDriver, ^PrioAntiInfantry</t>
        </is>
      </c>
      <c r="K117" t="inlineStr">
        <is>
          <t>M60mgMD</t>
        </is>
      </c>
      <c r="L117" t="inlineStr">
        <is>
          <t>hover/amphibious</t>
        </is>
      </c>
      <c r="M117" t="inlineStr">
        <is>
          <t>not modeled; inspection required</t>
        </is>
      </c>
      <c r="N117" t="inlineStr"/>
      <c r="O117" t="inlineStr">
        <is>
          <t>mods/ca/rules/gdi/vehicles.yaml</t>
        </is>
      </c>
    </row>
    <row r="118">
      <c r="A118" t="inlineStr">
        <is>
          <t>gdi</t>
        </is>
      </c>
      <c r="B118" t="inlineStr">
        <is>
          <t>MDRN.Attached</t>
        </is>
      </c>
      <c r="C118" t="inlineStr"/>
      <c r="D118" t="inlineStr"/>
      <c r="E118" t="inlineStr"/>
      <c r="F118" t="inlineStr"/>
      <c r="G118" t="inlineStr"/>
      <c r="H118" t="inlineStr">
        <is>
          <t>removed locally</t>
        </is>
      </c>
      <c r="I118" t="inlineStr"/>
      <c r="J118" t="inlineStr">
        <is>
          <t>MDRN</t>
        </is>
      </c>
      <c r="K118" t="inlineStr">
        <is>
          <t>M60mgMD</t>
        </is>
      </c>
      <c r="L118" t="inlineStr">
        <is>
          <t>hover/amphibious</t>
        </is>
      </c>
      <c r="M118" t="inlineStr">
        <is>
          <t>not modeled; inspection required</t>
        </is>
      </c>
      <c r="N118" t="inlineStr"/>
      <c r="O118" t="inlineStr">
        <is>
          <t>mods/ca/rules/gdi/vehicles.yaml</t>
        </is>
      </c>
    </row>
    <row r="119">
      <c r="A119" t="inlineStr">
        <is>
          <t>gdi</t>
        </is>
      </c>
      <c r="B119" t="inlineStr">
        <is>
          <t>GDRN</t>
        </is>
      </c>
      <c r="C119" t="inlineStr">
        <is>
          <t>Scout Drone</t>
        </is>
      </c>
      <c r="D119" t="inlineStr">
        <is>
          <t>300</t>
        </is>
      </c>
      <c r="E119" t="inlineStr">
        <is>
          <t>17000</t>
        </is>
      </c>
      <c r="F119" t="inlineStr">
        <is>
          <t>134</t>
        </is>
      </c>
      <c r="G119" t="inlineStr"/>
      <c r="H119" t="inlineStr">
        <is>
          <t>local declaration</t>
        </is>
      </c>
      <c r="I119" t="inlineStr">
        <is>
          <t>vehicles, ~zocom</t>
        </is>
      </c>
      <c r="J119" t="inlineStr">
        <is>
          <t>^FightingVehicle, ^HighResShadow, ^RobotDriver, ^SensorEquipment, ^PrioAntiHeavy</t>
        </is>
      </c>
      <c r="K119" t="inlineStr">
        <is>
          <t>GuardianDroneGun</t>
        </is>
      </c>
      <c r="L119" t="inlineStr">
        <is>
          <t>sensor</t>
        </is>
      </c>
      <c r="M119" t="inlineStr">
        <is>
          <t>not modeled; inspection required</t>
        </is>
      </c>
      <c r="N119" t="inlineStr"/>
      <c r="O119" t="inlineStr">
        <is>
          <t>mods/ca/rules/gdi/vehicles.yaml</t>
        </is>
      </c>
    </row>
    <row r="120">
      <c r="A120" t="inlineStr">
        <is>
          <t>nod</t>
        </is>
      </c>
      <c r="B120" t="inlineStr">
        <is>
          <t>AMCV</t>
        </is>
      </c>
      <c r="C120" t="inlineStr">
        <is>
          <t>Mobile Construction Vehicle</t>
        </is>
      </c>
      <c r="D120" t="inlineStr">
        <is>
          <t>3000</t>
        </is>
      </c>
      <c r="E120" t="inlineStr">
        <is>
          <t>75000</t>
        </is>
      </c>
      <c r="F120" t="inlineStr">
        <is>
          <t>56</t>
        </is>
      </c>
      <c r="G120" t="inlineStr">
        <is>
          <t>heavywheeled</t>
        </is>
      </c>
      <c r="H120" t="inlineStr">
        <is>
          <t>local declaration</t>
        </is>
      </c>
      <c r="I120" t="inlineStr">
        <is>
          <t>repair, vehicles, ~td</t>
        </is>
      </c>
      <c r="J120" t="inlineStr">
        <is>
          <t>^ConstructionVehicle, ^TDVehicleSprite, ^BigVehicle, ^BiologicalDriver, ^MustBeDestroyed</t>
        </is>
      </c>
      <c r="K120" t="inlineStr"/>
      <c r="L120" t="inlineStr">
        <is>
          <t>transformation/deploy</t>
        </is>
      </c>
      <c r="M120" t="inlineStr">
        <is>
          <t>not modeled; inspection required</t>
        </is>
      </c>
      <c r="N120" t="inlineStr"/>
      <c r="O120" t="inlineStr">
        <is>
          <t>mods/ca/rules/nod/vehicles.yaml</t>
        </is>
      </c>
    </row>
    <row r="121">
      <c r="A121" t="inlineStr">
        <is>
          <t>nod</t>
        </is>
      </c>
      <c r="B121" t="inlineStr">
        <is>
          <t>AMCV.Nukular</t>
        </is>
      </c>
      <c r="C121" t="inlineStr"/>
      <c r="D121" t="inlineStr"/>
      <c r="E121" t="inlineStr"/>
      <c r="F121" t="inlineStr"/>
      <c r="G121" t="inlineStr"/>
      <c r="H121" t="inlineStr">
        <is>
          <t>removed locally</t>
        </is>
      </c>
      <c r="I121" t="inlineStr"/>
      <c r="J121" t="inlineStr">
        <is>
          <t>AMCV, ^NukularConyard</t>
        </is>
      </c>
      <c r="K121" t="inlineStr"/>
      <c r="L121" t="inlineStr">
        <is>
          <t>transformation/deploy</t>
        </is>
      </c>
      <c r="M121" t="inlineStr">
        <is>
          <t>not modeled; inspection required</t>
        </is>
      </c>
      <c r="N121" t="inlineStr"/>
      <c r="O121" t="inlineStr">
        <is>
          <t>mods/ca/rules/nod/vehicles.yaml</t>
        </is>
      </c>
    </row>
    <row r="122">
      <c r="A122" t="inlineStr">
        <is>
          <t>nod</t>
        </is>
      </c>
      <c r="B122" t="inlineStr">
        <is>
          <t>BGGY</t>
        </is>
      </c>
      <c r="C122" t="inlineStr">
        <is>
          <t>Buggy</t>
        </is>
      </c>
      <c r="D122" t="inlineStr">
        <is>
          <t>350</t>
        </is>
      </c>
      <c r="E122" t="inlineStr">
        <is>
          <t>14000</t>
        </is>
      </c>
      <c r="F122" t="inlineStr">
        <is>
          <t>157</t>
        </is>
      </c>
      <c r="G122" t="inlineStr"/>
      <c r="H122" t="inlineStr">
        <is>
          <t>local declaration</t>
        </is>
      </c>
      <c r="I122" t="inlineStr">
        <is>
          <t>vehicles, ~nod, ~!promotion.buggy.pdl, ~!promotion.buggy.aa</t>
        </is>
      </c>
      <c r="J122" t="inlineStr">
        <is>
          <t>^FightingVehicle, ^VoxelVehicle, ^TDVehicleSprite, ^BiologicalDriver, ^SensorEquipment, ^PrioAntiInfantry</t>
        </is>
      </c>
      <c r="K122" t="inlineStr">
        <is>
          <t>M60mgTD</t>
        </is>
      </c>
      <c r="L122" t="inlineStr">
        <is>
          <t>sensor</t>
        </is>
      </c>
      <c r="M122" t="inlineStr">
        <is>
          <t>scalar design; runtime pending</t>
        </is>
      </c>
      <c r="N122" t="inlineStr">
        <is>
          <t>Buggy baseline</t>
        </is>
      </c>
      <c r="O122" t="inlineStr">
        <is>
          <t>mods/ca/rules/nod/vehicles.yaml</t>
        </is>
      </c>
    </row>
    <row r="123">
      <c r="A123" t="inlineStr">
        <is>
          <t>nod</t>
        </is>
      </c>
      <c r="B123" t="inlineStr">
        <is>
          <t>BGGY.PDL</t>
        </is>
      </c>
      <c r="C123" t="inlineStr">
        <is>
          <t>Point Laser Buggy</t>
        </is>
      </c>
      <c r="D123" t="inlineStr">
        <is>
          <t>900</t>
        </is>
      </c>
      <c r="E123" t="inlineStr">
        <is>
          <t>18000</t>
        </is>
      </c>
      <c r="F123" t="inlineStr"/>
      <c r="G123" t="inlineStr"/>
      <c r="H123" t="inlineStr">
        <is>
          <t>local declaration</t>
        </is>
      </c>
      <c r="I123" t="inlineStr">
        <is>
          <t>tier3, vehicles, ~nod, ~promotion.buggy.pdl</t>
        </is>
      </c>
      <c r="J123" t="inlineStr">
        <is>
          <t>^PointLaserDefenseSystem, BGGY</t>
        </is>
      </c>
      <c r="K123" t="inlineStr"/>
      <c r="L123" t="inlineStr"/>
      <c r="M123" t="inlineStr">
        <is>
          <t>not modeled; inspection required</t>
        </is>
      </c>
      <c r="N123" t="inlineStr"/>
      <c r="O123" t="inlineStr">
        <is>
          <t>mods/ca/rules/nod/vehicles.yaml</t>
        </is>
      </c>
    </row>
    <row r="124">
      <c r="A124" t="inlineStr">
        <is>
          <t>nod</t>
        </is>
      </c>
      <c r="B124" t="inlineStr">
        <is>
          <t>BGGY.AA</t>
        </is>
      </c>
      <c r="C124" t="inlineStr">
        <is>
          <t>Anti-Air Buggy</t>
        </is>
      </c>
      <c r="D124" t="inlineStr">
        <is>
          <t>500</t>
        </is>
      </c>
      <c r="E124" t="inlineStr">
        <is>
          <t>21000</t>
        </is>
      </c>
      <c r="F124" t="inlineStr"/>
      <c r="G124" t="inlineStr"/>
      <c r="H124" t="inlineStr">
        <is>
          <t>local declaration</t>
        </is>
      </c>
      <c r="I124" t="inlineStr">
        <is>
          <t>tier3, vehicles, ~nod, ~promotion.buggy.aa</t>
        </is>
      </c>
      <c r="J124" t="inlineStr">
        <is>
          <t>BGGY, ^PrioAntiLightAA, ^NodLaserUnit</t>
        </is>
      </c>
      <c r="K124" t="inlineStr">
        <is>
          <t>BuggyLaserAA</t>
        </is>
      </c>
      <c r="L124" t="inlineStr">
        <is>
          <t>special attacks</t>
        </is>
      </c>
      <c r="M124" t="inlineStr">
        <is>
          <t>not modeled; inspection required</t>
        </is>
      </c>
      <c r="N124" t="inlineStr"/>
      <c r="O124" t="inlineStr">
        <is>
          <t>mods/ca/rules/nod/vehicles.yaml</t>
        </is>
      </c>
    </row>
    <row r="125">
      <c r="A125" t="inlineStr">
        <is>
          <t>nod</t>
        </is>
      </c>
      <c r="B125" t="inlineStr">
        <is>
          <t>APC2</t>
        </is>
      </c>
      <c r="C125" t="inlineStr">
        <is>
          <t>Armored Personnel Carrier</t>
        </is>
      </c>
      <c r="D125" t="inlineStr">
        <is>
          <t>600</t>
        </is>
      </c>
      <c r="E125" t="inlineStr">
        <is>
          <t>30000</t>
        </is>
      </c>
      <c r="F125" t="inlineStr">
        <is>
          <t>135</t>
        </is>
      </c>
      <c r="G125" t="inlineStr"/>
      <c r="H125" t="inlineStr">
        <is>
          <t>local declaration</t>
        </is>
      </c>
      <c r="I125" t="inlineStr">
        <is>
          <t>vehicles, ~td, infantry.any, ~!promotion.apc_vulcan</t>
        </is>
      </c>
      <c r="J125" t="inlineStr">
        <is>
          <t>^Tank, ^VoxelVehicle, ^TDVehicleSprite, ^BiologicalDriver, ^Transport, ^PrioAntiInfantry</t>
        </is>
      </c>
      <c r="K125" t="inlineStr">
        <is>
          <t>M60mgTD</t>
        </is>
      </c>
      <c r="L125" t="inlineStr">
        <is>
          <t>cargo</t>
        </is>
      </c>
      <c r="M125" t="inlineStr">
        <is>
          <t>not modeled; inspection required</t>
        </is>
      </c>
      <c r="N125" t="inlineStr"/>
      <c r="O125" t="inlineStr">
        <is>
          <t>mods/ca/rules/nod/vehicles.yaml</t>
        </is>
      </c>
    </row>
    <row r="126">
      <c r="A126" t="inlineStr">
        <is>
          <t>nod</t>
        </is>
      </c>
      <c r="B126" t="inlineStr">
        <is>
          <t>APC2.Reinforce</t>
        </is>
      </c>
      <c r="C126" t="inlineStr"/>
      <c r="D126" t="inlineStr"/>
      <c r="E126" t="inlineStr"/>
      <c r="F126" t="inlineStr"/>
      <c r="G126" t="inlineStr"/>
      <c r="H126" t="inlineStr">
        <is>
          <t>removed locally</t>
        </is>
      </c>
      <c r="I126" t="inlineStr"/>
      <c r="J126" t="inlineStr">
        <is>
          <t>APC2</t>
        </is>
      </c>
      <c r="K126" t="inlineStr"/>
      <c r="L126" t="inlineStr">
        <is>
          <t>cargo</t>
        </is>
      </c>
      <c r="M126" t="inlineStr">
        <is>
          <t>not modeled; inspection required</t>
        </is>
      </c>
      <c r="N126" t="inlineStr"/>
      <c r="O126" t="inlineStr">
        <is>
          <t>mods/ca/rules/nod/vehicles.yaml</t>
        </is>
      </c>
    </row>
    <row r="127">
      <c r="A127" t="inlineStr">
        <is>
          <t>nod</t>
        </is>
      </c>
      <c r="B127" t="inlineStr">
        <is>
          <t>ARTY.nod</t>
        </is>
      </c>
      <c r="C127" t="inlineStr"/>
      <c r="D127" t="inlineStr"/>
      <c r="E127" t="inlineStr"/>
      <c r="F127" t="inlineStr"/>
      <c r="G127" t="inlineStr"/>
      <c r="H127" t="inlineStr">
        <is>
          <t>local declaration</t>
        </is>
      </c>
      <c r="I127" t="inlineStr">
        <is>
          <t>vehicles, ~nod, ~!legion</t>
        </is>
      </c>
      <c r="J127" t="inlineStr">
        <is>
          <t>ARTY</t>
        </is>
      </c>
      <c r="K127" t="inlineStr">
        <is>
          <t>155mmTD</t>
        </is>
      </c>
      <c r="L127" t="inlineStr"/>
      <c r="M127" t="inlineStr">
        <is>
          <t>not modeled; inspection required</t>
        </is>
      </c>
      <c r="N127" t="inlineStr"/>
      <c r="O127" t="inlineStr">
        <is>
          <t>mods/ca/rules/nod/vehicles.yaml</t>
        </is>
      </c>
    </row>
    <row r="128">
      <c r="A128" t="inlineStr">
        <is>
          <t>nod</t>
        </is>
      </c>
      <c r="B128" t="inlineStr">
        <is>
          <t>HOWI</t>
        </is>
      </c>
      <c r="C128" t="inlineStr">
        <is>
          <t>Howitzer</t>
        </is>
      </c>
      <c r="D128" t="inlineStr"/>
      <c r="E128" t="inlineStr">
        <is>
          <t>15000</t>
        </is>
      </c>
      <c r="F128" t="inlineStr">
        <is>
          <t>68</t>
        </is>
      </c>
      <c r="G128" t="inlineStr"/>
      <c r="H128" t="inlineStr">
        <is>
          <t>local declaration</t>
        </is>
      </c>
      <c r="I128" t="inlineStr">
        <is>
          <t>vehicles, ~legion</t>
        </is>
      </c>
      <c r="J128" t="inlineStr">
        <is>
          <t>ARTY.nod, ^HighResShadow</t>
        </is>
      </c>
      <c r="K128" t="inlineStr">
        <is>
          <t>155mmTDM</t>
        </is>
      </c>
      <c r="L128" t="inlineStr"/>
      <c r="M128" t="inlineStr">
        <is>
          <t>not modeled; inspection required</t>
        </is>
      </c>
      <c r="N128" t="inlineStr"/>
      <c r="O128" t="inlineStr">
        <is>
          <t>mods/ca/rules/nod/vehicles.yaml</t>
        </is>
      </c>
    </row>
    <row r="129">
      <c r="A129" t="inlineStr">
        <is>
          <t>nod</t>
        </is>
      </c>
      <c r="B129" t="inlineStr">
        <is>
          <t>SPEC</t>
        </is>
      </c>
      <c r="C129" t="inlineStr">
        <is>
          <t>Specter</t>
        </is>
      </c>
      <c r="D129" t="inlineStr">
        <is>
          <t>1100</t>
        </is>
      </c>
      <c r="E129" t="inlineStr">
        <is>
          <t>11000</t>
        </is>
      </c>
      <c r="F129" t="inlineStr">
        <is>
          <t>100</t>
        </is>
      </c>
      <c r="G129" t="inlineStr"/>
      <c r="H129" t="inlineStr">
        <is>
          <t>local declaration</t>
        </is>
      </c>
      <c r="I129" t="inlineStr">
        <is>
          <t>tmpl, vehicles, ~blackh</t>
        </is>
      </c>
      <c r="J129" t="inlineStr">
        <is>
          <t>ARTY.nod, ^HighResShadow, ^AutoDeployAttacker, ^CloakSpriteTurret, ^NodAdvancedStealthVehicle</t>
        </is>
      </c>
      <c r="K129" t="inlineStr">
        <is>
          <t>155mmSpec</t>
        </is>
      </c>
      <c r="L129" t="inlineStr">
        <is>
          <t>transformation/deploy</t>
        </is>
      </c>
      <c r="M129" t="inlineStr">
        <is>
          <t>not modeled; inspection required</t>
        </is>
      </c>
      <c r="N129" t="inlineStr"/>
      <c r="O129" t="inlineStr">
        <is>
          <t>mods/ca/rules/nod/vehicles.yaml</t>
        </is>
      </c>
    </row>
    <row r="130">
      <c r="A130" t="inlineStr">
        <is>
          <t>nod</t>
        </is>
      </c>
      <c r="B130" t="inlineStr">
        <is>
          <t>LTNK</t>
        </is>
      </c>
      <c r="C130" t="inlineStr">
        <is>
          <t>Light Tank</t>
        </is>
      </c>
      <c r="D130" t="inlineStr">
        <is>
          <t>625</t>
        </is>
      </c>
      <c r="E130" t="inlineStr">
        <is>
          <t>41250</t>
        </is>
      </c>
      <c r="F130" t="inlineStr">
        <is>
          <t>100</t>
        </is>
      </c>
      <c r="G130" t="inlineStr"/>
      <c r="H130" t="inlineStr">
        <is>
          <t>local declaration</t>
        </is>
      </c>
      <c r="I130" t="inlineStr">
        <is>
          <t>vehicles, ~nod</t>
        </is>
      </c>
      <c r="J130" t="inlineStr">
        <is>
          <t>^FightingTankTurreted, ^VoxelTurretedTank, ^BiologicalDriver, ^PrioAntiHeavy, ^NodLaserUnit</t>
        </is>
      </c>
      <c r="K130" t="inlineStr">
        <is>
          <t>30mm</t>
        </is>
      </c>
      <c r="L130" t="inlineStr">
        <is>
          <t>special attacks</t>
        </is>
      </c>
      <c r="M130" t="inlineStr">
        <is>
          <t>scalar design; runtime pending</t>
        </is>
      </c>
      <c r="N130" t="inlineStr">
        <is>
          <t>Nod Light Tank baseline</t>
        </is>
      </c>
      <c r="O130" t="inlineStr">
        <is>
          <t>mods/ca/rules/nod/vehicles.yaml</t>
        </is>
      </c>
    </row>
    <row r="131">
      <c r="A131" t="inlineStr">
        <is>
          <t>nod</t>
        </is>
      </c>
      <c r="B131" t="inlineStr">
        <is>
          <t>LTNK.Laser</t>
        </is>
      </c>
      <c r="C131" t="inlineStr">
        <is>
          <t>Scorpion Tank</t>
        </is>
      </c>
      <c r="D131" t="inlineStr">
        <is>
          <t>750</t>
        </is>
      </c>
      <c r="E131" t="inlineStr">
        <is>
          <t>41250</t>
        </is>
      </c>
      <c r="F131" t="inlineStr">
        <is>
          <t>100</t>
        </is>
      </c>
      <c r="G131" t="inlineStr"/>
      <c r="H131" t="inlineStr">
        <is>
          <t>local declaration</t>
        </is>
      </c>
      <c r="I131" t="inlineStr">
        <is>
          <t>vehicles, ~nod, tmpl, ~promotion.scorpion_tank</t>
        </is>
      </c>
      <c r="J131" t="inlineStr">
        <is>
          <t>^FightingTank, ^HoverVehicle, ^TDVehicleSprite, ^HighResShadow, ^BiologicalDriver, ^PrioEnergyAntiHeavy</t>
        </is>
      </c>
      <c r="K131" t="inlineStr">
        <is>
          <t>Laser.Tank</t>
        </is>
      </c>
      <c r="L131" t="inlineStr">
        <is>
          <t>hover/amphibious</t>
        </is>
      </c>
      <c r="M131" t="inlineStr">
        <is>
          <t>not modeled; inspection required</t>
        </is>
      </c>
      <c r="N131" t="inlineStr"/>
      <c r="O131" t="inlineStr">
        <is>
          <t>mods/ca/rules/nod/vehicles.yaml</t>
        </is>
      </c>
    </row>
    <row r="132">
      <c r="A132" t="inlineStr">
        <is>
          <t>nod</t>
        </is>
      </c>
      <c r="B132" t="inlineStr">
        <is>
          <t>SSM</t>
        </is>
      </c>
      <c r="C132" t="inlineStr">
        <is>
          <t>SSM Napalm Launcher</t>
        </is>
      </c>
      <c r="D132" t="inlineStr">
        <is>
          <t>1050</t>
        </is>
      </c>
      <c r="E132" t="inlineStr">
        <is>
          <t>15000</t>
        </is>
      </c>
      <c r="F132" t="inlineStr">
        <is>
          <t>82</t>
        </is>
      </c>
      <c r="G132" t="inlineStr"/>
      <c r="H132" t="inlineStr">
        <is>
          <t>local declaration</t>
        </is>
      </c>
      <c r="I132" t="inlineStr">
        <is>
          <t>tmpl, vehicles, ~nod, ~promotion.ssm_launcher</t>
        </is>
      </c>
      <c r="J132" t="inlineStr">
        <is>
          <t>^FightingVehicle, ^BiologicalDriver, ^PrioArtillery</t>
        </is>
      </c>
      <c r="K132" t="inlineStr">
        <is>
          <t>honestjohn</t>
        </is>
      </c>
      <c r="L132" t="inlineStr"/>
      <c r="M132" t="inlineStr">
        <is>
          <t>not modeled; inspection required</t>
        </is>
      </c>
      <c r="N132" t="inlineStr"/>
      <c r="O132" t="inlineStr">
        <is>
          <t>mods/ca/rules/nod/vehicles.yaml</t>
        </is>
      </c>
    </row>
    <row r="133">
      <c r="A133" t="inlineStr">
        <is>
          <t>nod</t>
        </is>
      </c>
      <c r="B133" t="inlineStr">
        <is>
          <t>SSM.Toxin</t>
        </is>
      </c>
      <c r="C133" t="inlineStr">
        <is>
          <t>SSM Chemical Launcher</t>
        </is>
      </c>
      <c r="D133" t="inlineStr"/>
      <c r="E133" t="inlineStr"/>
      <c r="F133" t="inlineStr"/>
      <c r="G133" t="inlineStr"/>
      <c r="H133" t="inlineStr">
        <is>
          <t>local declaration</t>
        </is>
      </c>
      <c r="I133" t="inlineStr">
        <is>
          <t>tmpl, vehicles, ~nod, ~promotion.ssm_toxin_launcher</t>
        </is>
      </c>
      <c r="J133" t="inlineStr">
        <is>
          <t>SSM</t>
        </is>
      </c>
      <c r="K133" t="inlineStr">
        <is>
          <t>honestjohn.chemical</t>
        </is>
      </c>
      <c r="L133" t="inlineStr"/>
      <c r="M133" t="inlineStr">
        <is>
          <t>not modeled; inspection required</t>
        </is>
      </c>
      <c r="N133" t="inlineStr"/>
      <c r="O133" t="inlineStr">
        <is>
          <t>mods/ca/rules/nod/vehicles.yaml</t>
        </is>
      </c>
    </row>
    <row r="134">
      <c r="A134" t="inlineStr">
        <is>
          <t>nod</t>
        </is>
      </c>
      <c r="B134" t="inlineStr">
        <is>
          <t>SSM.Multi</t>
        </is>
      </c>
      <c r="C134" t="inlineStr">
        <is>
          <t>SSM Multi Launcher</t>
        </is>
      </c>
      <c r="D134" t="inlineStr">
        <is>
          <t>1200</t>
        </is>
      </c>
      <c r="E134" t="inlineStr"/>
      <c r="F134" t="inlineStr"/>
      <c r="G134" t="inlineStr"/>
      <c r="H134" t="inlineStr">
        <is>
          <t>local declaration</t>
        </is>
      </c>
      <c r="I134" t="inlineStr">
        <is>
          <t>tmpl, vehicles, ~nod, ~promotion.ssm_multi_launcher</t>
        </is>
      </c>
      <c r="J134" t="inlineStr">
        <is>
          <t>SSM, ^PrioAntiHeavy</t>
        </is>
      </c>
      <c r="K134" t="inlineStr">
        <is>
          <t>honestjohn.multi</t>
        </is>
      </c>
      <c r="L134" t="inlineStr"/>
      <c r="M134" t="inlineStr">
        <is>
          <t>not modeled; inspection required</t>
        </is>
      </c>
      <c r="N134" t="inlineStr"/>
      <c r="O134" t="inlineStr">
        <is>
          <t>mods/ca/rules/nod/vehicles.yaml</t>
        </is>
      </c>
    </row>
    <row r="135">
      <c r="A135" t="inlineStr">
        <is>
          <t>nod</t>
        </is>
      </c>
      <c r="B135" t="inlineStr">
        <is>
          <t>SSM.Bunkerbuster</t>
        </is>
      </c>
      <c r="C135" t="inlineStr">
        <is>
          <t>SSM Bunkerbuster</t>
        </is>
      </c>
      <c r="D135" t="inlineStr"/>
      <c r="E135" t="inlineStr"/>
      <c r="F135" t="inlineStr"/>
      <c r="G135" t="inlineStr"/>
      <c r="H135" t="inlineStr">
        <is>
          <t>local declaration</t>
        </is>
      </c>
      <c r="I135" t="inlineStr">
        <is>
          <t>tmpl, vehicles, ~nod, ~promotion.ssm_bunkerbuster</t>
        </is>
      </c>
      <c r="J135" t="inlineStr">
        <is>
          <t>SSM, ^PrioArtillery</t>
        </is>
      </c>
      <c r="K135" t="inlineStr">
        <is>
          <t>honestjohn.bunkerbuster</t>
        </is>
      </c>
      <c r="L135" t="inlineStr"/>
      <c r="M135" t="inlineStr">
        <is>
          <t>not modeled; inspection required</t>
        </is>
      </c>
      <c r="N135" t="inlineStr"/>
      <c r="O135" t="inlineStr">
        <is>
          <t>mods/ca/rules/nod/vehicles.yaml</t>
        </is>
      </c>
    </row>
    <row r="136">
      <c r="A136" t="inlineStr">
        <is>
          <t>nod</t>
        </is>
      </c>
      <c r="B136" t="inlineStr">
        <is>
          <t>STNK</t>
        </is>
      </c>
      <c r="C136" t="inlineStr">
        <is>
          <t>Stealth Tank</t>
        </is>
      </c>
      <c r="D136" t="inlineStr">
        <is>
          <t>1200</t>
        </is>
      </c>
      <c r="E136" t="inlineStr">
        <is>
          <t>20000</t>
        </is>
      </c>
      <c r="F136" t="inlineStr">
        <is>
          <t>135</t>
        </is>
      </c>
      <c r="G136" t="inlineStr"/>
      <c r="H136" t="inlineStr">
        <is>
          <t>local declaration</t>
        </is>
      </c>
      <c r="I136" t="inlineStr">
        <is>
          <t>tier2, vehicles, ~nod, ~!promotion.stealth_tank.ap, ~!promotion.stealth_tank.scrin, ~!promotion.stealth_tank.explosive_rockets</t>
        </is>
      </c>
      <c r="J136" t="inlineStr">
        <is>
          <t>^FightingVehicle, ^VoxelVehicle, ^TDVehicleSprite, ^BiologicalDriver, ^PrioAntiHeavyAA, ^CloakVoxel, ^NodAdvancedStealthVehicle</t>
        </is>
      </c>
      <c r="K136" t="inlineStr">
        <is>
          <t>StnkMissile, StnkMissile.AA</t>
        </is>
      </c>
      <c r="L136" t="inlineStr">
        <is>
          <t>multiple/conditional armaments</t>
        </is>
      </c>
      <c r="M136" t="inlineStr">
        <is>
          <t>not modeled; inspection required</t>
        </is>
      </c>
      <c r="N136" t="inlineStr"/>
      <c r="O136" t="inlineStr">
        <is>
          <t>mods/ca/rules/nod/vehicles.yaml</t>
        </is>
      </c>
    </row>
    <row r="137">
      <c r="A137" t="inlineStr">
        <is>
          <t>nod</t>
        </is>
      </c>
      <c r="B137" t="inlineStr">
        <is>
          <t>STNK.Scrin</t>
        </is>
      </c>
      <c r="C137" t="inlineStr">
        <is>
          <t>Stealth Scrin Tank</t>
        </is>
      </c>
      <c r="D137" t="inlineStr">
        <is>
          <t>1200</t>
        </is>
      </c>
      <c r="E137" t="inlineStr"/>
      <c r="F137" t="inlineStr"/>
      <c r="G137" t="inlineStr"/>
      <c r="H137" t="inlineStr">
        <is>
          <t>local declaration</t>
        </is>
      </c>
      <c r="I137" t="inlineStr">
        <is>
          <t>tier2, vehicles, ~nod, ~promotion.stealth_tank.scrin, ~!upg.stealthtank2</t>
        </is>
      </c>
      <c r="J137" t="inlineStr">
        <is>
          <t>STNK, ^PrioEnergyAntiHeavy</t>
        </is>
      </c>
      <c r="K137" t="inlineStr">
        <is>
          <t>STNKScrinTorp</t>
        </is>
      </c>
      <c r="L137" t="inlineStr"/>
      <c r="M137" t="inlineStr">
        <is>
          <t>not modeled; inspection required</t>
        </is>
      </c>
      <c r="N137" t="inlineStr"/>
      <c r="O137" t="inlineStr">
        <is>
          <t>mods/ca/rules/nod/vehicles.yaml</t>
        </is>
      </c>
    </row>
    <row r="138">
      <c r="A138" t="inlineStr">
        <is>
          <t>nod</t>
        </is>
      </c>
      <c r="B138" t="inlineStr">
        <is>
          <t>STNK.Scrin.PDL</t>
        </is>
      </c>
      <c r="C138" t="inlineStr">
        <is>
          <t>Stealth Scrin Tank</t>
        </is>
      </c>
      <c r="D138" t="inlineStr">
        <is>
          <t>1800</t>
        </is>
      </c>
      <c r="E138" t="inlineStr"/>
      <c r="F138" t="inlineStr"/>
      <c r="G138" t="inlineStr"/>
      <c r="H138" t="inlineStr">
        <is>
          <t>local declaration</t>
        </is>
      </c>
      <c r="I138" t="inlineStr">
        <is>
          <t>tmpl, vehicles, ~nod, ~promotion.stealth_tank.scrin, ~promotion.stealth_tank.pdl</t>
        </is>
      </c>
      <c r="J138" t="inlineStr">
        <is>
          <t>^PointLaserDefenseSystem, STNK.Scrin</t>
        </is>
      </c>
      <c r="K138" t="inlineStr"/>
      <c r="L138" t="inlineStr"/>
      <c r="M138" t="inlineStr">
        <is>
          <t>not modeled; inspection required</t>
        </is>
      </c>
      <c r="N138" t="inlineStr"/>
      <c r="O138" t="inlineStr">
        <is>
          <t>mods/ca/rules/nod/vehicles.yaml</t>
        </is>
      </c>
    </row>
    <row r="139">
      <c r="A139" t="inlineStr">
        <is>
          <t>nod</t>
        </is>
      </c>
      <c r="B139" t="inlineStr">
        <is>
          <t>STNK.Scrin.Reflector</t>
        </is>
      </c>
      <c r="C139" t="inlineStr">
        <is>
          <t>Stealth Scrin Tank (Reflector)</t>
        </is>
      </c>
      <c r="D139" t="inlineStr">
        <is>
          <t>1200</t>
        </is>
      </c>
      <c r="E139" t="inlineStr"/>
      <c r="F139" t="inlineStr"/>
      <c r="G139" t="inlineStr"/>
      <c r="H139" t="inlineStr">
        <is>
          <t>local declaration</t>
        </is>
      </c>
      <c r="I139" t="inlineStr">
        <is>
          <t>tmpl, vehicles, ~nod, ~promotion.stealth_tank.scrin, ~promotion.stealth_tank.reflector</t>
        </is>
      </c>
      <c r="J139" t="inlineStr">
        <is>
          <t>STNK.Scrin, ^ReflectorArmor</t>
        </is>
      </c>
      <c r="K139" t="inlineStr"/>
      <c r="L139" t="inlineStr"/>
      <c r="M139" t="inlineStr">
        <is>
          <t>not modeled; inspection required</t>
        </is>
      </c>
      <c r="N139" t="inlineStr"/>
      <c r="O139" t="inlineStr">
        <is>
          <t>mods/ca/rules/nod/vehicles.yaml</t>
        </is>
      </c>
    </row>
    <row r="140">
      <c r="A140" t="inlineStr">
        <is>
          <t>nod</t>
        </is>
      </c>
      <c r="B140" t="inlineStr">
        <is>
          <t>STNK.HE</t>
        </is>
      </c>
      <c r="C140" t="inlineStr">
        <is>
          <t>Stealth HE Tank</t>
        </is>
      </c>
      <c r="D140" t="inlineStr">
        <is>
          <t>1200</t>
        </is>
      </c>
      <c r="E140" t="inlineStr"/>
      <c r="F140" t="inlineStr"/>
      <c r="G140" t="inlineStr"/>
      <c r="H140" t="inlineStr">
        <is>
          <t>local declaration</t>
        </is>
      </c>
      <c r="I140" t="inlineStr">
        <is>
          <t>tier2, vehicles, ~nod, ~promotion.stealth_tank.explosive_rockets, ~!upg.stealthtank2</t>
        </is>
      </c>
      <c r="J140" t="inlineStr">
        <is>
          <t>STNK, ^PrioAntiLightAA</t>
        </is>
      </c>
      <c r="K140" t="inlineStr">
        <is>
          <t>StnkMissile.HE, StnkMissile.AA.HE</t>
        </is>
      </c>
      <c r="L140" t="inlineStr">
        <is>
          <t>multiple/conditional armaments</t>
        </is>
      </c>
      <c r="M140" t="inlineStr">
        <is>
          <t>not modeled; inspection required</t>
        </is>
      </c>
      <c r="N140" t="inlineStr"/>
      <c r="O140" t="inlineStr">
        <is>
          <t>mods/ca/rules/nod/vehicles.yaml</t>
        </is>
      </c>
    </row>
    <row r="141">
      <c r="A141" t="inlineStr">
        <is>
          <t>nod</t>
        </is>
      </c>
      <c r="B141" t="inlineStr">
        <is>
          <t>STNK.HE.PDL</t>
        </is>
      </c>
      <c r="C141" t="inlineStr">
        <is>
          <t>Stealth HE Tank</t>
        </is>
      </c>
      <c r="D141" t="inlineStr">
        <is>
          <t>1800</t>
        </is>
      </c>
      <c r="E141" t="inlineStr"/>
      <c r="F141" t="inlineStr"/>
      <c r="G141" t="inlineStr"/>
      <c r="H141" t="inlineStr">
        <is>
          <t>local declaration</t>
        </is>
      </c>
      <c r="I141" t="inlineStr">
        <is>
          <t>tmpl, vehicles, ~nod, ~promotion.stealth_tank.explosive_rockets, ~promotion.stealth_tank.pdl</t>
        </is>
      </c>
      <c r="J141" t="inlineStr">
        <is>
          <t>^PointLaserDefenseSystem, STNK.HE</t>
        </is>
      </c>
      <c r="K141" t="inlineStr"/>
      <c r="L141" t="inlineStr"/>
      <c r="M141" t="inlineStr">
        <is>
          <t>not modeled; inspection required</t>
        </is>
      </c>
      <c r="N141" t="inlineStr"/>
      <c r="O141" t="inlineStr">
        <is>
          <t>mods/ca/rules/nod/vehicles.yaml</t>
        </is>
      </c>
    </row>
    <row r="142">
      <c r="A142" t="inlineStr">
        <is>
          <t>nod</t>
        </is>
      </c>
      <c r="B142" t="inlineStr">
        <is>
          <t>STNK.HE.Reflector</t>
        </is>
      </c>
      <c r="C142" t="inlineStr">
        <is>
          <t>Stealth HE Tank (Reflector)</t>
        </is>
      </c>
      <c r="D142" t="inlineStr">
        <is>
          <t>1200</t>
        </is>
      </c>
      <c r="E142" t="inlineStr"/>
      <c r="F142" t="inlineStr"/>
      <c r="G142" t="inlineStr"/>
      <c r="H142" t="inlineStr">
        <is>
          <t>local declaration</t>
        </is>
      </c>
      <c r="I142" t="inlineStr">
        <is>
          <t>tmpl, vehicles, ~nod, ~promotion.stealth_tank.explosive_rockets, ~promotion.stealth_tank.reflector</t>
        </is>
      </c>
      <c r="J142" t="inlineStr">
        <is>
          <t>STNK.HE, ^ReflectorArmor</t>
        </is>
      </c>
      <c r="K142" t="inlineStr"/>
      <c r="L142" t="inlineStr"/>
      <c r="M142" t="inlineStr">
        <is>
          <t>not modeled; inspection required</t>
        </is>
      </c>
      <c r="N142" t="inlineStr"/>
      <c r="O142" t="inlineStr">
        <is>
          <t>mods/ca/rules/nod/vehicles.yaml</t>
        </is>
      </c>
    </row>
    <row r="143">
      <c r="A143" t="inlineStr">
        <is>
          <t>nod</t>
        </is>
      </c>
      <c r="B143" t="inlineStr">
        <is>
          <t>STNK.AP</t>
        </is>
      </c>
      <c r="C143" t="inlineStr">
        <is>
          <t>Stealth AP Tank</t>
        </is>
      </c>
      <c r="D143" t="inlineStr">
        <is>
          <t>1400</t>
        </is>
      </c>
      <c r="E143" t="inlineStr"/>
      <c r="F143" t="inlineStr"/>
      <c r="G143" t="inlineStr"/>
      <c r="H143" t="inlineStr">
        <is>
          <t>local declaration</t>
        </is>
      </c>
      <c r="I143" t="inlineStr">
        <is>
          <t>tier2, vehicles, ~nod, ~promotion.stealth_tank.ap, ~!upg.stealthtank2</t>
        </is>
      </c>
      <c r="J143" t="inlineStr">
        <is>
          <t>STNK, ^PrioAntiHeavyAA</t>
        </is>
      </c>
      <c r="K143" t="inlineStr">
        <is>
          <t>StnkMissile.AP, StnkMissile.AP.AA</t>
        </is>
      </c>
      <c r="L143" t="inlineStr">
        <is>
          <t>multiple/conditional armaments</t>
        </is>
      </c>
      <c r="M143" t="inlineStr">
        <is>
          <t>not modeled; inspection required</t>
        </is>
      </c>
      <c r="N143" t="inlineStr"/>
      <c r="O143" t="inlineStr">
        <is>
          <t>mods/ca/rules/nod/vehicles.yaml</t>
        </is>
      </c>
    </row>
    <row r="144">
      <c r="A144" t="inlineStr">
        <is>
          <t>nod</t>
        </is>
      </c>
      <c r="B144" t="inlineStr">
        <is>
          <t>STNK.AP.PDL</t>
        </is>
      </c>
      <c r="C144" t="inlineStr">
        <is>
          <t>Stealth AP Tank (PDL)</t>
        </is>
      </c>
      <c r="D144" t="inlineStr">
        <is>
          <t>2000</t>
        </is>
      </c>
      <c r="E144" t="inlineStr"/>
      <c r="F144" t="inlineStr"/>
      <c r="G144" t="inlineStr"/>
      <c r="H144" t="inlineStr">
        <is>
          <t>local declaration</t>
        </is>
      </c>
      <c r="I144" t="inlineStr">
        <is>
          <t>vehicles, ~nod, tmpl, ~promotion.stealth_tank.ap, ~promotion.stealth_tank.pdl</t>
        </is>
      </c>
      <c r="J144" t="inlineStr">
        <is>
          <t>^PointLaserDefenseSystem, STNK.AP</t>
        </is>
      </c>
      <c r="K144" t="inlineStr"/>
      <c r="L144" t="inlineStr"/>
      <c r="M144" t="inlineStr">
        <is>
          <t>not modeled; inspection required</t>
        </is>
      </c>
      <c r="N144" t="inlineStr"/>
      <c r="O144" t="inlineStr">
        <is>
          <t>mods/ca/rules/nod/vehicles.yaml</t>
        </is>
      </c>
    </row>
    <row r="145">
      <c r="A145" t="inlineStr">
        <is>
          <t>nod</t>
        </is>
      </c>
      <c r="B145" t="inlineStr">
        <is>
          <t>STNK.AP.Reflector</t>
        </is>
      </c>
      <c r="C145" t="inlineStr">
        <is>
          <t>Stealth AP Tank (Reflector)</t>
        </is>
      </c>
      <c r="D145" t="inlineStr">
        <is>
          <t>1400</t>
        </is>
      </c>
      <c r="E145" t="inlineStr"/>
      <c r="F145" t="inlineStr"/>
      <c r="G145" t="inlineStr"/>
      <c r="H145" t="inlineStr">
        <is>
          <t>local declaration</t>
        </is>
      </c>
      <c r="I145" t="inlineStr">
        <is>
          <t>tmpl, vehicles, ~nod, ~promotion.stealth_tank.ap, ~promotion.stealth_tank.reflector</t>
        </is>
      </c>
      <c r="J145" t="inlineStr">
        <is>
          <t>STNK.AP, ^ReflectorArmor</t>
        </is>
      </c>
      <c r="K145" t="inlineStr"/>
      <c r="L145" t="inlineStr"/>
      <c r="M145" t="inlineStr">
        <is>
          <t>not modeled; inspection required</t>
        </is>
      </c>
      <c r="N145" t="inlineStr"/>
      <c r="O145" t="inlineStr">
        <is>
          <t>mods/ca/rules/nod/vehicles.yaml</t>
        </is>
      </c>
    </row>
    <row r="146">
      <c r="A146" t="inlineStr">
        <is>
          <t>nod</t>
        </is>
      </c>
      <c r="B146" t="inlineStr">
        <is>
          <t>BIKE</t>
        </is>
      </c>
      <c r="C146" t="inlineStr">
        <is>
          <t>Recon Bike</t>
        </is>
      </c>
      <c r="D146" t="inlineStr">
        <is>
          <t>500</t>
        </is>
      </c>
      <c r="E146" t="inlineStr">
        <is>
          <t>11000</t>
        </is>
      </c>
      <c r="F146" t="inlineStr">
        <is>
          <t>180</t>
        </is>
      </c>
      <c r="G146" t="inlineStr"/>
      <c r="H146" t="inlineStr">
        <is>
          <t>local declaration</t>
        </is>
      </c>
      <c r="I146" t="inlineStr">
        <is>
          <t>vehicles, ~nod, ~!upg.reconbike</t>
        </is>
      </c>
      <c r="J146" t="inlineStr">
        <is>
          <t>^FightingVehicle, ^VoxelVehicle, ^BiologicalDriver, ^PrioAntiHeavyAA</t>
        </is>
      </c>
      <c r="K146" t="inlineStr">
        <is>
          <t>BikeRockets, BikeRocketsAA</t>
        </is>
      </c>
      <c r="L146" t="inlineStr">
        <is>
          <t>multiple/conditional armaments</t>
        </is>
      </c>
      <c r="M146" t="inlineStr">
        <is>
          <t>not modeled; inspection required</t>
        </is>
      </c>
      <c r="N146" t="inlineStr"/>
      <c r="O146" t="inlineStr">
        <is>
          <t>mods/ca/rules/nod/vehicles.yaml</t>
        </is>
      </c>
    </row>
    <row r="147">
      <c r="A147" t="inlineStr">
        <is>
          <t>nod</t>
        </is>
      </c>
      <c r="B147" t="inlineStr">
        <is>
          <t>BIKE.Scrin</t>
        </is>
      </c>
      <c r="C147" t="inlineStr">
        <is>
          <t>Scrin Bike</t>
        </is>
      </c>
      <c r="D147" t="inlineStr">
        <is>
          <t>900</t>
        </is>
      </c>
      <c r="E147" t="inlineStr">
        <is>
          <t>18000</t>
        </is>
      </c>
      <c r="F147" t="inlineStr"/>
      <c r="G147" t="inlineStr"/>
      <c r="H147" t="inlineStr">
        <is>
          <t>local declaration</t>
        </is>
      </c>
      <c r="I147" t="inlineStr">
        <is>
          <t>vehicles, ~nod, ~promotion.recon_bike.scrin, ~!upg.reconbike2</t>
        </is>
      </c>
      <c r="J147" t="inlineStr">
        <is>
          <t>BIKE, ^PrioEnergyWeapon</t>
        </is>
      </c>
      <c r="K147" t="inlineStr">
        <is>
          <t>BikeScrinTorp</t>
        </is>
      </c>
      <c r="L147" t="inlineStr"/>
      <c r="M147" t="inlineStr">
        <is>
          <t>not modeled; inspection required</t>
        </is>
      </c>
      <c r="N147" t="inlineStr"/>
      <c r="O147" t="inlineStr">
        <is>
          <t>mods/ca/rules/nod/vehicles.yaml</t>
        </is>
      </c>
    </row>
    <row r="148">
      <c r="A148" t="inlineStr">
        <is>
          <t>nod</t>
        </is>
      </c>
      <c r="B148" t="inlineStr">
        <is>
          <t>BIKE.Scrin.PDL</t>
        </is>
      </c>
      <c r="C148" t="inlineStr">
        <is>
          <t>Scrin Bike (PDL)</t>
        </is>
      </c>
      <c r="D148" t="inlineStr">
        <is>
          <t>1400</t>
        </is>
      </c>
      <c r="E148" t="inlineStr"/>
      <c r="F148" t="inlineStr"/>
      <c r="G148" t="inlineStr"/>
      <c r="H148" t="inlineStr">
        <is>
          <t>local declaration</t>
        </is>
      </c>
      <c r="I148" t="inlineStr">
        <is>
          <t>vehicles, ~nod, ~promotion.recon_bike.scrin, ~promotion.recon_bike.pdl</t>
        </is>
      </c>
      <c r="J148" t="inlineStr">
        <is>
          <t>^PointLaserDefenseSystem, BIKE.Scrin</t>
        </is>
      </c>
      <c r="K148" t="inlineStr"/>
      <c r="L148" t="inlineStr"/>
      <c r="M148" t="inlineStr">
        <is>
          <t>not modeled; inspection required</t>
        </is>
      </c>
      <c r="N148" t="inlineStr"/>
      <c r="O148" t="inlineStr">
        <is>
          <t>mods/ca/rules/nod/vehicles.yaml</t>
        </is>
      </c>
    </row>
    <row r="149">
      <c r="A149" t="inlineStr">
        <is>
          <t>nod</t>
        </is>
      </c>
      <c r="B149" t="inlineStr">
        <is>
          <t>BIKE.Scrin.Reflector</t>
        </is>
      </c>
      <c r="C149" t="inlineStr">
        <is>
          <t>Scrin Bike (Reflector)</t>
        </is>
      </c>
      <c r="D149" t="inlineStr">
        <is>
          <t>900</t>
        </is>
      </c>
      <c r="E149" t="inlineStr"/>
      <c r="F149" t="inlineStr"/>
      <c r="G149" t="inlineStr"/>
      <c r="H149" t="inlineStr">
        <is>
          <t>local declaration</t>
        </is>
      </c>
      <c r="I149" t="inlineStr">
        <is>
          <t>vehicles, ~nod, ~promotion.recon_bike.scrin, ~promotion.recon_bike.reflector</t>
        </is>
      </c>
      <c r="J149" t="inlineStr">
        <is>
          <t>BIKE.Scrin, ^ReflectorArmor</t>
        </is>
      </c>
      <c r="K149" t="inlineStr"/>
      <c r="L149" t="inlineStr"/>
      <c r="M149" t="inlineStr">
        <is>
          <t>not modeled; inspection required</t>
        </is>
      </c>
      <c r="N149" t="inlineStr"/>
      <c r="O149" t="inlineStr">
        <is>
          <t>mods/ca/rules/nod/vehicles.yaml</t>
        </is>
      </c>
    </row>
    <row r="150">
      <c r="A150" t="inlineStr">
        <is>
          <t>nod</t>
        </is>
      </c>
      <c r="B150" t="inlineStr">
        <is>
          <t>BIKE.RocketHail</t>
        </is>
      </c>
      <c r="C150" t="inlineStr">
        <is>
          <t>Rocket Hail Bike</t>
        </is>
      </c>
      <c r="D150" t="inlineStr">
        <is>
          <t>900</t>
        </is>
      </c>
      <c r="E150" t="inlineStr"/>
      <c r="F150" t="inlineStr"/>
      <c r="G150" t="inlineStr"/>
      <c r="H150" t="inlineStr">
        <is>
          <t>local declaration</t>
        </is>
      </c>
      <c r="I150" t="inlineStr">
        <is>
          <t>vehicles, ~nod, ~promotion.recon_bike.rocket_hail, ~!upg.reconbike2</t>
        </is>
      </c>
      <c r="J150" t="inlineStr">
        <is>
          <t>BIKE, ^PrioAntiHeavy</t>
        </is>
      </c>
      <c r="K150" t="inlineStr">
        <is>
          <t>BikeRocketHail</t>
        </is>
      </c>
      <c r="L150" t="inlineStr"/>
      <c r="M150" t="inlineStr">
        <is>
          <t>not modeled; inspection required</t>
        </is>
      </c>
      <c r="N150" t="inlineStr"/>
      <c r="O150" t="inlineStr">
        <is>
          <t>mods/ca/rules/nod/vehicles.yaml</t>
        </is>
      </c>
    </row>
    <row r="151">
      <c r="A151" t="inlineStr">
        <is>
          <t>nod</t>
        </is>
      </c>
      <c r="B151" t="inlineStr">
        <is>
          <t>BIKE.RocketHail.PDL</t>
        </is>
      </c>
      <c r="C151" t="inlineStr">
        <is>
          <t>Rocket Hail Bike (PDL)</t>
        </is>
      </c>
      <c r="D151" t="inlineStr">
        <is>
          <t>1400</t>
        </is>
      </c>
      <c r="E151" t="inlineStr"/>
      <c r="F151" t="inlineStr"/>
      <c r="G151" t="inlineStr"/>
      <c r="H151" t="inlineStr">
        <is>
          <t>local declaration</t>
        </is>
      </c>
      <c r="I151" t="inlineStr">
        <is>
          <t>vehicles, ~nod, ~promotion.recon_bike.rocket_hail, ~promotion.recon_bike.pdl</t>
        </is>
      </c>
      <c r="J151" t="inlineStr">
        <is>
          <t>^PointLaserDefenseSystem, BIKE.RocketHail</t>
        </is>
      </c>
      <c r="K151" t="inlineStr"/>
      <c r="L151" t="inlineStr"/>
      <c r="M151" t="inlineStr">
        <is>
          <t>not modeled; inspection required</t>
        </is>
      </c>
      <c r="N151" t="inlineStr"/>
      <c r="O151" t="inlineStr">
        <is>
          <t>mods/ca/rules/nod/vehicles.yaml</t>
        </is>
      </c>
    </row>
    <row r="152">
      <c r="A152" t="inlineStr">
        <is>
          <t>nod</t>
        </is>
      </c>
      <c r="B152" t="inlineStr">
        <is>
          <t>BIKE.RocketHail.Reflector</t>
        </is>
      </c>
      <c r="C152" t="inlineStr">
        <is>
          <t>Rocket Hail Bike (Reflector)</t>
        </is>
      </c>
      <c r="D152" t="inlineStr">
        <is>
          <t>900</t>
        </is>
      </c>
      <c r="E152" t="inlineStr"/>
      <c r="F152" t="inlineStr"/>
      <c r="G152" t="inlineStr"/>
      <c r="H152" t="inlineStr">
        <is>
          <t>local declaration</t>
        </is>
      </c>
      <c r="I152" t="inlineStr">
        <is>
          <t>vehicles, ~nod, ~promotion.recon_bike.rocket_hail, ~promotion.recon_bike.rocket_hail.reflector</t>
        </is>
      </c>
      <c r="J152" t="inlineStr">
        <is>
          <t>BIKE.RocketHail, ^ReflectorArmor</t>
        </is>
      </c>
      <c r="K152" t="inlineStr"/>
      <c r="L152" t="inlineStr"/>
      <c r="M152" t="inlineStr">
        <is>
          <t>not modeled; inspection required</t>
        </is>
      </c>
      <c r="N152" t="inlineStr"/>
      <c r="O152" t="inlineStr">
        <is>
          <t>mods/ca/rules/nod/vehicles.yaml</t>
        </is>
      </c>
    </row>
    <row r="153">
      <c r="A153" t="inlineStr">
        <is>
          <t>nod</t>
        </is>
      </c>
      <c r="B153" t="inlineStr">
        <is>
          <t>BIKE.Explosive</t>
        </is>
      </c>
      <c r="C153" t="inlineStr">
        <is>
          <t>Explosive Rocket Bike</t>
        </is>
      </c>
      <c r="D153" t="inlineStr">
        <is>
          <t>500</t>
        </is>
      </c>
      <c r="E153" t="inlineStr"/>
      <c r="F153" t="inlineStr"/>
      <c r="G153" t="inlineStr"/>
      <c r="H153" t="inlineStr">
        <is>
          <t>local declaration</t>
        </is>
      </c>
      <c r="I153" t="inlineStr">
        <is>
          <t>vehicles, ~nod, ~promotion.recon_bike.explosive, ~!upg.reconbike2</t>
        </is>
      </c>
      <c r="J153" t="inlineStr">
        <is>
          <t>BIKE, ^PrioAntiLightAA</t>
        </is>
      </c>
      <c r="K153" t="inlineStr">
        <is>
          <t>BikeRocketExplosive, BikeRocketsAAExplosive</t>
        </is>
      </c>
      <c r="L153" t="inlineStr">
        <is>
          <t>multiple/conditional armaments</t>
        </is>
      </c>
      <c r="M153" t="inlineStr">
        <is>
          <t>not modeled; inspection required</t>
        </is>
      </c>
      <c r="N153" t="inlineStr"/>
      <c r="O153" t="inlineStr">
        <is>
          <t>mods/ca/rules/nod/vehicles.yaml</t>
        </is>
      </c>
    </row>
    <row r="154">
      <c r="A154" t="inlineStr">
        <is>
          <t>nod</t>
        </is>
      </c>
      <c r="B154" t="inlineStr">
        <is>
          <t>BIKE.Explosive.PDL</t>
        </is>
      </c>
      <c r="C154" t="inlineStr">
        <is>
          <t>Explosive Rocket Bike (PDL)</t>
        </is>
      </c>
      <c r="D154" t="inlineStr">
        <is>
          <t>900</t>
        </is>
      </c>
      <c r="E154" t="inlineStr"/>
      <c r="F154" t="inlineStr"/>
      <c r="G154" t="inlineStr"/>
      <c r="H154" t="inlineStr">
        <is>
          <t>local declaration</t>
        </is>
      </c>
      <c r="I154" t="inlineStr">
        <is>
          <t>vehicles, ~nod, ~promotion.recon_bike.explosive, ~promotion.recon_bike.pdl</t>
        </is>
      </c>
      <c r="J154" t="inlineStr">
        <is>
          <t>^PointLaserDefenseSystem, BIKE.Explosive</t>
        </is>
      </c>
      <c r="K154" t="inlineStr"/>
      <c r="L154" t="inlineStr"/>
      <c r="M154" t="inlineStr">
        <is>
          <t>not modeled; inspection required</t>
        </is>
      </c>
      <c r="N154" t="inlineStr"/>
      <c r="O154" t="inlineStr">
        <is>
          <t>mods/ca/rules/nod/vehicles.yaml</t>
        </is>
      </c>
    </row>
    <row r="155">
      <c r="A155" t="inlineStr">
        <is>
          <t>nod</t>
        </is>
      </c>
      <c r="B155" t="inlineStr">
        <is>
          <t>BIKE.Explosive.Reflector</t>
        </is>
      </c>
      <c r="C155" t="inlineStr">
        <is>
          <t>Explosive Rocket Bike (Reflector)</t>
        </is>
      </c>
      <c r="D155" t="inlineStr">
        <is>
          <t>600</t>
        </is>
      </c>
      <c r="E155" t="inlineStr"/>
      <c r="F155" t="inlineStr"/>
      <c r="G155" t="inlineStr"/>
      <c r="H155" t="inlineStr">
        <is>
          <t>local declaration</t>
        </is>
      </c>
      <c r="I155" t="inlineStr">
        <is>
          <t>vehicles, ~nod, ~promotion.recon_bike.explosive, ~promotion.recon_bike.reflector</t>
        </is>
      </c>
      <c r="J155" t="inlineStr">
        <is>
          <t>BIKE.Explosive, ^ReflectorArmor</t>
        </is>
      </c>
      <c r="K155" t="inlineStr"/>
      <c r="L155" t="inlineStr"/>
      <c r="M155" t="inlineStr">
        <is>
          <t>not modeled; inspection required</t>
        </is>
      </c>
      <c r="N155" t="inlineStr"/>
      <c r="O155" t="inlineStr">
        <is>
          <t>mods/ca/rules/nod/vehicles.yaml</t>
        </is>
      </c>
    </row>
    <row r="156">
      <c r="A156" t="inlineStr">
        <is>
          <t>nod</t>
        </is>
      </c>
      <c r="B156" t="inlineStr">
        <is>
          <t>HAR2</t>
        </is>
      </c>
      <c r="C156" t="inlineStr">
        <is>
          <t>Harvester</t>
        </is>
      </c>
      <c r="D156" t="inlineStr">
        <is>
          <t>1400</t>
        </is>
      </c>
      <c r="E156" t="inlineStr">
        <is>
          <t>75000</t>
        </is>
      </c>
      <c r="F156" t="inlineStr">
        <is>
          <t>56</t>
        </is>
      </c>
      <c r="G156" t="inlineStr">
        <is>
          <t>heavywheeled</t>
        </is>
      </c>
      <c r="H156" t="inlineStr">
        <is>
          <t>local declaration</t>
        </is>
      </c>
      <c r="I156" t="inlineStr">
        <is>
          <t>vehicles, ~td</t>
        </is>
      </c>
      <c r="J156" t="inlineStr">
        <is>
          <t>^Tank, ^TDVehicleSprite, ^Harvester, ^CloakStealth, ^NodAdvancedStealthVehicle, ^Shielded</t>
        </is>
      </c>
      <c r="K156" t="inlineStr"/>
      <c r="L156" t="inlineStr"/>
      <c r="M156" t="inlineStr">
        <is>
          <t>not modeled; inspection required</t>
        </is>
      </c>
      <c r="N156" t="inlineStr"/>
      <c r="O156" t="inlineStr">
        <is>
          <t>mods/ca/rules/nod/vehicles.yaml</t>
        </is>
      </c>
    </row>
    <row r="157">
      <c r="A157" t="inlineStr">
        <is>
          <t>nod</t>
        </is>
      </c>
      <c r="B157" t="inlineStr">
        <is>
          <t>WTNK</t>
        </is>
      </c>
      <c r="C157" t="inlineStr">
        <is>
          <t>Microwave Tank</t>
        </is>
      </c>
      <c r="D157" t="inlineStr">
        <is>
          <t>1250</t>
        </is>
      </c>
      <c r="E157" t="inlineStr">
        <is>
          <t>35000</t>
        </is>
      </c>
      <c r="F157" t="inlineStr">
        <is>
          <t>100</t>
        </is>
      </c>
      <c r="G157" t="inlineStr"/>
      <c r="H157" t="inlineStr">
        <is>
          <t>local declaration</t>
        </is>
      </c>
      <c r="I157" t="inlineStr">
        <is>
          <t>tmpl, vehicles, ~legion</t>
        </is>
      </c>
      <c r="J157" t="inlineStr">
        <is>
          <t>^FightingVehicle, ^HighResShadow, ^BiologicalDriver, ^PrioAntiHeavy</t>
        </is>
      </c>
      <c r="K157" t="inlineStr">
        <is>
          <t>MicrowaveZap, MicrowaveZapSound</t>
        </is>
      </c>
      <c r="L157" t="inlineStr">
        <is>
          <t>multiple/conditional armaments</t>
        </is>
      </c>
      <c r="M157" t="inlineStr">
        <is>
          <t>not modeled; inspection required</t>
        </is>
      </c>
      <c r="N157" t="inlineStr"/>
      <c r="O157" t="inlineStr">
        <is>
          <t>mods/ca/rules/nod/vehicles.yaml</t>
        </is>
      </c>
    </row>
    <row r="158">
      <c r="A158" t="inlineStr">
        <is>
          <t>nod</t>
        </is>
      </c>
      <c r="B158" t="inlineStr">
        <is>
          <t>FTNK</t>
        </is>
      </c>
      <c r="C158" t="inlineStr">
        <is>
          <t>Devil's Tongue</t>
        </is>
      </c>
      <c r="D158" t="inlineStr">
        <is>
          <t>700</t>
        </is>
      </c>
      <c r="E158" t="inlineStr">
        <is>
          <t>40000</t>
        </is>
      </c>
      <c r="F158" t="inlineStr">
        <is>
          <t>82</t>
        </is>
      </c>
      <c r="G158" t="inlineStr"/>
      <c r="H158" t="inlineStr">
        <is>
          <t>local declaration</t>
        </is>
      </c>
      <c r="I158" t="inlineStr">
        <is>
          <t>tier2, vehicles, ~nod, ~!blackh, ~!promotion.flame_tank.pdl, ~!promotion.flame_tank.reflector</t>
        </is>
      </c>
      <c r="J158" t="inlineStr">
        <is>
          <t>^FightingTank, ^VoxelVehicle, ^BiologicalDriver, ^PrioAntiLight, ^NodFlameUnit</t>
        </is>
      </c>
      <c r="K158" t="inlineStr">
        <is>
          <t>BigFlamer</t>
        </is>
      </c>
      <c r="L158" t="inlineStr"/>
      <c r="M158" t="inlineStr">
        <is>
          <t>not modeled; inspection required</t>
        </is>
      </c>
      <c r="N158" t="inlineStr"/>
      <c r="O158" t="inlineStr">
        <is>
          <t>mods/ca/rules/nod/vehicles.yaml</t>
        </is>
      </c>
    </row>
    <row r="159">
      <c r="A159" t="inlineStr">
        <is>
          <t>nod</t>
        </is>
      </c>
      <c r="B159" t="inlineStr">
        <is>
          <t>FTNK.Reflector</t>
        </is>
      </c>
      <c r="C159" t="inlineStr">
        <is>
          <t>Devil's Tongue (Reflector)</t>
        </is>
      </c>
      <c r="D159" t="inlineStr"/>
      <c r="E159" t="inlineStr"/>
      <c r="F159" t="inlineStr"/>
      <c r="G159" t="inlineStr"/>
      <c r="H159" t="inlineStr">
        <is>
          <t>local declaration</t>
        </is>
      </c>
      <c r="I159" t="inlineStr">
        <is>
          <t>tier2, vehicles, ~nod, ~promotion.flame_tank.reflector, ~!promotion.chem_tank</t>
        </is>
      </c>
      <c r="J159" t="inlineStr">
        <is>
          <t>FTNK, ^ReflectorArmor</t>
        </is>
      </c>
      <c r="K159" t="inlineStr"/>
      <c r="L159" t="inlineStr"/>
      <c r="M159" t="inlineStr">
        <is>
          <t>not modeled; inspection required</t>
        </is>
      </c>
      <c r="N159" t="inlineStr"/>
      <c r="O159" t="inlineStr">
        <is>
          <t>mods/ca/rules/nod/vehicles.yaml</t>
        </is>
      </c>
    </row>
    <row r="160">
      <c r="A160" t="inlineStr">
        <is>
          <t>nod</t>
        </is>
      </c>
      <c r="B160" t="inlineStr">
        <is>
          <t>FTNK.PDL</t>
        </is>
      </c>
      <c r="C160" t="inlineStr">
        <is>
          <t>Devil's Tongue (PDL)</t>
        </is>
      </c>
      <c r="D160" t="inlineStr">
        <is>
          <t>1100</t>
        </is>
      </c>
      <c r="E160" t="inlineStr">
        <is>
          <t>50000</t>
        </is>
      </c>
      <c r="F160" t="inlineStr"/>
      <c r="G160" t="inlineStr"/>
      <c r="H160" t="inlineStr">
        <is>
          <t>local declaration</t>
        </is>
      </c>
      <c r="I160" t="inlineStr">
        <is>
          <t>tier2, vehicles, ~nod, ~promotion.flame_tank.pdl, ~!promotion.chem_tank</t>
        </is>
      </c>
      <c r="J160" t="inlineStr">
        <is>
          <t>^PointLaserDefenseSystem, FTNK</t>
        </is>
      </c>
      <c r="K160" t="inlineStr"/>
      <c r="L160" t="inlineStr"/>
      <c r="M160" t="inlineStr">
        <is>
          <t>not modeled; inspection required</t>
        </is>
      </c>
      <c r="N160" t="inlineStr"/>
      <c r="O160" t="inlineStr">
        <is>
          <t>mods/ca/rules/nod/vehicles.yaml</t>
        </is>
      </c>
    </row>
    <row r="161">
      <c r="A161" t="inlineStr">
        <is>
          <t>nod</t>
        </is>
      </c>
      <c r="B161" t="inlineStr">
        <is>
          <t>FTNK.PDL.Chem</t>
        </is>
      </c>
      <c r="C161" t="inlineStr">
        <is>
          <t>Chem Tank (PDL)</t>
        </is>
      </c>
      <c r="D161" t="inlineStr">
        <is>
          <t>1300</t>
        </is>
      </c>
      <c r="E161" t="inlineStr">
        <is>
          <t>60000</t>
        </is>
      </c>
      <c r="F161" t="inlineStr"/>
      <c r="G161" t="inlineStr"/>
      <c r="H161" t="inlineStr">
        <is>
          <t>local declaration</t>
        </is>
      </c>
      <c r="I161" t="inlineStr">
        <is>
          <t>tier2, vehicles, ~nod, ~promotion.chem_tank, ~promotion.flame_tank.pdl</t>
        </is>
      </c>
      <c r="J161" t="inlineStr">
        <is>
          <t>FTNK.PDL, ^PrioAntiReflector</t>
        </is>
      </c>
      <c r="K161" t="inlineStr">
        <is>
          <t>BigChemspray</t>
        </is>
      </c>
      <c r="L161" t="inlineStr"/>
      <c r="M161" t="inlineStr">
        <is>
          <t>not modeled; inspection required</t>
        </is>
      </c>
      <c r="N161" t="inlineStr"/>
      <c r="O161" t="inlineStr">
        <is>
          <t>mods/ca/rules/nod/vehicles.yaml</t>
        </is>
      </c>
    </row>
    <row r="162">
      <c r="A162" t="inlineStr">
        <is>
          <t>nod</t>
        </is>
      </c>
      <c r="B162" t="inlineStr">
        <is>
          <t>FTNK.Reflector.Chem</t>
        </is>
      </c>
      <c r="C162" t="inlineStr">
        <is>
          <t>Chem Tank (Reflector)</t>
        </is>
      </c>
      <c r="D162" t="inlineStr">
        <is>
          <t>900</t>
        </is>
      </c>
      <c r="E162" t="inlineStr">
        <is>
          <t>60000</t>
        </is>
      </c>
      <c r="F162" t="inlineStr"/>
      <c r="G162" t="inlineStr"/>
      <c r="H162" t="inlineStr">
        <is>
          <t>local declaration</t>
        </is>
      </c>
      <c r="I162" t="inlineStr">
        <is>
          <t>tier2, vehicles, ~nod, ~promotion.chem_tank, ~promotion.flame_tank.reflector</t>
        </is>
      </c>
      <c r="J162" t="inlineStr">
        <is>
          <t>FTNK.Reflector</t>
        </is>
      </c>
      <c r="K162" t="inlineStr">
        <is>
          <t>BigChemspray</t>
        </is>
      </c>
      <c r="L162" t="inlineStr"/>
      <c r="M162" t="inlineStr">
        <is>
          <t>not modeled; inspection required</t>
        </is>
      </c>
      <c r="N162" t="inlineStr"/>
      <c r="O162" t="inlineStr">
        <is>
          <t>mods/ca/rules/nod/vehicles.yaml</t>
        </is>
      </c>
    </row>
    <row r="163">
      <c r="A163" t="inlineStr">
        <is>
          <t>nod</t>
        </is>
      </c>
      <c r="B163" t="inlineStr">
        <is>
          <t>HFTK</t>
        </is>
      </c>
      <c r="C163" t="inlineStr">
        <is>
          <t>Heavy Flame Tank</t>
        </is>
      </c>
      <c r="D163" t="inlineStr">
        <is>
          <t>1000</t>
        </is>
      </c>
      <c r="E163" t="inlineStr">
        <is>
          <t>75000</t>
        </is>
      </c>
      <c r="F163" t="inlineStr">
        <is>
          <t>68</t>
        </is>
      </c>
      <c r="G163" t="inlineStr">
        <is>
          <t>heavytracked</t>
        </is>
      </c>
      <c r="H163" t="inlineStr">
        <is>
          <t>local declaration</t>
        </is>
      </c>
      <c r="I163" t="inlineStr">
        <is>
          <t>radar, vehicles, ~blackh, ~!upg.flametank</t>
        </is>
      </c>
      <c r="J163" t="inlineStr">
        <is>
          <t>^FightingTankTurreted, ^TDVehicleSprite, ^HighResShadow, ^BiologicalDriver, ^PrioAntiLight, ^NodFlameUnit</t>
        </is>
      </c>
      <c r="K163" t="inlineStr">
        <is>
          <t>HeavyFlameTankFlamer, HeavyFlameTankFlamerFF</t>
        </is>
      </c>
      <c r="L163" t="inlineStr">
        <is>
          <t>multiple/conditional armaments</t>
        </is>
      </c>
      <c r="M163" t="inlineStr">
        <is>
          <t>not modeled; inspection required</t>
        </is>
      </c>
      <c r="N163" t="inlineStr"/>
      <c r="O163" t="inlineStr">
        <is>
          <t>mods/ca/rules/nod/vehicles.yaml</t>
        </is>
      </c>
    </row>
    <row r="164">
      <c r="A164" t="inlineStr">
        <is>
          <t>nod</t>
        </is>
      </c>
      <c r="B164" t="inlineStr">
        <is>
          <t>HFTK.PDL</t>
        </is>
      </c>
      <c r="C164" t="inlineStr">
        <is>
          <t>Heavy Flame Tank (PDL)</t>
        </is>
      </c>
      <c r="D164" t="inlineStr">
        <is>
          <t>1400</t>
        </is>
      </c>
      <c r="E164" t="inlineStr">
        <is>
          <t>50000</t>
        </is>
      </c>
      <c r="F164" t="inlineStr"/>
      <c r="G164" t="inlineStr"/>
      <c r="H164" t="inlineStr">
        <is>
          <t>local declaration</t>
        </is>
      </c>
      <c r="I164" t="inlineStr">
        <is>
          <t>tier2, vehicles, ~nod, ~promotion.heavy_flame_tank.pdl, ~!promotion.fireball_tank</t>
        </is>
      </c>
      <c r="J164" t="inlineStr">
        <is>
          <t>^PointLaserDefenseSystem, HFTK</t>
        </is>
      </c>
      <c r="K164" t="inlineStr"/>
      <c r="L164" t="inlineStr"/>
      <c r="M164" t="inlineStr">
        <is>
          <t>not modeled; inspection required</t>
        </is>
      </c>
      <c r="N164" t="inlineStr"/>
      <c r="O164" t="inlineStr">
        <is>
          <t>mods/ca/rules/nod/vehicles.yaml</t>
        </is>
      </c>
    </row>
    <row r="165">
      <c r="A165" t="inlineStr">
        <is>
          <t>nod</t>
        </is>
      </c>
      <c r="B165" t="inlineStr">
        <is>
          <t>HFTK.Reflector</t>
        </is>
      </c>
      <c r="C165" t="inlineStr">
        <is>
          <t>Heavy Flame Tank (Reflector)</t>
        </is>
      </c>
      <c r="D165" t="inlineStr"/>
      <c r="E165" t="inlineStr"/>
      <c r="F165" t="inlineStr"/>
      <c r="G165" t="inlineStr"/>
      <c r="H165" t="inlineStr">
        <is>
          <t>local declaration</t>
        </is>
      </c>
      <c r="I165" t="inlineStr">
        <is>
          <t>tier2, vehicles, ~nod, ~promotion.heavy_flame_tank.reflector, ~!promotion.fireball_tank</t>
        </is>
      </c>
      <c r="J165" t="inlineStr">
        <is>
          <t>HFTK, ^ReflectorArmor</t>
        </is>
      </c>
      <c r="K165" t="inlineStr"/>
      <c r="L165" t="inlineStr"/>
      <c r="M165" t="inlineStr">
        <is>
          <t>not modeled; inspection required</t>
        </is>
      </c>
      <c r="N165" t="inlineStr"/>
      <c r="O165" t="inlineStr">
        <is>
          <t>mods/ca/rules/nod/vehicles.yaml</t>
        </is>
      </c>
    </row>
    <row r="166">
      <c r="A166" t="inlineStr">
        <is>
          <t>nod</t>
        </is>
      </c>
      <c r="B166" t="inlineStr">
        <is>
          <t>HFTK.PDL.Fireball</t>
        </is>
      </c>
      <c r="C166" t="inlineStr">
        <is>
          <t>Fireball Tank (PDL)</t>
        </is>
      </c>
      <c r="D166" t="inlineStr">
        <is>
          <t>1400</t>
        </is>
      </c>
      <c r="E166" t="inlineStr"/>
      <c r="F166" t="inlineStr"/>
      <c r="G166" t="inlineStr"/>
      <c r="H166" t="inlineStr">
        <is>
          <t>local declaration</t>
        </is>
      </c>
      <c r="I166" t="inlineStr">
        <is>
          <t>tier2, vehicles, ~nod, ~promotion.fireball_tank, ~promotion.heavy_flame_tank.pdl</t>
        </is>
      </c>
      <c r="J166" t="inlineStr">
        <is>
          <t>HFTK.PDL</t>
        </is>
      </c>
      <c r="K166" t="inlineStr">
        <is>
          <t>FireballLauncher.Tank</t>
        </is>
      </c>
      <c r="L166" t="inlineStr"/>
      <c r="M166" t="inlineStr">
        <is>
          <t>not modeled; inspection required</t>
        </is>
      </c>
      <c r="N166" t="inlineStr"/>
      <c r="O166" t="inlineStr">
        <is>
          <t>mods/ca/rules/nod/vehicles.yaml</t>
        </is>
      </c>
    </row>
    <row r="167">
      <c r="A167" t="inlineStr">
        <is>
          <t>nod</t>
        </is>
      </c>
      <c r="B167" t="inlineStr">
        <is>
          <t>HFTK.Reflector.Fireball</t>
        </is>
      </c>
      <c r="C167" t="inlineStr">
        <is>
          <t>Fireball Tank (Reflector)</t>
        </is>
      </c>
      <c r="D167" t="inlineStr"/>
      <c r="E167" t="inlineStr"/>
      <c r="F167" t="inlineStr"/>
      <c r="G167" t="inlineStr"/>
      <c r="H167" t="inlineStr">
        <is>
          <t>local declaration</t>
        </is>
      </c>
      <c r="I167" t="inlineStr">
        <is>
          <t>tier2, vehicles, ~nod, ~promotion.fireball_tank, ~promotion.heavy_flame_tank.reflector</t>
        </is>
      </c>
      <c r="J167" t="inlineStr">
        <is>
          <t>HFTK.Reflector, ^ReflectorArmor</t>
        </is>
      </c>
      <c r="K167" t="inlineStr">
        <is>
          <t>FireballLauncher.Tank</t>
        </is>
      </c>
      <c r="L167" t="inlineStr"/>
      <c r="M167" t="inlineStr">
        <is>
          <t>not modeled; inspection required</t>
        </is>
      </c>
      <c r="N167" t="inlineStr"/>
      <c r="O167" t="inlineStr">
        <is>
          <t>mods/ca/rules/nod/vehicles.yaml</t>
        </is>
      </c>
    </row>
    <row r="168">
      <c r="A168" t="inlineStr">
        <is>
          <t>nod</t>
        </is>
      </c>
      <c r="B168" t="inlineStr">
        <is>
          <t>TTRK</t>
        </is>
      </c>
      <c r="C168" t="inlineStr">
        <is>
          <t>Chemical Truck</t>
        </is>
      </c>
      <c r="D168" t="inlineStr">
        <is>
          <t>1200</t>
        </is>
      </c>
      <c r="E168" t="inlineStr">
        <is>
          <t>10000</t>
        </is>
      </c>
      <c r="F168" t="inlineStr">
        <is>
          <t>92</t>
        </is>
      </c>
      <c r="G168" t="inlineStr"/>
      <c r="H168" t="inlineStr">
        <is>
          <t>local declaration</t>
        </is>
      </c>
      <c r="I168" t="inlineStr">
        <is>
          <t>vehicles, ~legion, tmpl, ~nod</t>
        </is>
      </c>
      <c r="J168" t="inlineStr">
        <is>
          <t>DTRK</t>
        </is>
      </c>
      <c r="K168" t="inlineStr"/>
      <c r="L168" t="inlineStr"/>
      <c r="M168" t="inlineStr">
        <is>
          <t>not modeled; inspection required</t>
        </is>
      </c>
      <c r="N168" t="inlineStr"/>
      <c r="O168" t="inlineStr">
        <is>
          <t>mods/ca/rules/nod/vehicles.yaml</t>
        </is>
      </c>
    </row>
    <row r="169">
      <c r="A169" t="inlineStr">
        <is>
          <t>nod</t>
        </is>
      </c>
      <c r="B169" t="inlineStr">
        <is>
          <t>COORDINATOR</t>
        </is>
      </c>
      <c r="C169" t="inlineStr">
        <is>
          <t>Reinforcements Coordinator</t>
        </is>
      </c>
      <c r="D169" t="inlineStr">
        <is>
          <t>1000</t>
        </is>
      </c>
      <c r="E169" t="inlineStr">
        <is>
          <t>22000</t>
        </is>
      </c>
      <c r="F169" t="inlineStr">
        <is>
          <t>82</t>
        </is>
      </c>
      <c r="G169" t="inlineStr"/>
      <c r="H169" t="inlineStr">
        <is>
          <t>local declaration</t>
        </is>
      </c>
      <c r="I169" t="inlineStr">
        <is>
          <t>vehicles, ~nod, ~promotion.reinforcements_coordinator</t>
        </is>
      </c>
      <c r="J169" t="inlineStr">
        <is>
          <t>^Vehicle, ^BiologicalDriver, ^SelectableSupportUnit, ^PrimaryBuilding, ^ImprovedVision</t>
        </is>
      </c>
      <c r="K169" t="inlineStr"/>
      <c r="L169" t="inlineStr"/>
      <c r="M169" t="inlineStr">
        <is>
          <t>not modeled; inspection required</t>
        </is>
      </c>
      <c r="N169" t="inlineStr"/>
      <c r="O169" t="inlineStr">
        <is>
          <t>mods/ca/rules/nod/vehicles.yaml</t>
        </is>
      </c>
    </row>
    <row r="170">
      <c r="A170" t="inlineStr">
        <is>
          <t>nod</t>
        </is>
      </c>
      <c r="B170" t="inlineStr">
        <is>
          <t>Beam_Cannon</t>
        </is>
      </c>
      <c r="C170" t="inlineStr">
        <is>
          <t>Beam Cannon</t>
        </is>
      </c>
      <c r="D170" t="inlineStr">
        <is>
          <t>1250</t>
        </is>
      </c>
      <c r="E170" t="inlineStr">
        <is>
          <t>24000</t>
        </is>
      </c>
      <c r="F170" t="inlineStr">
        <is>
          <t>100</t>
        </is>
      </c>
      <c r="G170" t="inlineStr"/>
      <c r="H170" t="inlineStr">
        <is>
          <t>local declaration</t>
        </is>
      </c>
      <c r="I170" t="inlineStr">
        <is>
          <t>tmpl, vehicles, ~nod, ~promotion.beam_cannon</t>
        </is>
      </c>
      <c r="J170" t="inlineStr">
        <is>
          <t>^FightingVehicle, ^BiologicalDriver, ^PrioEnergyAntiHeavy, ^NodLaserUnit</t>
        </is>
      </c>
      <c r="K170" t="inlineStr">
        <is>
          <t>BeamCannon, BeamCannonBoosted1, BeamCannonBoosted2, BeamCannonBoosted3, BeamCannonBoosted4, BeamCannonBoosted5, BeamCannonVisual, BeamCannonCharge</t>
        </is>
      </c>
      <c r="L170" t="inlineStr">
        <is>
          <t>special attacks, multiple/conditional armaments</t>
        </is>
      </c>
      <c r="M170" t="inlineStr">
        <is>
          <t>not modeled; inspection required</t>
        </is>
      </c>
      <c r="N170" t="inlineStr"/>
      <c r="O170" t="inlineStr">
        <is>
          <t>mods/ca/rules/nod/vehicles.yaml</t>
        </is>
      </c>
    </row>
    <row r="171">
      <c r="A171" t="inlineStr">
        <is>
          <t>nod</t>
        </is>
      </c>
      <c r="B171" t="inlineStr">
        <is>
          <t>MSG</t>
        </is>
      </c>
      <c r="C171" t="inlineStr">
        <is>
          <t>Mobile Stealth Generator</t>
        </is>
      </c>
      <c r="D171" t="inlineStr">
        <is>
          <t>1250</t>
        </is>
      </c>
      <c r="E171" t="inlineStr">
        <is>
          <t>25000</t>
        </is>
      </c>
      <c r="F171" t="inlineStr">
        <is>
          <t>56</t>
        </is>
      </c>
      <c r="G171" t="inlineStr"/>
      <c r="H171" t="inlineStr">
        <is>
          <t>local declaration</t>
        </is>
      </c>
      <c r="I171" t="inlineStr">
        <is>
          <t>tmpl, vehicles, ~blackh</t>
        </is>
      </c>
      <c r="J171" t="inlineStr">
        <is>
          <t>^Vehicle, ^HighResShadow, ^BiologicalDriver, ^AutoDeployIdler</t>
        </is>
      </c>
      <c r="K171" t="inlineStr"/>
      <c r="L171" t="inlineStr">
        <is>
          <t>transformation/deploy</t>
        </is>
      </c>
      <c r="M171" t="inlineStr">
        <is>
          <t>not modeled; inspection required</t>
        </is>
      </c>
      <c r="N171" t="inlineStr"/>
      <c r="O171" t="inlineStr">
        <is>
          <t>mods/ca/rules/nod/vehicles.yaml</t>
        </is>
      </c>
    </row>
    <row r="172">
      <c r="A172" t="inlineStr">
        <is>
          <t>allies</t>
        </is>
      </c>
      <c r="B172" t="inlineStr">
        <is>
          <t>HARV</t>
        </is>
      </c>
      <c r="C172" t="inlineStr">
        <is>
          <t>Ore Truck</t>
        </is>
      </c>
      <c r="D172" t="inlineStr">
        <is>
          <t>1400</t>
        </is>
      </c>
      <c r="E172" t="inlineStr">
        <is>
          <t>75000</t>
        </is>
      </c>
      <c r="F172" t="inlineStr">
        <is>
          <t>56</t>
        </is>
      </c>
      <c r="G172" t="inlineStr">
        <is>
          <t>heavywheeled</t>
        </is>
      </c>
      <c r="H172" t="inlineStr">
        <is>
          <t>local declaration</t>
        </is>
      </c>
      <c r="I172" t="inlineStr">
        <is>
          <t>~proc, vehicles, ~allies, ~!orep</t>
        </is>
      </c>
      <c r="J172" t="inlineStr">
        <is>
          <t>^Tank, ^Harvester</t>
        </is>
      </c>
      <c r="K172" t="inlineStr"/>
      <c r="L172" t="inlineStr"/>
      <c r="M172" t="inlineStr">
        <is>
          <t>not modeled; inspection required</t>
        </is>
      </c>
      <c r="N172" t="inlineStr"/>
      <c r="O172" t="inlineStr">
        <is>
          <t>mods/ca/rules/allies/vehicles.yaml</t>
        </is>
      </c>
    </row>
    <row r="173">
      <c r="A173" t="inlineStr">
        <is>
          <t>allies</t>
        </is>
      </c>
      <c r="B173" t="inlineStr">
        <is>
          <t>HARV.Chrono</t>
        </is>
      </c>
      <c r="C173" t="inlineStr">
        <is>
          <t>Chrono Miner</t>
        </is>
      </c>
      <c r="D173" t="inlineStr">
        <is>
          <t>1400</t>
        </is>
      </c>
      <c r="E173" t="inlineStr"/>
      <c r="F173" t="inlineStr">
        <is>
          <t>56</t>
        </is>
      </c>
      <c r="G173" t="inlineStr">
        <is>
          <t>heavywheeled</t>
        </is>
      </c>
      <c r="H173" t="inlineStr">
        <is>
          <t>local declaration</t>
        </is>
      </c>
      <c r="I173" t="inlineStr">
        <is>
          <t>~proc, ~orep, vehicles, ~allies</t>
        </is>
      </c>
      <c r="J173" t="inlineStr">
        <is>
          <t>HARV, ^HighResShadow</t>
        </is>
      </c>
      <c r="K173" t="inlineStr"/>
      <c r="L173" t="inlineStr"/>
      <c r="M173" t="inlineStr">
        <is>
          <t>not modeled; inspection required</t>
        </is>
      </c>
      <c r="N173" t="inlineStr"/>
      <c r="O173" t="inlineStr">
        <is>
          <t>mods/ca/rules/allies/vehicles.yaml</t>
        </is>
      </c>
    </row>
    <row r="174">
      <c r="A174" t="inlineStr">
        <is>
          <t>allies</t>
        </is>
      </c>
      <c r="B174" t="inlineStr">
        <is>
          <t>MCV</t>
        </is>
      </c>
      <c r="C174" t="inlineStr">
        <is>
          <t>Mobile Construction Vehicle</t>
        </is>
      </c>
      <c r="D174" t="inlineStr">
        <is>
          <t>3000</t>
        </is>
      </c>
      <c r="E174" t="inlineStr">
        <is>
          <t>75000</t>
        </is>
      </c>
      <c r="F174" t="inlineStr">
        <is>
          <t>56</t>
        </is>
      </c>
      <c r="G174" t="inlineStr">
        <is>
          <t>heavywheeled</t>
        </is>
      </c>
      <c r="H174" t="inlineStr">
        <is>
          <t>local declaration</t>
        </is>
      </c>
      <c r="I174" t="inlineStr">
        <is>
          <t>fix, vehicles, ~structures.allies</t>
        </is>
      </c>
      <c r="J174" t="inlineStr">
        <is>
          <t>^Tank, ^BigVehicle, ^BiologicalDriver, ^MustBeDestroyed</t>
        </is>
      </c>
      <c r="K174" t="inlineStr"/>
      <c r="L174" t="inlineStr">
        <is>
          <t>transformation/deploy</t>
        </is>
      </c>
      <c r="M174" t="inlineStr">
        <is>
          <t>not modeled; inspection required</t>
        </is>
      </c>
      <c r="N174" t="inlineStr"/>
      <c r="O174" t="inlineStr">
        <is>
          <t>mods/ca/rules/allies/vehicles.yaml</t>
        </is>
      </c>
    </row>
    <row r="175">
      <c r="A175" t="inlineStr">
        <is>
          <t>allies</t>
        </is>
      </c>
      <c r="B175" t="inlineStr">
        <is>
          <t>MCV.Nukular</t>
        </is>
      </c>
      <c r="C175" t="inlineStr"/>
      <c r="D175" t="inlineStr"/>
      <c r="E175" t="inlineStr"/>
      <c r="F175" t="inlineStr"/>
      <c r="G175" t="inlineStr"/>
      <c r="H175" t="inlineStr">
        <is>
          <t>removed locally</t>
        </is>
      </c>
      <c r="I175" t="inlineStr"/>
      <c r="J175" t="inlineStr">
        <is>
          <t>MCV, ^NukularConyard</t>
        </is>
      </c>
      <c r="K175" t="inlineStr"/>
      <c r="L175" t="inlineStr">
        <is>
          <t>transformation/deploy</t>
        </is>
      </c>
      <c r="M175" t="inlineStr">
        <is>
          <t>not modeled; inspection required</t>
        </is>
      </c>
      <c r="N175" t="inlineStr"/>
      <c r="O175" t="inlineStr">
        <is>
          <t>mods/ca/rules/allies/vehicles.yaml</t>
        </is>
      </c>
    </row>
    <row r="176">
      <c r="A176" t="inlineStr">
        <is>
          <t>allies</t>
        </is>
      </c>
      <c r="B176" t="inlineStr">
        <is>
          <t>MGG</t>
        </is>
      </c>
      <c r="C176" t="inlineStr">
        <is>
          <t>Mobile Gap Generator</t>
        </is>
      </c>
      <c r="D176" t="inlineStr">
        <is>
          <t>1000</t>
        </is>
      </c>
      <c r="E176" t="inlineStr">
        <is>
          <t>22000</t>
        </is>
      </c>
      <c r="F176" t="inlineStr">
        <is>
          <t>82</t>
        </is>
      </c>
      <c r="G176" t="inlineStr"/>
      <c r="H176" t="inlineStr">
        <is>
          <t>local declaration</t>
        </is>
      </c>
      <c r="I176" t="inlineStr">
        <is>
          <t>atek, vehicles, ~allies</t>
        </is>
      </c>
      <c r="J176" t="inlineStr">
        <is>
          <t>^Vehicle, ^BiologicalDriver</t>
        </is>
      </c>
      <c r="K176" t="inlineStr"/>
      <c r="L176" t="inlineStr"/>
      <c r="M176" t="inlineStr">
        <is>
          <t>not modeled; inspection required</t>
        </is>
      </c>
      <c r="N176" t="inlineStr"/>
      <c r="O176" t="inlineStr">
        <is>
          <t>mods/ca/rules/allies/vehicles.yaml</t>
        </is>
      </c>
    </row>
    <row r="177">
      <c r="A177" t="inlineStr">
        <is>
          <t>allies</t>
        </is>
      </c>
      <c r="B177" t="inlineStr">
        <is>
          <t>MRJ</t>
        </is>
      </c>
      <c r="C177" t="inlineStr">
        <is>
          <t>Mobile Radar Jammer</t>
        </is>
      </c>
      <c r="D177" t="inlineStr">
        <is>
          <t>1000</t>
        </is>
      </c>
      <c r="E177" t="inlineStr">
        <is>
          <t>22000</t>
        </is>
      </c>
      <c r="F177" t="inlineStr">
        <is>
          <t>82</t>
        </is>
      </c>
      <c r="G177" t="inlineStr"/>
      <c r="H177" t="inlineStr">
        <is>
          <t>local declaration</t>
        </is>
      </c>
      <c r="I177" t="inlineStr">
        <is>
          <t>tier3, vehicles, ~mrj</t>
        </is>
      </c>
      <c r="J177" t="inlineStr">
        <is>
          <t>^Vehicle, ^BiologicalDriver</t>
        </is>
      </c>
      <c r="K177" t="inlineStr"/>
      <c r="L177" t="inlineStr"/>
      <c r="M177" t="inlineStr">
        <is>
          <t>not modeled; inspection required</t>
        </is>
      </c>
      <c r="N177" t="inlineStr"/>
      <c r="O177" t="inlineStr">
        <is>
          <t>mods/ca/rules/allies/vehicles.yaml</t>
        </is>
      </c>
    </row>
    <row r="178">
      <c r="A178" t="inlineStr">
        <is>
          <t>allies</t>
        </is>
      </c>
      <c r="B178" t="inlineStr">
        <is>
          <t>APC</t>
        </is>
      </c>
      <c r="C178" t="inlineStr">
        <is>
          <t>Armored Personnel Carrier</t>
        </is>
      </c>
      <c r="D178" t="inlineStr">
        <is>
          <t>600</t>
        </is>
      </c>
      <c r="E178" t="inlineStr">
        <is>
          <t>30000</t>
        </is>
      </c>
      <c r="F178" t="inlineStr">
        <is>
          <t>135</t>
        </is>
      </c>
      <c r="G178" t="inlineStr"/>
      <c r="H178" t="inlineStr">
        <is>
          <t>local declaration</t>
        </is>
      </c>
      <c r="I178" t="inlineStr">
        <is>
          <t>tent, ~weap, vehicles, ~!soviet</t>
        </is>
      </c>
      <c r="J178" t="inlineStr">
        <is>
          <t>^Tank, ^VoxelVehicle, ^BiologicalDriver, ^Transport, ^PrioAntiInfantry</t>
        </is>
      </c>
      <c r="K178" t="inlineStr">
        <is>
          <t>M60mg</t>
        </is>
      </c>
      <c r="L178" t="inlineStr">
        <is>
          <t>cargo</t>
        </is>
      </c>
      <c r="M178" t="inlineStr">
        <is>
          <t>not modeled; inspection required</t>
        </is>
      </c>
      <c r="N178" t="inlineStr"/>
      <c r="O178" t="inlineStr">
        <is>
          <t>mods/ca/rules/allies/vehicles.yaml</t>
        </is>
      </c>
    </row>
    <row r="179">
      <c r="A179" t="inlineStr">
        <is>
          <t>allies</t>
        </is>
      </c>
      <c r="B179" t="inlineStr">
        <is>
          <t>JEEP</t>
        </is>
      </c>
      <c r="C179" t="inlineStr">
        <is>
          <t>Ranger</t>
        </is>
      </c>
      <c r="D179" t="inlineStr">
        <is>
          <t>400</t>
        </is>
      </c>
      <c r="E179" t="inlineStr">
        <is>
          <t>15000</t>
        </is>
      </c>
      <c r="F179" t="inlineStr">
        <is>
          <t>157</t>
        </is>
      </c>
      <c r="G179" t="inlineStr"/>
      <c r="H179" t="inlineStr">
        <is>
          <t>local declaration</t>
        </is>
      </c>
      <c r="I179" t="inlineStr">
        <is>
          <t>weap, vehicles, ~allies, ~!promotion.infantry_doctrine, ~!promotion.armored_doctrine, ~!promotion.airforce_doctrine</t>
        </is>
      </c>
      <c r="J179" t="inlineStr">
        <is>
          <t>^FightingVehicle, ^VoxelVehicle, ^VoxelTurretedTank, ^BiologicalDriver, ^SensorEquipment, ^PrioAntiInfantry</t>
        </is>
      </c>
      <c r="K179" t="inlineStr">
        <is>
          <t>M60mg</t>
        </is>
      </c>
      <c r="L179" t="inlineStr">
        <is>
          <t>sensor</t>
        </is>
      </c>
      <c r="M179" t="inlineStr">
        <is>
          <t>not modeled; inspection required</t>
        </is>
      </c>
      <c r="N179" t="inlineStr"/>
      <c r="O179" t="inlineStr">
        <is>
          <t>mods/ca/rules/allies/vehicles.yaml</t>
        </is>
      </c>
    </row>
    <row r="180">
      <c r="A180" t="inlineStr">
        <is>
          <t>allies</t>
        </is>
      </c>
      <c r="B180" t="inlineStr">
        <is>
          <t>Heavy_Jeep</t>
        </is>
      </c>
      <c r="C180" t="inlineStr">
        <is>
          <t>Heavy Ranger</t>
        </is>
      </c>
      <c r="D180" t="inlineStr"/>
      <c r="E180" t="inlineStr"/>
      <c r="F180" t="inlineStr"/>
      <c r="G180" t="inlineStr"/>
      <c r="H180" t="inlineStr">
        <is>
          <t>local declaration</t>
        </is>
      </c>
      <c r="I180" t="inlineStr">
        <is>
          <t>weap, vehicles, ~allies, ~promotion.infantry_doctrine</t>
        </is>
      </c>
      <c r="J180" t="inlineStr">
        <is>
          <t>JEEP</t>
        </is>
      </c>
      <c r="K180" t="inlineStr">
        <is>
          <t>M60mg.Heavy</t>
        </is>
      </c>
      <c r="L180" t="inlineStr"/>
      <c r="M180" t="inlineStr">
        <is>
          <t>not modeled; inspection required</t>
        </is>
      </c>
      <c r="N180" t="inlineStr"/>
      <c r="O180" t="inlineStr">
        <is>
          <t>mods/ca/rules/allies/vehicles.yaml</t>
        </is>
      </c>
    </row>
    <row r="181">
      <c r="A181" t="inlineStr">
        <is>
          <t>allies</t>
        </is>
      </c>
      <c r="B181" t="inlineStr">
        <is>
          <t>Tow_Jeep</t>
        </is>
      </c>
      <c r="C181" t="inlineStr">
        <is>
          <t>Tow Ranger</t>
        </is>
      </c>
      <c r="D181" t="inlineStr"/>
      <c r="E181" t="inlineStr"/>
      <c r="F181" t="inlineStr"/>
      <c r="G181" t="inlineStr"/>
      <c r="H181" t="inlineStr">
        <is>
          <t>local declaration</t>
        </is>
      </c>
      <c r="I181" t="inlineStr">
        <is>
          <t>weap, vehicles, ~allies, ~promotion.armored_doctrine</t>
        </is>
      </c>
      <c r="J181" t="inlineStr">
        <is>
          <t>JEEP</t>
        </is>
      </c>
      <c r="K181" t="inlineStr">
        <is>
          <t>LOSAT</t>
        </is>
      </c>
      <c r="L181" t="inlineStr"/>
      <c r="M181" t="inlineStr">
        <is>
          <t>not modeled; inspection required</t>
        </is>
      </c>
      <c r="N181" t="inlineStr"/>
      <c r="O181" t="inlineStr">
        <is>
          <t>mods/ca/rules/allies/vehicles.yaml</t>
        </is>
      </c>
    </row>
    <row r="182">
      <c r="A182" t="inlineStr">
        <is>
          <t>allies</t>
        </is>
      </c>
      <c r="B182" t="inlineStr">
        <is>
          <t>AA_Jeep</t>
        </is>
      </c>
      <c r="C182" t="inlineStr">
        <is>
          <t>Anti-Air Ranger</t>
        </is>
      </c>
      <c r="D182" t="inlineStr"/>
      <c r="E182" t="inlineStr"/>
      <c r="F182" t="inlineStr"/>
      <c r="G182" t="inlineStr"/>
      <c r="H182" t="inlineStr">
        <is>
          <t>local declaration</t>
        </is>
      </c>
      <c r="I182" t="inlineStr">
        <is>
          <t>weap, vehicles, ~allies, ~promotion.airforce_doctrine</t>
        </is>
      </c>
      <c r="J182" t="inlineStr">
        <is>
          <t>JEEP</t>
        </is>
      </c>
      <c r="K182" t="inlineStr">
        <is>
          <t>JeepMissileAA</t>
        </is>
      </c>
      <c r="L182" t="inlineStr"/>
      <c r="M182" t="inlineStr">
        <is>
          <t>not modeled; inspection required</t>
        </is>
      </c>
      <c r="N182" t="inlineStr"/>
      <c r="O182" t="inlineStr">
        <is>
          <t>mods/ca/rules/allies/vehicles.yaml</t>
        </is>
      </c>
    </row>
    <row r="183">
      <c r="A183" t="inlineStr">
        <is>
          <t>allies</t>
        </is>
      </c>
      <c r="B183" t="inlineStr">
        <is>
          <t>1TNK</t>
        </is>
      </c>
      <c r="C183" t="inlineStr">
        <is>
          <t>Scout Tank</t>
        </is>
      </c>
      <c r="D183" t="inlineStr">
        <is>
          <t>600</t>
        </is>
      </c>
      <c r="E183" t="inlineStr">
        <is>
          <t>33000</t>
        </is>
      </c>
      <c r="F183" t="inlineStr">
        <is>
          <t>113</t>
        </is>
      </c>
      <c r="G183" t="inlineStr"/>
      <c r="H183" t="inlineStr">
        <is>
          <t>local declaration</t>
        </is>
      </c>
      <c r="I183" t="inlineStr">
        <is>
          <t>weap, vehicles, ~allies, ~!promotion.scout_tank_pdl, ~!promotion.scout_tank.reflector</t>
        </is>
      </c>
      <c r="J183" t="inlineStr">
        <is>
          <t>^FightingTankTurreted, ^VoxelTurretedTank, ^BiologicalDriver, ^PrioAntiHeavy, ^AlliesTank, ^ImprovedVision</t>
        </is>
      </c>
      <c r="K183" t="inlineStr">
        <is>
          <t>25mm</t>
        </is>
      </c>
      <c r="L183" t="inlineStr"/>
      <c r="M183" t="inlineStr">
        <is>
          <t>not modeled; inspection required</t>
        </is>
      </c>
      <c r="N183" t="inlineStr"/>
      <c r="O183" t="inlineStr">
        <is>
          <t>mods/ca/rules/allies/vehicles.yaml</t>
        </is>
      </c>
    </row>
    <row r="184">
      <c r="A184" t="inlineStr">
        <is>
          <t>allies</t>
        </is>
      </c>
      <c r="B184" t="inlineStr">
        <is>
          <t>1TNK.PDL</t>
        </is>
      </c>
      <c r="C184" t="inlineStr">
        <is>
          <t>Scout Tank (PDL)</t>
        </is>
      </c>
      <c r="D184" t="inlineStr">
        <is>
          <t>1200</t>
        </is>
      </c>
      <c r="E184" t="inlineStr"/>
      <c r="F184" t="inlineStr"/>
      <c r="G184" t="inlineStr"/>
      <c r="H184" t="inlineStr">
        <is>
          <t>local declaration</t>
        </is>
      </c>
      <c r="I184" t="inlineStr">
        <is>
          <t>weap, vehicles, ~allies, ~promotion.scout_tank_pdl</t>
        </is>
      </c>
      <c r="J184" t="inlineStr">
        <is>
          <t>1TNK, ^PointLaserDefenseSystem</t>
        </is>
      </c>
      <c r="K184" t="inlineStr"/>
      <c r="L184" t="inlineStr"/>
      <c r="M184" t="inlineStr">
        <is>
          <t>not modeled; inspection required</t>
        </is>
      </c>
      <c r="N184" t="inlineStr"/>
      <c r="O184" t="inlineStr">
        <is>
          <t>mods/ca/rules/allies/vehicles.yaml</t>
        </is>
      </c>
    </row>
    <row r="185">
      <c r="A185" t="inlineStr">
        <is>
          <t>allies</t>
        </is>
      </c>
      <c r="B185" t="inlineStr">
        <is>
          <t>1TNK.Reflector</t>
        </is>
      </c>
      <c r="C185" t="inlineStr">
        <is>
          <t>Scout Tank (Reflector)</t>
        </is>
      </c>
      <c r="D185" t="inlineStr"/>
      <c r="E185" t="inlineStr"/>
      <c r="F185" t="inlineStr"/>
      <c r="G185" t="inlineStr"/>
      <c r="H185" t="inlineStr">
        <is>
          <t>local declaration</t>
        </is>
      </c>
      <c r="I185" t="inlineStr">
        <is>
          <t>weap, vehicles, ~allies, ~promotion.scout_tank.reflector</t>
        </is>
      </c>
      <c r="J185" t="inlineStr">
        <is>
          <t>1TNK, ^ReflectorArmor</t>
        </is>
      </c>
      <c r="K185" t="inlineStr"/>
      <c r="L185" t="inlineStr"/>
      <c r="M185" t="inlineStr">
        <is>
          <t>not modeled; inspection required</t>
        </is>
      </c>
      <c r="N185" t="inlineStr"/>
      <c r="O185" t="inlineStr">
        <is>
          <t>mods/ca/rules/allies/vehicles.yaml</t>
        </is>
      </c>
    </row>
    <row r="186">
      <c r="A186" t="inlineStr">
        <is>
          <t>allies</t>
        </is>
      </c>
      <c r="B186" t="inlineStr">
        <is>
          <t>2TNK</t>
        </is>
      </c>
      <c r="C186" t="inlineStr">
        <is>
          <t>Medium Tank</t>
        </is>
      </c>
      <c r="D186" t="inlineStr">
        <is>
          <t>800</t>
        </is>
      </c>
      <c r="E186" t="inlineStr">
        <is>
          <t>45000</t>
        </is>
      </c>
      <c r="F186" t="inlineStr">
        <is>
          <t>82</t>
        </is>
      </c>
      <c r="G186" t="inlineStr"/>
      <c r="H186" t="inlineStr">
        <is>
          <t>removed locally</t>
        </is>
      </c>
      <c r="I186" t="inlineStr"/>
      <c r="J186" t="inlineStr">
        <is>
          <t>^FightingTankTurreted, ^BiologicalDriver, ^PrioAntiHeavy, ^AlliesTank</t>
        </is>
      </c>
      <c r="K186" t="inlineStr">
        <is>
          <t>90mm</t>
        </is>
      </c>
      <c r="L186" t="inlineStr"/>
      <c r="M186" t="inlineStr">
        <is>
          <t>scalar design; runtime pending</t>
        </is>
      </c>
      <c r="N186" t="inlineStr">
        <is>
          <t>Allied Medium Tank prototype</t>
        </is>
      </c>
      <c r="O186" t="inlineStr">
        <is>
          <t>mods/ca/rules/allies/vehicles.yaml</t>
        </is>
      </c>
    </row>
    <row r="187">
      <c r="A187" t="inlineStr">
        <is>
          <t>allies</t>
        </is>
      </c>
      <c r="B187" t="inlineStr">
        <is>
          <t>Challenger_Tank</t>
        </is>
      </c>
      <c r="C187" t="inlineStr">
        <is>
          <t>Challenger</t>
        </is>
      </c>
      <c r="D187" t="inlineStr"/>
      <c r="E187" t="inlineStr"/>
      <c r="F187" t="inlineStr"/>
      <c r="G187" t="inlineStr"/>
      <c r="H187" t="inlineStr">
        <is>
          <t>local declaration</t>
        </is>
      </c>
      <c r="I187" t="inlineStr">
        <is>
          <t>vehicles, ~england</t>
        </is>
      </c>
      <c r="J187" t="inlineStr">
        <is>
          <t>2TNK, ^VoxelTurretedTank</t>
        </is>
      </c>
      <c r="K187" t="inlineStr"/>
      <c r="L187" t="inlineStr"/>
      <c r="M187" t="inlineStr">
        <is>
          <t>scalar design; runtime pending</t>
        </is>
      </c>
      <c r="N187" t="inlineStr">
        <is>
          <t>Challenger baseline</t>
        </is>
      </c>
      <c r="O187" t="inlineStr">
        <is>
          <t>mods/ca/rules/allies/vehicles.yaml</t>
        </is>
      </c>
    </row>
    <row r="188">
      <c r="A188" t="inlineStr">
        <is>
          <t>allies</t>
        </is>
      </c>
      <c r="B188" t="inlineStr">
        <is>
          <t>Leclerc_Tank</t>
        </is>
      </c>
      <c r="C188" t="inlineStr">
        <is>
          <t>Leclerc</t>
        </is>
      </c>
      <c r="D188" t="inlineStr"/>
      <c r="E188" t="inlineStr"/>
      <c r="F188" t="inlineStr"/>
      <c r="G188" t="inlineStr"/>
      <c r="H188" t="inlineStr">
        <is>
          <t>local declaration</t>
        </is>
      </c>
      <c r="I188" t="inlineStr">
        <is>
          <t>vehicles, ~france</t>
        </is>
      </c>
      <c r="J188" t="inlineStr">
        <is>
          <t>2TNK, ^VoxelTurretedTank</t>
        </is>
      </c>
      <c r="K188" t="inlineStr"/>
      <c r="L188" t="inlineStr"/>
      <c r="M188" t="inlineStr">
        <is>
          <t>scalar design; runtime pending</t>
        </is>
      </c>
      <c r="N188" t="inlineStr">
        <is>
          <t>Leclerc baseline</t>
        </is>
      </c>
      <c r="O188" t="inlineStr">
        <is>
          <t>mods/ca/rules/allies/vehicles.yaml</t>
        </is>
      </c>
    </row>
    <row r="189">
      <c r="A189" t="inlineStr">
        <is>
          <t>allies</t>
        </is>
      </c>
      <c r="B189" t="inlineStr">
        <is>
          <t>Leopard_Tank</t>
        </is>
      </c>
      <c r="C189" t="inlineStr">
        <is>
          <t>Leopard</t>
        </is>
      </c>
      <c r="D189" t="inlineStr"/>
      <c r="E189" t="inlineStr"/>
      <c r="F189" t="inlineStr"/>
      <c r="G189" t="inlineStr"/>
      <c r="H189" t="inlineStr">
        <is>
          <t>local declaration</t>
        </is>
      </c>
      <c r="I189" t="inlineStr">
        <is>
          <t>vehicles, ~germany</t>
        </is>
      </c>
      <c r="J189" t="inlineStr">
        <is>
          <t>2TNK, ^VoxelTurretedTank</t>
        </is>
      </c>
      <c r="K189" t="inlineStr"/>
      <c r="L189" t="inlineStr"/>
      <c r="M189" t="inlineStr">
        <is>
          <t>scalar design; runtime pending</t>
        </is>
      </c>
      <c r="N189" t="inlineStr">
        <is>
          <t>Leopard baseline</t>
        </is>
      </c>
      <c r="O189" t="inlineStr">
        <is>
          <t>mods/ca/rules/allies/vehicles.yaml</t>
        </is>
      </c>
    </row>
    <row r="190">
      <c r="A190" t="inlineStr">
        <is>
          <t>allies</t>
        </is>
      </c>
      <c r="B190" t="inlineStr">
        <is>
          <t>2TNK.Chrono</t>
        </is>
      </c>
      <c r="C190" t="inlineStr">
        <is>
          <t>Medium Tank</t>
        </is>
      </c>
      <c r="D190" t="inlineStr"/>
      <c r="E190" t="inlineStr"/>
      <c r="F190" t="inlineStr"/>
      <c r="G190" t="inlineStr"/>
      <c r="H190" t="inlineStr">
        <is>
          <t>inherited/unresolved</t>
        </is>
      </c>
      <c r="I190" t="inlineStr"/>
      <c r="J190" t="inlineStr">
        <is>
          <t>2TNK, ^AlliesChronoUnit</t>
        </is>
      </c>
      <c r="K190" t="inlineStr">
        <is>
          <t>183mm, 120mmHEAT</t>
        </is>
      </c>
      <c r="L190" t="inlineStr">
        <is>
          <t>multiple/conditional armaments</t>
        </is>
      </c>
      <c r="M190" t="inlineStr">
        <is>
          <t>not modeled; inspection required</t>
        </is>
      </c>
      <c r="N190" t="inlineStr"/>
      <c r="O190" t="inlineStr">
        <is>
          <t>mods/ca/rules/allies/vehicles.yaml</t>
        </is>
      </c>
    </row>
    <row r="191">
      <c r="A191" t="inlineStr">
        <is>
          <t>allies</t>
        </is>
      </c>
      <c r="B191" t="inlineStr">
        <is>
          <t>ARTY</t>
        </is>
      </c>
      <c r="C191" t="inlineStr">
        <is>
          <t>Artillery</t>
        </is>
      </c>
      <c r="D191" t="inlineStr">
        <is>
          <t>550</t>
        </is>
      </c>
      <c r="E191" t="inlineStr">
        <is>
          <t>10000</t>
        </is>
      </c>
      <c r="F191" t="inlineStr">
        <is>
          <t>56</t>
        </is>
      </c>
      <c r="G191" t="inlineStr">
        <is>
          <t>lighttracked</t>
        </is>
      </c>
      <c r="H191" t="inlineStr">
        <is>
          <t>local declaration</t>
        </is>
      </c>
      <c r="I191" t="inlineStr">
        <is>
          <t>weap, vehicles, ~allies</t>
        </is>
      </c>
      <c r="J191" t="inlineStr">
        <is>
          <t>^FightingVehicle, ^BiologicalDriver, ^PrioArtillery, ^AlliesTank</t>
        </is>
      </c>
      <c r="K191" t="inlineStr">
        <is>
          <t>155mm</t>
        </is>
      </c>
      <c r="L191" t="inlineStr"/>
      <c r="M191" t="inlineStr">
        <is>
          <t>scalar design; runtime pending</t>
        </is>
      </c>
      <c r="N191" t="inlineStr">
        <is>
          <t>Allied Artillery baseline</t>
        </is>
      </c>
      <c r="O191" t="inlineStr">
        <is>
          <t>mods/ca/rules/allies/vehicles.yaml</t>
        </is>
      </c>
    </row>
    <row r="192">
      <c r="A192" t="inlineStr">
        <is>
          <t>allies</t>
        </is>
      </c>
      <c r="B192" t="inlineStr">
        <is>
          <t>ARTY.Chrono</t>
        </is>
      </c>
      <c r="C192" t="inlineStr"/>
      <c r="D192" t="inlineStr"/>
      <c r="E192" t="inlineStr"/>
      <c r="F192" t="inlineStr"/>
      <c r="G192" t="inlineStr"/>
      <c r="H192" t="inlineStr">
        <is>
          <t>removed locally</t>
        </is>
      </c>
      <c r="I192" t="inlineStr"/>
      <c r="J192" t="inlineStr">
        <is>
          <t>ARTY, ^AlliesChronoUnit</t>
        </is>
      </c>
      <c r="K192" t="inlineStr"/>
      <c r="L192" t="inlineStr"/>
      <c r="M192" t="inlineStr">
        <is>
          <t>not modeled; inspection required</t>
        </is>
      </c>
      <c r="N192" t="inlineStr"/>
      <c r="O192" t="inlineStr">
        <is>
          <t>mods/ca/rules/allies/vehicles.yaml</t>
        </is>
      </c>
    </row>
    <row r="193">
      <c r="A193" t="inlineStr">
        <is>
          <t>allies</t>
        </is>
      </c>
      <c r="B193" t="inlineStr">
        <is>
          <t>Prismtank</t>
        </is>
      </c>
      <c r="C193" t="inlineStr">
        <is>
          <t>Prism Tank</t>
        </is>
      </c>
      <c r="D193" t="inlineStr">
        <is>
          <t>1350</t>
        </is>
      </c>
      <c r="E193" t="inlineStr">
        <is>
          <t>22000</t>
        </is>
      </c>
      <c r="F193" t="inlineStr">
        <is>
          <t>82</t>
        </is>
      </c>
      <c r="G193" t="inlineStr"/>
      <c r="H193" t="inlineStr">
        <is>
          <t>local declaration</t>
        </is>
      </c>
      <c r="I193" t="inlineStr">
        <is>
          <t>radar, ~promotion.prism_tank</t>
        </is>
      </c>
      <c r="J193" t="inlineStr">
        <is>
          <t>^FightingVehicle, ^VoxelVehicle, ^VoxelTurretedTank, ^BiologicalDriver, ^PrioEnergyWeapon, ^AlliesTank, ^AlliesPrismUnit</t>
        </is>
      </c>
      <c r="K193" t="inlineStr">
        <is>
          <t>PrisTLaser</t>
        </is>
      </c>
      <c r="L193" t="inlineStr"/>
      <c r="M193" t="inlineStr">
        <is>
          <t>not modeled; inspection required</t>
        </is>
      </c>
      <c r="N193" t="inlineStr"/>
      <c r="O193" t="inlineStr">
        <is>
          <t>mods/ca/rules/allies/vehicles.yaml</t>
        </is>
      </c>
    </row>
    <row r="194">
      <c r="A194" t="inlineStr">
        <is>
          <t>allies</t>
        </is>
      </c>
      <c r="B194" t="inlineStr">
        <is>
          <t>PBLASTER</t>
        </is>
      </c>
      <c r="C194" t="inlineStr">
        <is>
          <t>Prism Blaster</t>
        </is>
      </c>
      <c r="D194" t="inlineStr"/>
      <c r="E194" t="inlineStr">
        <is>
          <t>33000</t>
        </is>
      </c>
      <c r="F194" t="inlineStr"/>
      <c r="G194" t="inlineStr"/>
      <c r="H194" t="inlineStr">
        <is>
          <t>local declaration</t>
        </is>
      </c>
      <c r="I194" t="inlineStr">
        <is>
          <t>radar, ~promotion.prism_blaster</t>
        </is>
      </c>
      <c r="J194" t="inlineStr">
        <is>
          <t>Prismtank</t>
        </is>
      </c>
      <c r="K194" t="inlineStr">
        <is>
          <t>PrisBlaster</t>
        </is>
      </c>
      <c r="L194" t="inlineStr"/>
      <c r="M194" t="inlineStr">
        <is>
          <t>not modeled; inspection required</t>
        </is>
      </c>
      <c r="N194" t="inlineStr"/>
      <c r="O194" t="inlineStr">
        <is>
          <t>mods/ca/rules/allies/vehicles.yaml</t>
        </is>
      </c>
    </row>
    <row r="195">
      <c r="A195" t="inlineStr">
        <is>
          <t>allies</t>
        </is>
      </c>
      <c r="B195" t="inlineStr">
        <is>
          <t>PCAN</t>
        </is>
      </c>
      <c r="C195" t="inlineStr">
        <is>
          <t>Prism Cannon</t>
        </is>
      </c>
      <c r="D195" t="inlineStr">
        <is>
          <t>1350</t>
        </is>
      </c>
      <c r="E195" t="inlineStr">
        <is>
          <t>22000</t>
        </is>
      </c>
      <c r="F195" t="inlineStr">
        <is>
          <t>82</t>
        </is>
      </c>
      <c r="G195" t="inlineStr"/>
      <c r="H195" t="inlineStr">
        <is>
          <t>local declaration</t>
        </is>
      </c>
      <c r="I195" t="inlineStr">
        <is>
          <t>radar, ~promotion.prism_cannon</t>
        </is>
      </c>
      <c r="J195" t="inlineStr">
        <is>
          <t>Prismtank, ^PrioAntiHeavy, ^FightingVehicle</t>
        </is>
      </c>
      <c r="K195" t="inlineStr">
        <is>
          <t>PrisCLaser</t>
        </is>
      </c>
      <c r="L195" t="inlineStr"/>
      <c r="M195" t="inlineStr">
        <is>
          <t>not modeled; inspection required</t>
        </is>
      </c>
      <c r="N195" t="inlineStr"/>
      <c r="O195" t="inlineStr">
        <is>
          <t>mods/ca/rules/allies/vehicles.yaml</t>
        </is>
      </c>
    </row>
    <row r="196">
      <c r="A196" t="inlineStr">
        <is>
          <t>allies</t>
        </is>
      </c>
      <c r="B196" t="inlineStr">
        <is>
          <t>CRYO</t>
        </is>
      </c>
      <c r="C196" t="inlineStr">
        <is>
          <t>Cryo Launcher</t>
        </is>
      </c>
      <c r="D196" t="inlineStr">
        <is>
          <t>1150</t>
        </is>
      </c>
      <c r="E196" t="inlineStr">
        <is>
          <t>32000</t>
        </is>
      </c>
      <c r="F196" t="inlineStr">
        <is>
          <t>82</t>
        </is>
      </c>
      <c r="G196" t="inlineStr"/>
      <c r="H196" t="inlineStr">
        <is>
          <t>local declaration</t>
        </is>
      </c>
      <c r="I196" t="inlineStr">
        <is>
          <t>radar, vehicles, ~allies, ~promotion.cryo_launcher</t>
        </is>
      </c>
      <c r="J196" t="inlineStr">
        <is>
          <t>^FightingVehicle, ^HighResShadow, ^BiologicalDriver, ^PrioArtillery, ^AlliesTank, ^AlliesCryoUnit</t>
        </is>
      </c>
      <c r="K196" t="inlineStr">
        <is>
          <t>CryoMissile</t>
        </is>
      </c>
      <c r="L196" t="inlineStr"/>
      <c r="M196" t="inlineStr">
        <is>
          <t>not modeled; inspection required</t>
        </is>
      </c>
      <c r="N196" t="inlineStr"/>
      <c r="O196" t="inlineStr">
        <is>
          <t>mods/ca/rules/allies/vehicles.yaml</t>
        </is>
      </c>
    </row>
    <row r="197">
      <c r="A197" t="inlineStr">
        <is>
          <t>allies</t>
        </is>
      </c>
      <c r="B197" t="inlineStr">
        <is>
          <t>CTNK</t>
        </is>
      </c>
      <c r="C197" t="inlineStr">
        <is>
          <t>Chrono Tank</t>
        </is>
      </c>
      <c r="D197" t="inlineStr">
        <is>
          <t>1350</t>
        </is>
      </c>
      <c r="E197" t="inlineStr">
        <is>
          <t>50000</t>
        </is>
      </c>
      <c r="F197" t="inlineStr">
        <is>
          <t>113</t>
        </is>
      </c>
      <c r="G197" t="inlineStr">
        <is>
          <t>heavywheeled</t>
        </is>
      </c>
      <c r="H197" t="inlineStr">
        <is>
          <t>local declaration</t>
        </is>
      </c>
      <c r="I197" t="inlineStr">
        <is>
          <t>tier3, vehicles, ~allies, ~promotion.chrono_tank, ~!promotion.chrono_tank_pdl, ~!promotion.chrono_tank.reflector</t>
        </is>
      </c>
      <c r="J197" t="inlineStr">
        <is>
          <t>^FightingTankTurreted, ^VoxelVehicle, ^BiologicalDriver, ^PrioAntiHeavy, ^AlliesTank, ^AlliesChronoUnit</t>
        </is>
      </c>
      <c r="K197" t="inlineStr">
        <is>
          <t>APTusk, APTusk.Air</t>
        </is>
      </c>
      <c r="L197" t="inlineStr">
        <is>
          <t>multiple/conditional armaments</t>
        </is>
      </c>
      <c r="M197" t="inlineStr">
        <is>
          <t>not modeled; inspection required</t>
        </is>
      </c>
      <c r="N197" t="inlineStr"/>
      <c r="O197" t="inlineStr">
        <is>
          <t>mods/ca/rules/allies/vehicles.yaml</t>
        </is>
      </c>
    </row>
    <row r="198">
      <c r="A198" t="inlineStr">
        <is>
          <t>allies</t>
        </is>
      </c>
      <c r="B198" t="inlineStr">
        <is>
          <t>CTNK.PDL</t>
        </is>
      </c>
      <c r="C198" t="inlineStr">
        <is>
          <t>Chrono Tank (PDL)</t>
        </is>
      </c>
      <c r="D198" t="inlineStr">
        <is>
          <t>2000</t>
        </is>
      </c>
      <c r="E198" t="inlineStr"/>
      <c r="F198" t="inlineStr"/>
      <c r="G198" t="inlineStr"/>
      <c r="H198" t="inlineStr">
        <is>
          <t>local declaration</t>
        </is>
      </c>
      <c r="I198" t="inlineStr">
        <is>
          <t>tier3, vehicles, ~allies, ~promotion.chrono_tank_pdl</t>
        </is>
      </c>
      <c r="J198" t="inlineStr">
        <is>
          <t>^PointLaserDefenseSystem, CTNK</t>
        </is>
      </c>
      <c r="K198" t="inlineStr"/>
      <c r="L198" t="inlineStr"/>
      <c r="M198" t="inlineStr">
        <is>
          <t>not modeled; inspection required</t>
        </is>
      </c>
      <c r="N198" t="inlineStr"/>
      <c r="O198" t="inlineStr">
        <is>
          <t>mods/ca/rules/allies/vehicles.yaml</t>
        </is>
      </c>
    </row>
    <row r="199">
      <c r="A199" t="inlineStr">
        <is>
          <t>allies</t>
        </is>
      </c>
      <c r="B199" t="inlineStr">
        <is>
          <t>CTNK.Reflector</t>
        </is>
      </c>
      <c r="C199" t="inlineStr">
        <is>
          <t>Chrono Tank (Reflector)</t>
        </is>
      </c>
      <c r="D199" t="inlineStr"/>
      <c r="E199" t="inlineStr"/>
      <c r="F199" t="inlineStr"/>
      <c r="G199" t="inlineStr"/>
      <c r="H199" t="inlineStr">
        <is>
          <t>local declaration</t>
        </is>
      </c>
      <c r="I199" t="inlineStr">
        <is>
          <t>tier3, vehicles, ~allies, ~promotion.chrono_tank.reflector</t>
        </is>
      </c>
      <c r="J199" t="inlineStr">
        <is>
          <t>CTNK, ^ReflectorArmor</t>
        </is>
      </c>
      <c r="K199" t="inlineStr"/>
      <c r="L199" t="inlineStr"/>
      <c r="M199" t="inlineStr">
        <is>
          <t>not modeled; inspection required</t>
        </is>
      </c>
      <c r="N199" t="inlineStr"/>
      <c r="O199" t="inlineStr">
        <is>
          <t>mods/ca/rules/allies/vehicles.yaml</t>
        </is>
      </c>
    </row>
    <row r="200">
      <c r="A200" t="inlineStr">
        <is>
          <t>allies</t>
        </is>
      </c>
      <c r="B200" t="inlineStr">
        <is>
          <t>CHPR</t>
        </is>
      </c>
      <c r="C200" t="inlineStr">
        <is>
          <t>Chrono Prison</t>
        </is>
      </c>
      <c r="D200" t="inlineStr">
        <is>
          <t>1700</t>
        </is>
      </c>
      <c r="E200" t="inlineStr">
        <is>
          <t>75000</t>
        </is>
      </c>
      <c r="F200" t="inlineStr">
        <is>
          <t>52</t>
        </is>
      </c>
      <c r="G200" t="inlineStr">
        <is>
          <t>heavytracked</t>
        </is>
      </c>
      <c r="H200" t="inlineStr">
        <is>
          <t>local declaration</t>
        </is>
      </c>
      <c r="I200" t="inlineStr">
        <is>
          <t>tier3, ~promotion.chrono_prison, ~!promotion.chrono_prison_range, ~!promotion.chrono_prison_aa</t>
        </is>
      </c>
      <c r="J200" t="inlineStr">
        <is>
          <t>^FightingTankTurreted, ^BigVehicle, ^HighResShadow, ^BiologicalDriver, ^PrioEnergyWeapon, ^AlliesTank, ^AlliesChronoUnit</t>
        </is>
      </c>
      <c r="K200" t="inlineStr">
        <is>
          <t>NeutronCannon, NeutronCannonBeam, NeutronCannonPulse, NeutronCannonSound</t>
        </is>
      </c>
      <c r="L200" t="inlineStr">
        <is>
          <t>multiple/conditional armaments</t>
        </is>
      </c>
      <c r="M200" t="inlineStr">
        <is>
          <t>not modeled; inspection required</t>
        </is>
      </c>
      <c r="N200" t="inlineStr"/>
      <c r="O200" t="inlineStr">
        <is>
          <t>mods/ca/rules/allies/vehicles.yaml</t>
        </is>
      </c>
    </row>
    <row r="201">
      <c r="A201" t="inlineStr">
        <is>
          <t>allies</t>
        </is>
      </c>
      <c r="B201" t="inlineStr">
        <is>
          <t>CHPR.Range</t>
        </is>
      </c>
      <c r="C201" t="inlineStr">
        <is>
          <t>Chrono Prison Range Upgraded</t>
        </is>
      </c>
      <c r="D201" t="inlineStr">
        <is>
          <t>2250</t>
        </is>
      </c>
      <c r="E201" t="inlineStr"/>
      <c r="F201" t="inlineStr"/>
      <c r="G201" t="inlineStr"/>
      <c r="H201" t="inlineStr">
        <is>
          <t>local declaration</t>
        </is>
      </c>
      <c r="I201" t="inlineStr">
        <is>
          <t>tier3, ~promotion.chrono_prison_range</t>
        </is>
      </c>
      <c r="J201" t="inlineStr">
        <is>
          <t>CHPR</t>
        </is>
      </c>
      <c r="K201" t="inlineStr">
        <is>
          <t>NeutronCannon.Range, NeutronCannonBeam.Range, NeutronCannonPulse, NeutronCannonSound</t>
        </is>
      </c>
      <c r="L201" t="inlineStr">
        <is>
          <t>multiple/conditional armaments</t>
        </is>
      </c>
      <c r="M201" t="inlineStr">
        <is>
          <t>not modeled; inspection required</t>
        </is>
      </c>
      <c r="N201" t="inlineStr"/>
      <c r="O201" t="inlineStr">
        <is>
          <t>mods/ca/rules/allies/vehicles.yaml</t>
        </is>
      </c>
    </row>
    <row r="202">
      <c r="A202" t="inlineStr">
        <is>
          <t>allies</t>
        </is>
      </c>
      <c r="B202" t="inlineStr">
        <is>
          <t>CHPR.AA</t>
        </is>
      </c>
      <c r="C202" t="inlineStr">
        <is>
          <t>Chrono Prison Anti-Air</t>
        </is>
      </c>
      <c r="D202" t="inlineStr">
        <is>
          <t>2250</t>
        </is>
      </c>
      <c r="E202" t="inlineStr"/>
      <c r="F202" t="inlineStr"/>
      <c r="G202" t="inlineStr"/>
      <c r="H202" t="inlineStr">
        <is>
          <t>local declaration</t>
        </is>
      </c>
      <c r="I202" t="inlineStr">
        <is>
          <t>tier3, ~promotion.chrono_prison_aa</t>
        </is>
      </c>
      <c r="J202" t="inlineStr">
        <is>
          <t>CHPR, ^PrioEnergyAntiHeavyAA</t>
        </is>
      </c>
      <c r="K202" t="inlineStr">
        <is>
          <t>NeutronCannon, NeutronCannonBeam, NeutronCannonPulse, NeutronCannonSound, NeutronCannon.AA, NeutronCannonBeam.AA, NeutronCannonPulse.AA, NeutronCannonSound.AA</t>
        </is>
      </c>
      <c r="L202" t="inlineStr">
        <is>
          <t>multiple/conditional armaments</t>
        </is>
      </c>
      <c r="M202" t="inlineStr">
        <is>
          <t>not modeled; inspection required</t>
        </is>
      </c>
      <c r="N202" t="inlineStr"/>
      <c r="O202" t="inlineStr">
        <is>
          <t>mods/ca/rules/allies/vehicles.yaml</t>
        </is>
      </c>
    </row>
    <row r="203">
      <c r="A203" t="inlineStr">
        <is>
          <t>allies</t>
        </is>
      </c>
      <c r="B203" t="inlineStr">
        <is>
          <t>BATF</t>
        </is>
      </c>
      <c r="C203" t="inlineStr">
        <is>
          <t>Missile Fortress</t>
        </is>
      </c>
      <c r="D203" t="inlineStr">
        <is>
          <t>2000</t>
        </is>
      </c>
      <c r="E203" t="inlineStr">
        <is>
          <t>100000</t>
        </is>
      </c>
      <c r="F203" t="inlineStr">
        <is>
          <t>48</t>
        </is>
      </c>
      <c r="G203" t="inlineStr">
        <is>
          <t>sheavytracked</t>
        </is>
      </c>
      <c r="H203" t="inlineStr">
        <is>
          <t>local declaration</t>
        </is>
      </c>
      <c r="I203" t="inlineStr">
        <is>
          <t>radar, ~weap, ~disabled, ~!upg.batf</t>
        </is>
      </c>
      <c r="J203" t="inlineStr">
        <is>
          <t>^FightingTankTurreted, ^BigVehicle, ^BiologicalDriver, ^AlliesTank</t>
        </is>
      </c>
      <c r="K203" t="inlineStr">
        <is>
          <t>BATFGun, BATFGun, BATFRockets</t>
        </is>
      </c>
      <c r="L203" t="inlineStr">
        <is>
          <t>multiple/conditional armaments</t>
        </is>
      </c>
      <c r="M203" t="inlineStr">
        <is>
          <t>not modeled; inspection required</t>
        </is>
      </c>
      <c r="N203" t="inlineStr"/>
      <c r="O203" t="inlineStr">
        <is>
          <t>mods/ca/rules/allies/vehicles.yaml</t>
        </is>
      </c>
    </row>
    <row r="204">
      <c r="A204" t="inlineStr">
        <is>
          <t>allies</t>
        </is>
      </c>
      <c r="B204" t="inlineStr">
        <is>
          <t>BATF.Bunker</t>
        </is>
      </c>
      <c r="C204" t="inlineStr">
        <is>
          <t>Battle Fortress (Bunker)</t>
        </is>
      </c>
      <c r="D204" t="inlineStr">
        <is>
          <t>3000</t>
        </is>
      </c>
      <c r="E204" t="inlineStr">
        <is>
          <t>100000</t>
        </is>
      </c>
      <c r="F204" t="inlineStr">
        <is>
          <t>48</t>
        </is>
      </c>
      <c r="G204" t="inlineStr">
        <is>
          <t>sheavytracked</t>
        </is>
      </c>
      <c r="H204" t="inlineStr">
        <is>
          <t>local declaration</t>
        </is>
      </c>
      <c r="I204" t="inlineStr">
        <is>
          <t>radar, ~weap, ~promotion.battle_fortress.bunker, ~!upg.batf2</t>
        </is>
      </c>
      <c r="J204" t="inlineStr">
        <is>
          <t>^FightingTank, ^BigVehicle, ^HighResShadow, ^BiologicalDriver, ^Transport, ^AttackingCargo, ^PrioAntiHeavyAA, ^AlliesTank</t>
        </is>
      </c>
      <c r="K204" t="inlineStr">
        <is>
          <t>M60mg, ZSU-23</t>
        </is>
      </c>
      <c r="L204" t="inlineStr">
        <is>
          <t>cargo, multiple/conditional armaments</t>
        </is>
      </c>
      <c r="M204" t="inlineStr">
        <is>
          <t>not modeled; inspection required</t>
        </is>
      </c>
      <c r="N204" t="inlineStr"/>
      <c r="O204" t="inlineStr">
        <is>
          <t>mods/ca/rules/allies/vehicles.yaml</t>
        </is>
      </c>
    </row>
    <row r="205">
      <c r="A205" t="inlineStr">
        <is>
          <t>allies</t>
        </is>
      </c>
      <c r="B205" t="inlineStr">
        <is>
          <t>BATF.Bunker.PDL</t>
        </is>
      </c>
      <c r="C205" t="inlineStr">
        <is>
          <t>Battle Fortress (PDL)</t>
        </is>
      </c>
      <c r="D205" t="inlineStr">
        <is>
          <t>3600</t>
        </is>
      </c>
      <c r="E205" t="inlineStr"/>
      <c r="F205" t="inlineStr"/>
      <c r="G205" t="inlineStr"/>
      <c r="H205" t="inlineStr">
        <is>
          <t>local declaration</t>
        </is>
      </c>
      <c r="I205" t="inlineStr">
        <is>
          <t>radar, ~weap, ~promotion.battle_fortress.bunker, ~promotion.battle_fortress.pdl</t>
        </is>
      </c>
      <c r="J205" t="inlineStr">
        <is>
          <t>BATF.Bunker, ^PointLaserDefenseSystem</t>
        </is>
      </c>
      <c r="K205" t="inlineStr"/>
      <c r="L205" t="inlineStr"/>
      <c r="M205" t="inlineStr">
        <is>
          <t>not modeled; inspection required</t>
        </is>
      </c>
      <c r="N205" t="inlineStr"/>
      <c r="O205" t="inlineStr">
        <is>
          <t>mods/ca/rules/allies/vehicles.yaml</t>
        </is>
      </c>
    </row>
    <row r="206">
      <c r="A206" t="inlineStr">
        <is>
          <t>allies</t>
        </is>
      </c>
      <c r="B206" t="inlineStr">
        <is>
          <t>BATF.Bunker.Reflector</t>
        </is>
      </c>
      <c r="C206" t="inlineStr">
        <is>
          <t>Battle Fortress (Reflector)</t>
        </is>
      </c>
      <c r="D206" t="inlineStr"/>
      <c r="E206" t="inlineStr"/>
      <c r="F206" t="inlineStr"/>
      <c r="G206" t="inlineStr"/>
      <c r="H206" t="inlineStr">
        <is>
          <t>local declaration</t>
        </is>
      </c>
      <c r="I206" t="inlineStr">
        <is>
          <t>radar, ~weap, ~promotion.battle_fortress.bunker, ~promotion.battle_fortress.reflector</t>
        </is>
      </c>
      <c r="J206" t="inlineStr">
        <is>
          <t>BATF.Bunker, ^ReflectorArmor</t>
        </is>
      </c>
      <c r="K206" t="inlineStr"/>
      <c r="L206" t="inlineStr"/>
      <c r="M206" t="inlineStr">
        <is>
          <t>not modeled; inspection required</t>
        </is>
      </c>
      <c r="N206" t="inlineStr"/>
      <c r="O206" t="inlineStr">
        <is>
          <t>mods/ca/rules/allies/vehicles.yaml</t>
        </is>
      </c>
    </row>
    <row r="207">
      <c r="A207" t="inlineStr">
        <is>
          <t>allies</t>
        </is>
      </c>
      <c r="B207" t="inlineStr">
        <is>
          <t>BATF.Prism</t>
        </is>
      </c>
      <c r="C207" t="inlineStr">
        <is>
          <t>Prism Fortress</t>
        </is>
      </c>
      <c r="D207" t="inlineStr">
        <is>
          <t>2000</t>
        </is>
      </c>
      <c r="E207" t="inlineStr">
        <is>
          <t>100000</t>
        </is>
      </c>
      <c r="F207" t="inlineStr">
        <is>
          <t>48</t>
        </is>
      </c>
      <c r="G207" t="inlineStr">
        <is>
          <t>sheavytracked</t>
        </is>
      </c>
      <c r="H207" t="inlineStr">
        <is>
          <t>local declaration</t>
        </is>
      </c>
      <c r="I207" t="inlineStr">
        <is>
          <t>radar, ~weap, ~promotion.battle_fortress.prism, ~!upg.batf2</t>
        </is>
      </c>
      <c r="J207" t="inlineStr">
        <is>
          <t>^FightingVehicle, ^PrioEnergyWeapon, ^BiologicalDriver, ^HighResShadow, ^AlliesTank, ^AlliesPrismUnit</t>
        </is>
      </c>
      <c r="K207" t="inlineStr">
        <is>
          <t>BattlePrisLaser</t>
        </is>
      </c>
      <c r="L207" t="inlineStr"/>
      <c r="M207" t="inlineStr">
        <is>
          <t>not modeled; inspection required</t>
        </is>
      </c>
      <c r="N207" t="inlineStr"/>
      <c r="O207" t="inlineStr">
        <is>
          <t>mods/ca/rules/allies/vehicles.yaml</t>
        </is>
      </c>
    </row>
    <row r="208">
      <c r="A208" t="inlineStr">
        <is>
          <t>allies</t>
        </is>
      </c>
      <c r="B208" t="inlineStr">
        <is>
          <t>BATF.Prism.PDL</t>
        </is>
      </c>
      <c r="C208" t="inlineStr">
        <is>
          <t>Prism Fortress (PDL)</t>
        </is>
      </c>
      <c r="D208" t="inlineStr">
        <is>
          <t>3000</t>
        </is>
      </c>
      <c r="E208" t="inlineStr"/>
      <c r="F208" t="inlineStr"/>
      <c r="G208" t="inlineStr"/>
      <c r="H208" t="inlineStr">
        <is>
          <t>local declaration</t>
        </is>
      </c>
      <c r="I208" t="inlineStr">
        <is>
          <t>radar, ~weap, ~promotion.battle_fortress.prism, ~promotion.battle_fortress.pdl</t>
        </is>
      </c>
      <c r="J208" t="inlineStr">
        <is>
          <t>BATF.Prism, ^PointLaserDefenseSystem</t>
        </is>
      </c>
      <c r="K208" t="inlineStr"/>
      <c r="L208" t="inlineStr"/>
      <c r="M208" t="inlineStr">
        <is>
          <t>not modeled; inspection required</t>
        </is>
      </c>
      <c r="N208" t="inlineStr"/>
      <c r="O208" t="inlineStr">
        <is>
          <t>mods/ca/rules/allies/vehicles.yaml</t>
        </is>
      </c>
    </row>
    <row r="209">
      <c r="A209" t="inlineStr">
        <is>
          <t>allies</t>
        </is>
      </c>
      <c r="B209" t="inlineStr">
        <is>
          <t>BATF.Prism.Reflector</t>
        </is>
      </c>
      <c r="C209" t="inlineStr">
        <is>
          <t>Prism Fortress (Reflector)</t>
        </is>
      </c>
      <c r="D209" t="inlineStr"/>
      <c r="E209" t="inlineStr"/>
      <c r="F209" t="inlineStr"/>
      <c r="G209" t="inlineStr"/>
      <c r="H209" t="inlineStr">
        <is>
          <t>local declaration</t>
        </is>
      </c>
      <c r="I209" t="inlineStr">
        <is>
          <t>radar, ~weap, ~promotion.battle_fortress.prism, ~promotion.battle_fortress.reflector</t>
        </is>
      </c>
      <c r="J209" t="inlineStr">
        <is>
          <t>BATF.Prism, ^ReflectorArmor</t>
        </is>
      </c>
      <c r="K209" t="inlineStr"/>
      <c r="L209" t="inlineStr"/>
      <c r="M209" t="inlineStr">
        <is>
          <t>not modeled; inspection required</t>
        </is>
      </c>
      <c r="N209" t="inlineStr"/>
      <c r="O209" t="inlineStr">
        <is>
          <t>mods/ca/rules/allies/vehicles.yaml</t>
        </is>
      </c>
    </row>
    <row r="210">
      <c r="A210" t="inlineStr">
        <is>
          <t>allies</t>
        </is>
      </c>
      <c r="B210" t="inlineStr">
        <is>
          <t>BATF.Support</t>
        </is>
      </c>
      <c r="C210" t="inlineStr">
        <is>
          <t>Support Fortress</t>
        </is>
      </c>
      <c r="D210" t="inlineStr">
        <is>
          <t>2000</t>
        </is>
      </c>
      <c r="E210" t="inlineStr">
        <is>
          <t>125000</t>
        </is>
      </c>
      <c r="F210" t="inlineStr"/>
      <c r="G210" t="inlineStr"/>
      <c r="H210" t="inlineStr">
        <is>
          <t>local declaration</t>
        </is>
      </c>
      <c r="I210" t="inlineStr">
        <is>
          <t>radar, ~weap, ~promotion.battle_fortress.support, ~!upg.batf2</t>
        </is>
      </c>
      <c r="J210" t="inlineStr">
        <is>
          <t>BATF, ^PrioRepair, ^GroundSupportUnit, ^HighResShadow</t>
        </is>
      </c>
      <c r="K210" t="inlineStr">
        <is>
          <t>BATF.Repair</t>
        </is>
      </c>
      <c r="L210" t="inlineStr">
        <is>
          <t>cargo</t>
        </is>
      </c>
      <c r="M210" t="inlineStr">
        <is>
          <t>not modeled; inspection required</t>
        </is>
      </c>
      <c r="N210" t="inlineStr"/>
      <c r="O210" t="inlineStr">
        <is>
          <t>mods/ca/rules/allies/vehicles.yaml</t>
        </is>
      </c>
    </row>
    <row r="211">
      <c r="A211" t="inlineStr">
        <is>
          <t>allies</t>
        </is>
      </c>
      <c r="B211" t="inlineStr">
        <is>
          <t>BATF.Support.PDL</t>
        </is>
      </c>
      <c r="C211" t="inlineStr">
        <is>
          <t>Support Fortress (PDL)</t>
        </is>
      </c>
      <c r="D211" t="inlineStr">
        <is>
          <t>2000</t>
        </is>
      </c>
      <c r="E211" t="inlineStr"/>
      <c r="F211" t="inlineStr"/>
      <c r="G211" t="inlineStr"/>
      <c r="H211" t="inlineStr">
        <is>
          <t>local declaration</t>
        </is>
      </c>
      <c r="I211" t="inlineStr">
        <is>
          <t>radar, ~weap, ~promotion.battle_fortress.support, ~promotion.battle_fortress.pdl</t>
        </is>
      </c>
      <c r="J211" t="inlineStr">
        <is>
          <t>BATF.Support, ^PointLaserDefenseSystem</t>
        </is>
      </c>
      <c r="K211" t="inlineStr"/>
      <c r="L211" t="inlineStr"/>
      <c r="M211" t="inlineStr">
        <is>
          <t>not modeled; inspection required</t>
        </is>
      </c>
      <c r="N211" t="inlineStr"/>
      <c r="O211" t="inlineStr">
        <is>
          <t>mods/ca/rules/allies/vehicles.yaml</t>
        </is>
      </c>
    </row>
    <row r="212">
      <c r="A212" t="inlineStr">
        <is>
          <t>allies</t>
        </is>
      </c>
      <c r="B212" t="inlineStr">
        <is>
          <t>BATF.Support.Reflector</t>
        </is>
      </c>
      <c r="C212" t="inlineStr">
        <is>
          <t>Support Fortress (Reflector)</t>
        </is>
      </c>
      <c r="D212" t="inlineStr"/>
      <c r="E212" t="inlineStr"/>
      <c r="F212" t="inlineStr"/>
      <c r="G212" t="inlineStr"/>
      <c r="H212" t="inlineStr">
        <is>
          <t>local declaration</t>
        </is>
      </c>
      <c r="I212" t="inlineStr">
        <is>
          <t>radar, ~weap, ~promotion.battle_fortress.support, ~promotion.battle_fortress.reflector</t>
        </is>
      </c>
      <c r="J212" t="inlineStr">
        <is>
          <t>BATF.Support, ^ReflectorArmor</t>
        </is>
      </c>
      <c r="K212" t="inlineStr"/>
      <c r="L212" t="inlineStr"/>
      <c r="M212" t="inlineStr">
        <is>
          <t>not modeled; inspection required</t>
        </is>
      </c>
      <c r="N212" t="inlineStr"/>
      <c r="O212" t="inlineStr">
        <is>
          <t>mods/ca/rules/allies/vehicles.yaml</t>
        </is>
      </c>
    </row>
    <row r="213">
      <c r="A213" t="inlineStr">
        <is>
          <t>allies</t>
        </is>
      </c>
      <c r="B213" t="inlineStr">
        <is>
          <t>BATF.Artillery</t>
        </is>
      </c>
      <c r="C213" t="inlineStr">
        <is>
          <t>Artillery Fortress</t>
        </is>
      </c>
      <c r="D213" t="inlineStr">
        <is>
          <t>2000</t>
        </is>
      </c>
      <c r="E213" t="inlineStr"/>
      <c r="F213" t="inlineStr"/>
      <c r="G213" t="inlineStr"/>
      <c r="H213" t="inlineStr">
        <is>
          <t>local declaration</t>
        </is>
      </c>
      <c r="I213" t="inlineStr">
        <is>
          <t>radar, ~weap, ~promotion.battle_fortress.arty, ~!upg.batf2</t>
        </is>
      </c>
      <c r="J213" t="inlineStr">
        <is>
          <t>BATF, ^PrioArtillery</t>
        </is>
      </c>
      <c r="K213" t="inlineStr">
        <is>
          <t>BATFGun, BATFGun, 155mm</t>
        </is>
      </c>
      <c r="L213" t="inlineStr">
        <is>
          <t>multiple/conditional armaments</t>
        </is>
      </c>
      <c r="M213" t="inlineStr">
        <is>
          <t>not modeled; inspection required</t>
        </is>
      </c>
      <c r="N213" t="inlineStr"/>
      <c r="O213" t="inlineStr">
        <is>
          <t>mods/ca/rules/allies/vehicles.yaml</t>
        </is>
      </c>
    </row>
    <row r="214">
      <c r="A214" t="inlineStr">
        <is>
          <t>allies</t>
        </is>
      </c>
      <c r="B214" t="inlineStr">
        <is>
          <t>BATF.Artillery.PDL</t>
        </is>
      </c>
      <c r="C214" t="inlineStr">
        <is>
          <t>Artillery Fortress (PDL)</t>
        </is>
      </c>
      <c r="D214" t="inlineStr">
        <is>
          <t>3000</t>
        </is>
      </c>
      <c r="E214" t="inlineStr"/>
      <c r="F214" t="inlineStr"/>
      <c r="G214" t="inlineStr"/>
      <c r="H214" t="inlineStr">
        <is>
          <t>local declaration</t>
        </is>
      </c>
      <c r="I214" t="inlineStr">
        <is>
          <t>radar, ~weap, ~promotion.battle_fortress.arty, ~promotion.battle_fortress.pdl</t>
        </is>
      </c>
      <c r="J214" t="inlineStr">
        <is>
          <t>BATF.Artillery, ^PointLaserDefenseSystem</t>
        </is>
      </c>
      <c r="K214" t="inlineStr"/>
      <c r="L214" t="inlineStr"/>
      <c r="M214" t="inlineStr">
        <is>
          <t>not modeled; inspection required</t>
        </is>
      </c>
      <c r="N214" t="inlineStr"/>
      <c r="O214" t="inlineStr">
        <is>
          <t>mods/ca/rules/allies/vehicles.yaml</t>
        </is>
      </c>
    </row>
    <row r="215">
      <c r="A215" t="inlineStr">
        <is>
          <t>allies</t>
        </is>
      </c>
      <c r="B215" t="inlineStr">
        <is>
          <t>BATF.Artillery.Reflector</t>
        </is>
      </c>
      <c r="C215" t="inlineStr">
        <is>
          <t>Artillery Fortress (Reflector)</t>
        </is>
      </c>
      <c r="D215" t="inlineStr"/>
      <c r="E215" t="inlineStr"/>
      <c r="F215" t="inlineStr"/>
      <c r="G215" t="inlineStr"/>
      <c r="H215" t="inlineStr">
        <is>
          <t>local declaration</t>
        </is>
      </c>
      <c r="I215" t="inlineStr">
        <is>
          <t>radar, ~weap, ~promotion.battle_fortress.arty, ~promotion.battle_fortress.reflector</t>
        </is>
      </c>
      <c r="J215" t="inlineStr">
        <is>
          <t>BATF.Artillery, ^ReflectorArmor</t>
        </is>
      </c>
      <c r="K215" t="inlineStr"/>
      <c r="L215" t="inlineStr"/>
      <c r="M215" t="inlineStr">
        <is>
          <t>not modeled; inspection required</t>
        </is>
      </c>
      <c r="N215" t="inlineStr"/>
      <c r="O215" t="inlineStr">
        <is>
          <t>mods/ca/rules/allies/vehicles.yaml</t>
        </is>
      </c>
    </row>
    <row r="216">
      <c r="A216" t="inlineStr">
        <is>
          <t>allies</t>
        </is>
      </c>
      <c r="B216" t="inlineStr">
        <is>
          <t>BATF.AI</t>
        </is>
      </c>
      <c r="C216" t="inlineStr"/>
      <c r="D216" t="inlineStr"/>
      <c r="E216" t="inlineStr"/>
      <c r="F216" t="inlineStr"/>
      <c r="G216" t="inlineStr"/>
      <c r="H216" t="inlineStr">
        <is>
          <t>local declaration</t>
        </is>
      </c>
      <c r="I216" t="inlineStr">
        <is>
          <t>tent, radar, ~weap, vehicles, ~france, ~botplayer</t>
        </is>
      </c>
      <c r="J216" t="inlineStr">
        <is>
          <t>BATF</t>
        </is>
      </c>
      <c r="K216" t="inlineStr"/>
      <c r="L216" t="inlineStr"/>
      <c r="M216" t="inlineStr">
        <is>
          <t>not modeled; inspection required</t>
        </is>
      </c>
      <c r="N216" t="inlineStr"/>
      <c r="O216" t="inlineStr">
        <is>
          <t>mods/ca/rules/allies/vehicles.yaml</t>
        </is>
      </c>
    </row>
    <row r="217">
      <c r="A217" t="inlineStr">
        <is>
          <t>allies</t>
        </is>
      </c>
      <c r="B217" t="inlineStr">
        <is>
          <t>IFV</t>
        </is>
      </c>
      <c r="C217" t="inlineStr">
        <is>
          <t>Multi-Purpose Drone</t>
        </is>
      </c>
      <c r="D217" t="inlineStr">
        <is>
          <t>750</t>
        </is>
      </c>
      <c r="E217" t="inlineStr">
        <is>
          <t>30000</t>
        </is>
      </c>
      <c r="F217" t="inlineStr">
        <is>
          <t>113</t>
        </is>
      </c>
      <c r="G217" t="inlineStr"/>
      <c r="H217" t="inlineStr">
        <is>
          <t>local declaration</t>
        </is>
      </c>
      <c r="I217" t="inlineStr">
        <is>
          <t>infantry.any, vehicles, ~allies</t>
        </is>
      </c>
      <c r="J217" t="inlineStr">
        <is>
          <t>^FightingVehicle, ^HighResShadow, ^HoverVehicle, ^BiologicalDriver, ^Transport, ^PrioAntiHeavyAA, ^PointLaserDefenseSystem, ^AlliesTank</t>
        </is>
      </c>
      <c r="K217" t="inlineStr">
        <is>
          <t>IFVRockets, IFVRocketsAA, M60mg, Grenade.Huey, IFVRocketsE, IFVRocketsAAE, FireballLauncher, ChemballLauncher, ThorBlitz, TTankZap, RadBeamWeapon, RepairIFV, IFVDefuseKit, LaserTur, sniperE, Railgun.Infantry, CryoGun, relayMarker</t>
        </is>
      </c>
      <c r="L217" t="inlineStr">
        <is>
          <t>cargo, hover/amphibious, multiple/conditional armaments</t>
        </is>
      </c>
      <c r="M217" t="inlineStr">
        <is>
          <t>not modeled; inspection required</t>
        </is>
      </c>
      <c r="N217" t="inlineStr"/>
      <c r="O217" t="inlineStr">
        <is>
          <t>mods/ca/rules/allies/vehicles.yaml</t>
        </is>
      </c>
    </row>
    <row r="218">
      <c r="A218" t="inlineStr">
        <is>
          <t>allies</t>
        </is>
      </c>
      <c r="B218" t="inlineStr">
        <is>
          <t>IFV.AI</t>
        </is>
      </c>
      <c r="C218" t="inlineStr">
        <is>
          <t>Infantry Fighting Vehicle</t>
        </is>
      </c>
      <c r="D218" t="inlineStr">
        <is>
          <t>650</t>
        </is>
      </c>
      <c r="E218" t="inlineStr">
        <is>
          <t>27000</t>
        </is>
      </c>
      <c r="F218" t="inlineStr">
        <is>
          <t>113</t>
        </is>
      </c>
      <c r="G218" t="inlineStr"/>
      <c r="H218" t="inlineStr">
        <is>
          <t>local declaration</t>
        </is>
      </c>
      <c r="I218" t="inlineStr">
        <is>
          <t>~tent, vehicles, ~allies, ~botplayer</t>
        </is>
      </c>
      <c r="J218" t="inlineStr">
        <is>
          <t>^FightingVehicle, ^HighResShadow, ^BiologicalDriver, ^PrioAntiHeavyAA, ^AlliesTank</t>
        </is>
      </c>
      <c r="K218" t="inlineStr">
        <is>
          <t>IFVRockets, IFVRocketsAA, M60mg, IFVRocketsE, IFVRocketsAAE</t>
        </is>
      </c>
      <c r="L218" t="inlineStr">
        <is>
          <t>multiple/conditional armaments</t>
        </is>
      </c>
      <c r="M218" t="inlineStr">
        <is>
          <t>not modeled; inspection required</t>
        </is>
      </c>
      <c r="N218" t="inlineStr"/>
      <c r="O218" t="inlineStr">
        <is>
          <t>mods/ca/rules/allies/vehicles.yaml</t>
        </is>
      </c>
    </row>
    <row r="219">
      <c r="A219" t="inlineStr">
        <is>
          <t>allies</t>
        </is>
      </c>
      <c r="B219" t="inlineStr">
        <is>
          <t>RTNK</t>
        </is>
      </c>
      <c r="C219" t="inlineStr">
        <is>
          <t>Mirage Tank</t>
        </is>
      </c>
      <c r="D219" t="inlineStr">
        <is>
          <t>800</t>
        </is>
      </c>
      <c r="E219" t="inlineStr">
        <is>
          <t>43000</t>
        </is>
      </c>
      <c r="F219" t="inlineStr">
        <is>
          <t>82</t>
        </is>
      </c>
      <c r="G219" t="inlineStr"/>
      <c r="H219" t="inlineStr">
        <is>
          <t>local declaration</t>
        </is>
      </c>
      <c r="I219" t="inlineStr">
        <is>
          <t>weap, vehicles, ~england, ~!upg.mirage</t>
        </is>
      </c>
      <c r="J219" t="inlineStr">
        <is>
          <t>^FightingTankTurreted, ^HighResShadow, ^BiologicalDriver, ^PrioAntiLight, ^AlliesTank, ^CloakStealth</t>
        </is>
      </c>
      <c r="K219" t="inlineStr">
        <is>
          <t>120mmHEAT</t>
        </is>
      </c>
      <c r="L219" t="inlineStr"/>
      <c r="M219" t="inlineStr">
        <is>
          <t>not modeled; inspection required</t>
        </is>
      </c>
      <c r="N219" t="inlineStr"/>
      <c r="O219" t="inlineStr">
        <is>
          <t>mods/ca/rules/allies/vehicles.yaml</t>
        </is>
      </c>
    </row>
    <row r="220">
      <c r="A220" t="inlineStr">
        <is>
          <t>allies</t>
        </is>
      </c>
      <c r="B220" t="inlineStr">
        <is>
          <t>RTNK.PDL</t>
        </is>
      </c>
      <c r="C220" t="inlineStr">
        <is>
          <t>Mirage Tank (PDL)</t>
        </is>
      </c>
      <c r="D220" t="inlineStr">
        <is>
          <t>1400</t>
        </is>
      </c>
      <c r="E220" t="inlineStr"/>
      <c r="F220" t="inlineStr"/>
      <c r="G220" t="inlineStr"/>
      <c r="H220" t="inlineStr">
        <is>
          <t>local declaration</t>
        </is>
      </c>
      <c r="I220" t="inlineStr">
        <is>
          <t>weap, ~promotion.mirage.pdl, ~!upg.mirage2</t>
        </is>
      </c>
      <c r="J220" t="inlineStr">
        <is>
          <t>^PointLaserDefenseSystem, RTNK</t>
        </is>
      </c>
      <c r="K220" t="inlineStr"/>
      <c r="L220" t="inlineStr"/>
      <c r="M220" t="inlineStr">
        <is>
          <t>not modeled; inspection required</t>
        </is>
      </c>
      <c r="N220" t="inlineStr"/>
      <c r="O220" t="inlineStr">
        <is>
          <t>mods/ca/rules/allies/vehicles.yaml</t>
        </is>
      </c>
    </row>
    <row r="221">
      <c r="A221" t="inlineStr">
        <is>
          <t>allies</t>
        </is>
      </c>
      <c r="B221" t="inlineStr">
        <is>
          <t>RTNK.Reflector</t>
        </is>
      </c>
      <c r="C221" t="inlineStr">
        <is>
          <t>Mirage Tank (Reflector)</t>
        </is>
      </c>
      <c r="D221" t="inlineStr"/>
      <c r="E221" t="inlineStr"/>
      <c r="F221" t="inlineStr"/>
      <c r="G221" t="inlineStr"/>
      <c r="H221" t="inlineStr">
        <is>
          <t>local declaration</t>
        </is>
      </c>
      <c r="I221" t="inlineStr">
        <is>
          <t>weap, ~promotion.mirage.reflector, ~!upg.mirage2</t>
        </is>
      </c>
      <c r="J221" t="inlineStr">
        <is>
          <t>RTNK, ^ReflectorArmor</t>
        </is>
      </c>
      <c r="K221" t="inlineStr"/>
      <c r="L221" t="inlineStr"/>
      <c r="M221" t="inlineStr">
        <is>
          <t>not modeled; inspection required</t>
        </is>
      </c>
      <c r="N221" t="inlineStr"/>
      <c r="O221" t="inlineStr">
        <is>
          <t>mods/ca/rules/allies/vehicles.yaml</t>
        </is>
      </c>
    </row>
    <row r="222">
      <c r="A222" t="inlineStr">
        <is>
          <t>allies</t>
        </is>
      </c>
      <c r="B222" t="inlineStr">
        <is>
          <t>RTNK.PDL.Firerate</t>
        </is>
      </c>
      <c r="C222" t="inlineStr">
        <is>
          <t>Mirage Tank (PDL, Firerate)</t>
        </is>
      </c>
      <c r="D222" t="inlineStr"/>
      <c r="E222" t="inlineStr"/>
      <c r="F222" t="inlineStr"/>
      <c r="G222" t="inlineStr"/>
      <c r="H222" t="inlineStr">
        <is>
          <t>local declaration</t>
        </is>
      </c>
      <c r="I222" t="inlineStr">
        <is>
          <t>weap, ~promotion.mirage.pdl, ~promotion.mirage.burst</t>
        </is>
      </c>
      <c r="J222" t="inlineStr">
        <is>
          <t>RTNK.PDL</t>
        </is>
      </c>
      <c r="K222" t="inlineStr">
        <is>
          <t>120mmHEAT.firerate</t>
        </is>
      </c>
      <c r="L222" t="inlineStr"/>
      <c r="M222" t="inlineStr">
        <is>
          <t>not modeled; inspection required</t>
        </is>
      </c>
      <c r="N222" t="inlineStr"/>
      <c r="O222" t="inlineStr">
        <is>
          <t>mods/ca/rules/allies/vehicles.yaml</t>
        </is>
      </c>
    </row>
    <row r="223">
      <c r="A223" t="inlineStr">
        <is>
          <t>allies</t>
        </is>
      </c>
      <c r="B223" t="inlineStr">
        <is>
          <t>RTNK.Reflector.Firerate</t>
        </is>
      </c>
      <c r="C223" t="inlineStr">
        <is>
          <t>Mirage Tank (Reflector, Firerate)</t>
        </is>
      </c>
      <c r="D223" t="inlineStr"/>
      <c r="E223" t="inlineStr"/>
      <c r="F223" t="inlineStr"/>
      <c r="G223" t="inlineStr"/>
      <c r="H223" t="inlineStr">
        <is>
          <t>local declaration</t>
        </is>
      </c>
      <c r="I223" t="inlineStr">
        <is>
          <t>weap, ~promotion.mirage.reflector, ~promotion.mirage.burst</t>
        </is>
      </c>
      <c r="J223" t="inlineStr">
        <is>
          <t>RTNK.Reflector</t>
        </is>
      </c>
      <c r="K223" t="inlineStr">
        <is>
          <t>120mmHEAT.firerate</t>
        </is>
      </c>
      <c r="L223" t="inlineStr"/>
      <c r="M223" t="inlineStr">
        <is>
          <t>not modeled; inspection required</t>
        </is>
      </c>
      <c r="N223" t="inlineStr"/>
      <c r="O223" t="inlineStr">
        <is>
          <t>mods/ca/rules/allies/vehicles.yaml</t>
        </is>
      </c>
    </row>
    <row r="224">
      <c r="A224" t="inlineStr">
        <is>
          <t>allies</t>
        </is>
      </c>
      <c r="B224" t="inlineStr">
        <is>
          <t>RTNK.PDL.Toughness</t>
        </is>
      </c>
      <c r="C224" t="inlineStr">
        <is>
          <t>Mirage Tank (PDL, Toughness)</t>
        </is>
      </c>
      <c r="D224" t="inlineStr"/>
      <c r="E224" t="inlineStr">
        <is>
          <t>63000</t>
        </is>
      </c>
      <c r="F224" t="inlineStr"/>
      <c r="G224" t="inlineStr"/>
      <c r="H224" t="inlineStr">
        <is>
          <t>local declaration</t>
        </is>
      </c>
      <c r="I224" t="inlineStr">
        <is>
          <t>weap, ~promotion.mirage.pdl, ~promotion.mirage.toughness</t>
        </is>
      </c>
      <c r="J224" t="inlineStr">
        <is>
          <t>RTNK.PDL</t>
        </is>
      </c>
      <c r="K224" t="inlineStr"/>
      <c r="L224" t="inlineStr"/>
      <c r="M224" t="inlineStr">
        <is>
          <t>not modeled; inspection required</t>
        </is>
      </c>
      <c r="N224" t="inlineStr"/>
      <c r="O224" t="inlineStr">
        <is>
          <t>mods/ca/rules/allies/vehicles.yaml</t>
        </is>
      </c>
    </row>
    <row r="225">
      <c r="A225" t="inlineStr">
        <is>
          <t>allies</t>
        </is>
      </c>
      <c r="B225" t="inlineStr">
        <is>
          <t>RTNK.Reflector.Toughness</t>
        </is>
      </c>
      <c r="C225" t="inlineStr">
        <is>
          <t>Mirage Tank (Reflector, Toughness)</t>
        </is>
      </c>
      <c r="D225" t="inlineStr"/>
      <c r="E225" t="inlineStr">
        <is>
          <t>63000</t>
        </is>
      </c>
      <c r="F225" t="inlineStr"/>
      <c r="G225" t="inlineStr"/>
      <c r="H225" t="inlineStr">
        <is>
          <t>local declaration</t>
        </is>
      </c>
      <c r="I225" t="inlineStr">
        <is>
          <t>weap, ~promotion.mirage.reflector, ~promotion.mirage.toughness</t>
        </is>
      </c>
      <c r="J225" t="inlineStr">
        <is>
          <t>RTNK.Reflector</t>
        </is>
      </c>
      <c r="K225" t="inlineStr"/>
      <c r="L225" t="inlineStr"/>
      <c r="M225" t="inlineStr">
        <is>
          <t>not modeled; inspection required</t>
        </is>
      </c>
      <c r="N225" t="inlineStr"/>
      <c r="O225" t="inlineStr">
        <is>
          <t>mods/ca/rules/allies/vehicles.yaml</t>
        </is>
      </c>
    </row>
    <row r="226">
      <c r="A226" t="inlineStr">
        <is>
          <t>allies</t>
        </is>
      </c>
      <c r="B226" t="inlineStr">
        <is>
          <t>TNKD</t>
        </is>
      </c>
      <c r="C226" t="inlineStr">
        <is>
          <t>Tank Destroyer</t>
        </is>
      </c>
      <c r="D226" t="inlineStr">
        <is>
          <t>750</t>
        </is>
      </c>
      <c r="E226" t="inlineStr">
        <is>
          <t>55000</t>
        </is>
      </c>
      <c r="F226" t="inlineStr">
        <is>
          <t>68</t>
        </is>
      </c>
      <c r="G226" t="inlineStr"/>
      <c r="H226" t="inlineStr">
        <is>
          <t>local declaration</t>
        </is>
      </c>
      <c r="I226" t="inlineStr">
        <is>
          <t>vehicles, ~germany, tier2, ~!upg.tank_destroyer</t>
        </is>
      </c>
      <c r="J226" t="inlineStr">
        <is>
          <t>^FightingTank, ^BiologicalDriver, ^PrioAntiHeavy, ^HighResShadow, ^AlliesTank</t>
        </is>
      </c>
      <c r="K226" t="inlineStr">
        <is>
          <t>183mm</t>
        </is>
      </c>
      <c r="L226" t="inlineStr"/>
      <c r="M226" t="inlineStr">
        <is>
          <t>not modeled; inspection required</t>
        </is>
      </c>
      <c r="N226" t="inlineStr"/>
      <c r="O226" t="inlineStr">
        <is>
          <t>mods/ca/rules/allies/vehicles.yaml</t>
        </is>
      </c>
    </row>
    <row r="227">
      <c r="A227" t="inlineStr">
        <is>
          <t>allies</t>
        </is>
      </c>
      <c r="B227" t="inlineStr">
        <is>
          <t>TNKD.PDL</t>
        </is>
      </c>
      <c r="C227" t="inlineStr">
        <is>
          <t>Tank Destroyer (PDL)</t>
        </is>
      </c>
      <c r="D227" t="inlineStr">
        <is>
          <t>1350</t>
        </is>
      </c>
      <c r="E227" t="inlineStr"/>
      <c r="F227" t="inlineStr"/>
      <c r="G227" t="inlineStr"/>
      <c r="H227" t="inlineStr">
        <is>
          <t>local declaration</t>
        </is>
      </c>
      <c r="I227" t="inlineStr">
        <is>
          <t>dome, ~promotion.tank_destroyer.pdl, ~!upg.tank_destroyer2</t>
        </is>
      </c>
      <c r="J227" t="inlineStr">
        <is>
          <t>^PointLaserDefenseSystem, TNKD</t>
        </is>
      </c>
      <c r="K227" t="inlineStr"/>
      <c r="L227" t="inlineStr"/>
      <c r="M227" t="inlineStr">
        <is>
          <t>not modeled; inspection required</t>
        </is>
      </c>
      <c r="N227" t="inlineStr"/>
      <c r="O227" t="inlineStr">
        <is>
          <t>mods/ca/rules/allies/vehicles.yaml</t>
        </is>
      </c>
    </row>
    <row r="228">
      <c r="A228" t="inlineStr">
        <is>
          <t>allies</t>
        </is>
      </c>
      <c r="B228" t="inlineStr">
        <is>
          <t>TNKD.Reflector</t>
        </is>
      </c>
      <c r="C228" t="inlineStr">
        <is>
          <t>Tank Destroyer (Reflector)</t>
        </is>
      </c>
      <c r="D228" t="inlineStr"/>
      <c r="E228" t="inlineStr"/>
      <c r="F228" t="inlineStr"/>
      <c r="G228" t="inlineStr"/>
      <c r="H228" t="inlineStr">
        <is>
          <t>local declaration</t>
        </is>
      </c>
      <c r="I228" t="inlineStr">
        <is>
          <t>tier3, ~promotion.tank_destroyer.reflector, ~!upg.tank_destroyer2</t>
        </is>
      </c>
      <c r="J228" t="inlineStr">
        <is>
          <t>TNKD, ^ReflectorArmor</t>
        </is>
      </c>
      <c r="K228" t="inlineStr"/>
      <c r="L228" t="inlineStr"/>
      <c r="M228" t="inlineStr">
        <is>
          <t>not modeled; inspection required</t>
        </is>
      </c>
      <c r="N228" t="inlineStr"/>
      <c r="O228" t="inlineStr">
        <is>
          <t>mods/ca/rules/allies/vehicles.yaml</t>
        </is>
      </c>
    </row>
    <row r="229">
      <c r="A229" t="inlineStr">
        <is>
          <t>allies</t>
        </is>
      </c>
      <c r="B229" t="inlineStr">
        <is>
          <t>TNKD.PDL.Burstfire</t>
        </is>
      </c>
      <c r="C229" t="inlineStr">
        <is>
          <t>Tank Destroyer (PDL, Burst)</t>
        </is>
      </c>
      <c r="D229" t="inlineStr">
        <is>
          <t>1350</t>
        </is>
      </c>
      <c r="E229" t="inlineStr"/>
      <c r="F229" t="inlineStr"/>
      <c r="G229" t="inlineStr"/>
      <c r="H229" t="inlineStr">
        <is>
          <t>local declaration</t>
        </is>
      </c>
      <c r="I229" t="inlineStr">
        <is>
          <t>tier3, ~promotion.tank_destroyer.pdl, ~promotion.tank_destroyer.burst</t>
        </is>
      </c>
      <c r="J229" t="inlineStr">
        <is>
          <t>TNKD.PDL</t>
        </is>
      </c>
      <c r="K229" t="inlineStr">
        <is>
          <t>183mm.Burst</t>
        </is>
      </c>
      <c r="L229" t="inlineStr"/>
      <c r="M229" t="inlineStr">
        <is>
          <t>not modeled; inspection required</t>
        </is>
      </c>
      <c r="N229" t="inlineStr"/>
      <c r="O229" t="inlineStr">
        <is>
          <t>mods/ca/rules/allies/vehicles.yaml</t>
        </is>
      </c>
    </row>
    <row r="230">
      <c r="A230" t="inlineStr">
        <is>
          <t>allies</t>
        </is>
      </c>
      <c r="B230" t="inlineStr">
        <is>
          <t>TNKD.Reflector.Burstfire</t>
        </is>
      </c>
      <c r="C230" t="inlineStr">
        <is>
          <t>Tank Destroyer (Reflector, Burst)</t>
        </is>
      </c>
      <c r="D230" t="inlineStr"/>
      <c r="E230" t="inlineStr"/>
      <c r="F230" t="inlineStr"/>
      <c r="G230" t="inlineStr"/>
      <c r="H230" t="inlineStr">
        <is>
          <t>local declaration</t>
        </is>
      </c>
      <c r="I230" t="inlineStr">
        <is>
          <t>tier3, ~promotion.tank_destroyer.reflector, ~promotion.tank_destroyer.burst</t>
        </is>
      </c>
      <c r="J230" t="inlineStr">
        <is>
          <t>TNKD.Reflector</t>
        </is>
      </c>
      <c r="K230" t="inlineStr">
        <is>
          <t>183mm.Burst</t>
        </is>
      </c>
      <c r="L230" t="inlineStr"/>
      <c r="M230" t="inlineStr">
        <is>
          <t>not modeled; inspection required</t>
        </is>
      </c>
      <c r="N230" t="inlineStr"/>
      <c r="O230" t="inlineStr">
        <is>
          <t>mods/ca/rules/allies/vehicles.yaml</t>
        </is>
      </c>
    </row>
    <row r="231">
      <c r="A231" t="inlineStr">
        <is>
          <t>allies</t>
        </is>
      </c>
      <c r="B231" t="inlineStr">
        <is>
          <t>TNKD.PDL.Tough</t>
        </is>
      </c>
      <c r="C231" t="inlineStr">
        <is>
          <t>Tank Destroyer (PDL, Tough)</t>
        </is>
      </c>
      <c r="D231" t="inlineStr">
        <is>
          <t>1350</t>
        </is>
      </c>
      <c r="E231" t="inlineStr">
        <is>
          <t>80000</t>
        </is>
      </c>
      <c r="F231" t="inlineStr"/>
      <c r="G231" t="inlineStr"/>
      <c r="H231" t="inlineStr">
        <is>
          <t>local declaration</t>
        </is>
      </c>
      <c r="I231" t="inlineStr">
        <is>
          <t>tier3, ~promotion.tank_destroyer.pdl, ~promotion.tank_destroyer.tough</t>
        </is>
      </c>
      <c r="J231" t="inlineStr">
        <is>
          <t>TNKD.PDL</t>
        </is>
      </c>
      <c r="K231" t="inlineStr"/>
      <c r="L231" t="inlineStr"/>
      <c r="M231" t="inlineStr">
        <is>
          <t>not modeled; inspection required</t>
        </is>
      </c>
      <c r="N231" t="inlineStr"/>
      <c r="O231" t="inlineStr">
        <is>
          <t>mods/ca/rules/allies/vehicles.yaml</t>
        </is>
      </c>
    </row>
    <row r="232">
      <c r="A232" t="inlineStr">
        <is>
          <t>allies</t>
        </is>
      </c>
      <c r="B232" t="inlineStr">
        <is>
          <t>TNKD.Reflector.Tough</t>
        </is>
      </c>
      <c r="C232" t="inlineStr">
        <is>
          <t>Tank Destroyer (Reflector, Tough)</t>
        </is>
      </c>
      <c r="D232" t="inlineStr"/>
      <c r="E232" t="inlineStr">
        <is>
          <t>80000</t>
        </is>
      </c>
      <c r="F232" t="inlineStr"/>
      <c r="G232" t="inlineStr"/>
      <c r="H232" t="inlineStr">
        <is>
          <t>local declaration</t>
        </is>
      </c>
      <c r="I232" t="inlineStr">
        <is>
          <t>tier3, ~promotion.tank_destroyer.reflector, ~promotion.tank_destroyer.tough</t>
        </is>
      </c>
      <c r="J232" t="inlineStr">
        <is>
          <t>TNKD.Reflector</t>
        </is>
      </c>
      <c r="K232" t="inlineStr"/>
      <c r="L232" t="inlineStr"/>
      <c r="M232" t="inlineStr">
        <is>
          <t>not modeled; inspection required</t>
        </is>
      </c>
      <c r="N232" t="inlineStr"/>
      <c r="O232" t="inlineStr">
        <is>
          <t>mods/ca/rules/allies/vehicles.yaml</t>
        </is>
      </c>
    </row>
    <row r="233">
      <c r="A233" t="inlineStr">
        <is>
          <t>soviet</t>
        </is>
      </c>
      <c r="B233" t="inlineStr">
        <is>
          <t>kims_wheel</t>
        </is>
      </c>
      <c r="C233" t="inlineStr">
        <is>
          <t>Kim's Monowheel</t>
        </is>
      </c>
      <c r="D233" t="inlineStr">
        <is>
          <t>300</t>
        </is>
      </c>
      <c r="E233" t="inlineStr">
        <is>
          <t>12000</t>
        </is>
      </c>
      <c r="F233" t="inlineStr">
        <is>
          <t>157</t>
        </is>
      </c>
      <c r="G233" t="inlineStr"/>
      <c r="H233" t="inlineStr">
        <is>
          <t>local declaration</t>
        </is>
      </c>
      <c r="I233" t="inlineStr">
        <is>
          <t>~vehicles.nkorea</t>
        </is>
      </c>
      <c r="J233" t="inlineStr">
        <is>
          <t>^FightingVehicle, ^VoxelVehicle, ^BiologicalDriver, ^SensorEquipment, ^PrioAntiInfantry, ^GeneralsVehicle, ^AnnounceOnBuild, ^AttackFrontalVoice</t>
        </is>
      </c>
      <c r="K233" t="inlineStr">
        <is>
          <t>M60mgTD</t>
        </is>
      </c>
      <c r="L233" t="inlineStr">
        <is>
          <t>sensor</t>
        </is>
      </c>
      <c r="M233" t="inlineStr">
        <is>
          <t>not modeled; inspection required</t>
        </is>
      </c>
      <c r="N233" t="inlineStr"/>
      <c r="O233" t="inlineStr">
        <is>
          <t>mods/ca/rules/soviet/vehicles.yaml</t>
        </is>
      </c>
    </row>
    <row r="234">
      <c r="A234" t="inlineStr">
        <is>
          <t>soviet</t>
        </is>
      </c>
      <c r="B234" t="inlineStr">
        <is>
          <t>T-34</t>
        </is>
      </c>
      <c r="C234" t="inlineStr">
        <is>
          <t>T-34 Tank</t>
        </is>
      </c>
      <c r="D234" t="inlineStr">
        <is>
          <t>600</t>
        </is>
      </c>
      <c r="E234" t="inlineStr">
        <is>
          <t>42000</t>
        </is>
      </c>
      <c r="F234" t="inlineStr">
        <is>
          <t>100</t>
        </is>
      </c>
      <c r="G234" t="inlineStr"/>
      <c r="H234" t="inlineStr">
        <is>
          <t>local declaration</t>
        </is>
      </c>
      <c r="I234" t="inlineStr">
        <is>
          <t>~vehicles.nkorea</t>
        </is>
      </c>
      <c r="J234" t="inlineStr">
        <is>
          <t>^FightingTankTurreted, ^VoxelTurretedTank, ^BiologicalDriver, ^PrioAntiHeavy, ^ClusterWarheads</t>
        </is>
      </c>
      <c r="K234" t="inlineStr">
        <is>
          <t>30mm, 30mm.Cluster_Upgrade</t>
        </is>
      </c>
      <c r="L234" t="inlineStr">
        <is>
          <t>multiple/conditional armaments</t>
        </is>
      </c>
      <c r="M234" t="inlineStr">
        <is>
          <t>scalar design; runtime pending</t>
        </is>
      </c>
      <c r="N234" t="inlineStr">
        <is>
          <t>T-34 baseline</t>
        </is>
      </c>
      <c r="O234" t="inlineStr">
        <is>
          <t>mods/ca/rules/soviet/vehicles.yaml</t>
        </is>
      </c>
    </row>
    <row r="235">
      <c r="A235" t="inlineStr">
        <is>
          <t>soviet</t>
        </is>
      </c>
      <c r="B235" t="inlineStr">
        <is>
          <t>Devil_Tank</t>
        </is>
      </c>
      <c r="C235" t="inlineStr">
        <is>
          <t>Devil Tank</t>
        </is>
      </c>
      <c r="D235" t="inlineStr">
        <is>
          <t>700</t>
        </is>
      </c>
      <c r="E235" t="inlineStr">
        <is>
          <t>45000</t>
        </is>
      </c>
      <c r="F235" t="inlineStr">
        <is>
          <t>90</t>
        </is>
      </c>
      <c r="G235" t="inlineStr"/>
      <c r="H235" t="inlineStr">
        <is>
          <t>local declaration</t>
        </is>
      </c>
      <c r="I235" t="inlineStr">
        <is>
          <t>~vehicles.iraq, ~!upg.devil_tank</t>
        </is>
      </c>
      <c r="J235" t="inlineStr">
        <is>
          <t>^FightingTankTurreted, ^VoxelTurretedTank, ^BiologicalDriver, ^PrioAntiHeavy</t>
        </is>
      </c>
      <c r="K235" t="inlineStr">
        <is>
          <t>30mm</t>
        </is>
      </c>
      <c r="L235" t="inlineStr"/>
      <c r="M235" t="inlineStr">
        <is>
          <t>scalar design; runtime pending</t>
        </is>
      </c>
      <c r="N235" t="inlineStr">
        <is>
          <t>Devil Tank baseline</t>
        </is>
      </c>
      <c r="O235" t="inlineStr">
        <is>
          <t>mods/ca/rules/soviet/vehicles.yaml</t>
        </is>
      </c>
    </row>
    <row r="236">
      <c r="A236" t="inlineStr">
        <is>
          <t>soviet</t>
        </is>
      </c>
      <c r="B236" t="inlineStr">
        <is>
          <t>Devil_Tank.PDL</t>
        </is>
      </c>
      <c r="C236" t="inlineStr">
        <is>
          <t>Devil Tank (PDL)</t>
        </is>
      </c>
      <c r="D236" t="inlineStr">
        <is>
          <t>1100</t>
        </is>
      </c>
      <c r="E236" t="inlineStr"/>
      <c r="F236" t="inlineStr"/>
      <c r="G236" t="inlineStr"/>
      <c r="H236" t="inlineStr">
        <is>
          <t>local declaration</t>
        </is>
      </c>
      <c r="I236" t="inlineStr">
        <is>
          <t>~vehicles.iraq, tier3, ~promotion.devil_tank.pdl</t>
        </is>
      </c>
      <c r="J236" t="inlineStr">
        <is>
          <t>Devil_Tank, ^PointLaserDefenseSystem</t>
        </is>
      </c>
      <c r="K236" t="inlineStr"/>
      <c r="L236" t="inlineStr"/>
      <c r="M236" t="inlineStr">
        <is>
          <t>not modeled; inspection required</t>
        </is>
      </c>
      <c r="N236" t="inlineStr"/>
      <c r="O236" t="inlineStr">
        <is>
          <t>mods/ca/rules/soviet/vehicles.yaml</t>
        </is>
      </c>
    </row>
    <row r="237">
      <c r="A237" t="inlineStr">
        <is>
          <t>soviet</t>
        </is>
      </c>
      <c r="B237" t="inlineStr">
        <is>
          <t>Devil_Tank.Reflector</t>
        </is>
      </c>
      <c r="C237" t="inlineStr">
        <is>
          <t>Devil Tank (Reflector)</t>
        </is>
      </c>
      <c r="D237" t="inlineStr">
        <is>
          <t>900</t>
        </is>
      </c>
      <c r="E237" t="inlineStr"/>
      <c r="F237" t="inlineStr"/>
      <c r="G237" t="inlineStr"/>
      <c r="H237" t="inlineStr">
        <is>
          <t>local declaration</t>
        </is>
      </c>
      <c r="I237" t="inlineStr">
        <is>
          <t>~vehicles.iraq, tier3, ~promotion.devil_tank.reflector</t>
        </is>
      </c>
      <c r="J237" t="inlineStr">
        <is>
          <t>Devil_Tank, ^ReflectorArmor</t>
        </is>
      </c>
      <c r="K237" t="inlineStr"/>
      <c r="L237" t="inlineStr"/>
      <c r="M237" t="inlineStr">
        <is>
          <t>not modeled; inspection required</t>
        </is>
      </c>
      <c r="N237" t="inlineStr"/>
      <c r="O237" t="inlineStr">
        <is>
          <t>mods/ca/rules/soviet/vehicles.yaml</t>
        </is>
      </c>
    </row>
    <row r="238">
      <c r="A238" t="inlineStr">
        <is>
          <t>soviet</t>
        </is>
      </c>
      <c r="B238" t="inlineStr">
        <is>
          <t>SFTNK</t>
        </is>
      </c>
      <c r="C238" t="inlineStr">
        <is>
          <t>Flame Tank</t>
        </is>
      </c>
      <c r="D238" t="inlineStr">
        <is>
          <t>700</t>
        </is>
      </c>
      <c r="E238" t="inlineStr">
        <is>
          <t>40000</t>
        </is>
      </c>
      <c r="F238" t="inlineStr">
        <is>
          <t>82</t>
        </is>
      </c>
      <c r="G238" t="inlineStr"/>
      <c r="H238" t="inlineStr">
        <is>
          <t>local declaration</t>
        </is>
      </c>
      <c r="I238" t="inlineStr">
        <is>
          <t>tier2, vehicles, ~soviet, ~disabled</t>
        </is>
      </c>
      <c r="J238" t="inlineStr">
        <is>
          <t>^FightingTank, ^VoxelVehicle, ^BiologicalDriver, ^PrioAntiLight</t>
        </is>
      </c>
      <c r="K238" t="inlineStr">
        <is>
          <t>BigFlamer</t>
        </is>
      </c>
      <c r="L238" t="inlineStr"/>
      <c r="M238" t="inlineStr">
        <is>
          <t>not modeled; inspection required</t>
        </is>
      </c>
      <c r="N238" t="inlineStr"/>
      <c r="O238" t="inlineStr">
        <is>
          <t>mods/ca/rules/soviet/vehicles.yaml</t>
        </is>
      </c>
    </row>
    <row r="239">
      <c r="A239" t="inlineStr">
        <is>
          <t>soviet</t>
        </is>
      </c>
      <c r="B239" t="inlineStr">
        <is>
          <t>BTR</t>
        </is>
      </c>
      <c r="C239" t="inlineStr">
        <is>
          <t>Armored Personnel Carrier (BTR)</t>
        </is>
      </c>
      <c r="D239" t="inlineStr">
        <is>
          <t>850</t>
        </is>
      </c>
      <c r="E239" t="inlineStr">
        <is>
          <t>33000</t>
        </is>
      </c>
      <c r="F239" t="inlineStr">
        <is>
          <t>100</t>
        </is>
      </c>
      <c r="G239" t="inlineStr"/>
      <c r="H239" t="inlineStr">
        <is>
          <t>local declaration</t>
        </is>
      </c>
      <c r="I239" t="inlineStr">
        <is>
          <t>barr, vehicles, ~soviet, ~promotion.btr</t>
        </is>
      </c>
      <c r="J239" t="inlineStr">
        <is>
          <t>^FightingVehicle, ^HighResShadow, ^BiologicalDriver, ^Transport, ^PrioAntiHeavyAA</t>
        </is>
      </c>
      <c r="K239" t="inlineStr">
        <is>
          <t>IFVRockets, IFVRocketsAA</t>
        </is>
      </c>
      <c r="L239" t="inlineStr">
        <is>
          <t>cargo, multiple/conditional armaments</t>
        </is>
      </c>
      <c r="M239" t="inlineStr">
        <is>
          <t>not modeled; inspection required</t>
        </is>
      </c>
      <c r="N239" t="inlineStr"/>
      <c r="O239" t="inlineStr">
        <is>
          <t>mods/ca/rules/soviet/vehicles.yaml</t>
        </is>
      </c>
    </row>
    <row r="240">
      <c r="A240" t="inlineStr">
        <is>
          <t>soviet</t>
        </is>
      </c>
      <c r="B240" t="inlineStr">
        <is>
          <t>BTR.Surveillance</t>
        </is>
      </c>
      <c r="C240" t="inlineStr">
        <is>
          <t>Surveillance BTR</t>
        </is>
      </c>
      <c r="D240" t="inlineStr">
        <is>
          <t>750</t>
        </is>
      </c>
      <c r="E240" t="inlineStr">
        <is>
          <t>28000</t>
        </is>
      </c>
      <c r="F240" t="inlineStr">
        <is>
          <t>100</t>
        </is>
      </c>
      <c r="G240" t="inlineStr"/>
      <c r="H240" t="inlineStr">
        <is>
          <t>local declaration</t>
        </is>
      </c>
      <c r="I240" t="inlineStr">
        <is>
          <t>barr, vehicles, ~soviet, ~promotion.surveillance_btr</t>
        </is>
      </c>
      <c r="J240" t="inlineStr">
        <is>
          <t>^Vehicle, ^HighResShadow, ^BiologicalDriver, ^SensorEquipment, ^MobileDeployableRadar, ^Transport</t>
        </is>
      </c>
      <c r="K240" t="inlineStr"/>
      <c r="L240" t="inlineStr">
        <is>
          <t>cargo, sensor</t>
        </is>
      </c>
      <c r="M240" t="inlineStr">
        <is>
          <t>not modeled; inspection required</t>
        </is>
      </c>
      <c r="N240" t="inlineStr"/>
      <c r="O240" t="inlineStr">
        <is>
          <t>mods/ca/rules/soviet/vehicles.yaml</t>
        </is>
      </c>
    </row>
    <row r="241">
      <c r="A241" t="inlineStr">
        <is>
          <t>soviet</t>
        </is>
      </c>
      <c r="B241" t="inlineStr">
        <is>
          <t>NonaSVK</t>
        </is>
      </c>
      <c r="C241" t="inlineStr">
        <is>
          <t>Nona SVK</t>
        </is>
      </c>
      <c r="D241" t="inlineStr">
        <is>
          <t>700</t>
        </is>
      </c>
      <c r="E241" t="inlineStr">
        <is>
          <t>15000</t>
        </is>
      </c>
      <c r="F241" t="inlineStr">
        <is>
          <t>110</t>
        </is>
      </c>
      <c r="G241" t="inlineStr"/>
      <c r="H241" t="inlineStr">
        <is>
          <t>local declaration</t>
        </is>
      </c>
      <c r="I241" t="inlineStr">
        <is>
          <t>vehicles, ~soviet, ~promotion.nona_svk</t>
        </is>
      </c>
      <c r="J241" t="inlineStr">
        <is>
          <t>BTR, ^PrioArtillery</t>
        </is>
      </c>
      <c r="K241" t="inlineStr">
        <is>
          <t>155mm.Nona</t>
        </is>
      </c>
      <c r="L241" t="inlineStr"/>
      <c r="M241" t="inlineStr">
        <is>
          <t>not modeled; inspection required</t>
        </is>
      </c>
      <c r="N241" t="inlineStr"/>
      <c r="O241" t="inlineStr">
        <is>
          <t>mods/ca/rules/soviet/vehicles.yaml</t>
        </is>
      </c>
    </row>
    <row r="242">
      <c r="A242" t="inlineStr">
        <is>
          <t>soviet</t>
        </is>
      </c>
      <c r="B242" t="inlineStr">
        <is>
          <t>Chem_Sprayer</t>
        </is>
      </c>
      <c r="C242" t="inlineStr">
        <is>
          <t>Chemical Sprayer</t>
        </is>
      </c>
      <c r="D242" t="inlineStr">
        <is>
          <t>600</t>
        </is>
      </c>
      <c r="E242" t="inlineStr">
        <is>
          <t>32000</t>
        </is>
      </c>
      <c r="F242" t="inlineStr">
        <is>
          <t>95</t>
        </is>
      </c>
      <c r="G242" t="inlineStr"/>
      <c r="H242" t="inlineStr">
        <is>
          <t>local declaration</t>
        </is>
      </c>
      <c r="I242" t="inlineStr">
        <is>
          <t>~vehicles.iraq, radar, ~!upg.chem_sprayer</t>
        </is>
      </c>
      <c r="J242" t="inlineStr">
        <is>
          <t>^FightingVehicle, ^VoxelVehicle, ^BiologicalDriver, ^PrioAntiLight</t>
        </is>
      </c>
      <c r="K242" t="inlineStr">
        <is>
          <t>Chem_Spray</t>
        </is>
      </c>
      <c r="L242" t="inlineStr"/>
      <c r="M242" t="inlineStr">
        <is>
          <t>not modeled; inspection required</t>
        </is>
      </c>
      <c r="N242" t="inlineStr"/>
      <c r="O242" t="inlineStr">
        <is>
          <t>mods/ca/rules/soviet/vehicles.yaml</t>
        </is>
      </c>
    </row>
    <row r="243">
      <c r="A243" t="inlineStr">
        <is>
          <t>soviet</t>
        </is>
      </c>
      <c r="B243" t="inlineStr">
        <is>
          <t>Chem_Sprayer.Range</t>
        </is>
      </c>
      <c r="C243" t="inlineStr">
        <is>
          <t>Chemical Sprayer (Range)</t>
        </is>
      </c>
      <c r="D243" t="inlineStr">
        <is>
          <t>900</t>
        </is>
      </c>
      <c r="E243" t="inlineStr"/>
      <c r="F243" t="inlineStr"/>
      <c r="G243" t="inlineStr"/>
      <c r="H243" t="inlineStr">
        <is>
          <t>local declaration</t>
        </is>
      </c>
      <c r="I243" t="inlineStr">
        <is>
          <t>~vehicles.iraq, tier3, ~!upg.chem_sprayer2, ~promotion.chem_sprayer.range</t>
        </is>
      </c>
      <c r="J243" t="inlineStr">
        <is>
          <t>Chem_Sprayer</t>
        </is>
      </c>
      <c r="K243" t="inlineStr">
        <is>
          <t>Chem_Spray.Range</t>
        </is>
      </c>
      <c r="L243" t="inlineStr"/>
      <c r="M243" t="inlineStr">
        <is>
          <t>not modeled; inspection required</t>
        </is>
      </c>
      <c r="N243" t="inlineStr"/>
      <c r="O243" t="inlineStr">
        <is>
          <t>mods/ca/rules/soviet/vehicles.yaml</t>
        </is>
      </c>
    </row>
    <row r="244">
      <c r="A244" t="inlineStr">
        <is>
          <t>soviet</t>
        </is>
      </c>
      <c r="B244" t="inlineStr">
        <is>
          <t>Chem_Sprayer.Range.Metal_Acid</t>
        </is>
      </c>
      <c r="C244" t="inlineStr">
        <is>
          <t>Chemical Sprayer (Range, Metal Acid)</t>
        </is>
      </c>
      <c r="D244" t="inlineStr">
        <is>
          <t>1100</t>
        </is>
      </c>
      <c r="E244" t="inlineStr"/>
      <c r="F244" t="inlineStr"/>
      <c r="G244" t="inlineStr"/>
      <c r="H244" t="inlineStr">
        <is>
          <t>local declaration</t>
        </is>
      </c>
      <c r="I244" t="inlineStr">
        <is>
          <t>~vehicles.iraq, tier3, ~promotion.chem_sprayer.range, ~promotion.chem_sprayer.metal_acid</t>
        </is>
      </c>
      <c r="J244" t="inlineStr">
        <is>
          <t>Chem_Sprayer.Range, ^PrioAntiHeavy</t>
        </is>
      </c>
      <c r="K244" t="inlineStr">
        <is>
          <t>Chem_Spray.Range.Metal_Acid</t>
        </is>
      </c>
      <c r="L244" t="inlineStr"/>
      <c r="M244" t="inlineStr">
        <is>
          <t>not modeled; inspection required</t>
        </is>
      </c>
      <c r="N244" t="inlineStr"/>
      <c r="O244" t="inlineStr">
        <is>
          <t>mods/ca/rules/soviet/vehicles.yaml</t>
        </is>
      </c>
    </row>
    <row r="245">
      <c r="A245" t="inlineStr">
        <is>
          <t>soviet</t>
        </is>
      </c>
      <c r="B245" t="inlineStr">
        <is>
          <t>Chem_Sprayer.Range.Spread</t>
        </is>
      </c>
      <c r="C245" t="inlineStr">
        <is>
          <t>Chemical Sprayer (Range, Spread)</t>
        </is>
      </c>
      <c r="D245" t="inlineStr">
        <is>
          <t>1000</t>
        </is>
      </c>
      <c r="E245" t="inlineStr"/>
      <c r="F245" t="inlineStr"/>
      <c r="G245" t="inlineStr"/>
      <c r="H245" t="inlineStr">
        <is>
          <t>local declaration</t>
        </is>
      </c>
      <c r="I245" t="inlineStr">
        <is>
          <t>~vehicles.iraq, tier3, ~promotion.chem_sprayer.range, ~promotion.chem_sprayer.spread</t>
        </is>
      </c>
      <c r="J245" t="inlineStr">
        <is>
          <t>Chem_Sprayer.Range</t>
        </is>
      </c>
      <c r="K245" t="inlineStr">
        <is>
          <t>Chem_Spray.Range.Spread</t>
        </is>
      </c>
      <c r="L245" t="inlineStr"/>
      <c r="M245" t="inlineStr">
        <is>
          <t>not modeled; inspection required</t>
        </is>
      </c>
      <c r="N245" t="inlineStr"/>
      <c r="O245" t="inlineStr">
        <is>
          <t>mods/ca/rules/soviet/vehicles.yaml</t>
        </is>
      </c>
    </row>
    <row r="246">
      <c r="A246" t="inlineStr">
        <is>
          <t>soviet</t>
        </is>
      </c>
      <c r="B246" t="inlineStr">
        <is>
          <t>Chem_Sprayer.Splash</t>
        </is>
      </c>
      <c r="C246" t="inlineStr">
        <is>
          <t>Chemical Sprayer (Splash)</t>
        </is>
      </c>
      <c r="D246" t="inlineStr">
        <is>
          <t>800</t>
        </is>
      </c>
      <c r="E246" t="inlineStr"/>
      <c r="F246" t="inlineStr"/>
      <c r="G246" t="inlineStr"/>
      <c r="H246" t="inlineStr">
        <is>
          <t>local declaration</t>
        </is>
      </c>
      <c r="I246" t="inlineStr">
        <is>
          <t>~vehicles.iraq, tier3, ~!upg.chem_sprayer2, ~promotion.chem_sprayer.splash</t>
        </is>
      </c>
      <c r="J246" t="inlineStr">
        <is>
          <t>Chem_Sprayer</t>
        </is>
      </c>
      <c r="K246" t="inlineStr">
        <is>
          <t>Chem_Spray.Splash</t>
        </is>
      </c>
      <c r="L246" t="inlineStr"/>
      <c r="M246" t="inlineStr">
        <is>
          <t>not modeled; inspection required</t>
        </is>
      </c>
      <c r="N246" t="inlineStr"/>
      <c r="O246" t="inlineStr">
        <is>
          <t>mods/ca/rules/soviet/vehicles.yaml</t>
        </is>
      </c>
    </row>
    <row r="247">
      <c r="A247" t="inlineStr">
        <is>
          <t>soviet</t>
        </is>
      </c>
      <c r="B247" t="inlineStr">
        <is>
          <t>Chem_Sprayer.Splash.Metal_Acid</t>
        </is>
      </c>
      <c r="C247" t="inlineStr">
        <is>
          <t>Chemical Sprayer (Splash, Metal Acid)</t>
        </is>
      </c>
      <c r="D247" t="inlineStr">
        <is>
          <t>1100</t>
        </is>
      </c>
      <c r="E247" t="inlineStr"/>
      <c r="F247" t="inlineStr"/>
      <c r="G247" t="inlineStr"/>
      <c r="H247" t="inlineStr">
        <is>
          <t>local declaration</t>
        </is>
      </c>
      <c r="I247" t="inlineStr">
        <is>
          <t>~vehicles.iraq, tier3, ~promotion.chem_sprayer.splash, ~promotion.chem_sprayer.metal_acid</t>
        </is>
      </c>
      <c r="J247" t="inlineStr">
        <is>
          <t>Chem_Sprayer.Splash, ^PrioAntiHeavy</t>
        </is>
      </c>
      <c r="K247" t="inlineStr">
        <is>
          <t>Chem_Spray.Splash.Metal_Acid</t>
        </is>
      </c>
      <c r="L247" t="inlineStr"/>
      <c r="M247" t="inlineStr">
        <is>
          <t>not modeled; inspection required</t>
        </is>
      </c>
      <c r="N247" t="inlineStr"/>
      <c r="O247" t="inlineStr">
        <is>
          <t>mods/ca/rules/soviet/vehicles.yaml</t>
        </is>
      </c>
    </row>
    <row r="248">
      <c r="A248" t="inlineStr">
        <is>
          <t>soviet</t>
        </is>
      </c>
      <c r="B248" t="inlineStr">
        <is>
          <t>Chem_Sprayer.Splash.Spread</t>
        </is>
      </c>
      <c r="C248" t="inlineStr">
        <is>
          <t>Chemical Sprayer (Splash, Spread)</t>
        </is>
      </c>
      <c r="D248" t="inlineStr">
        <is>
          <t>1000</t>
        </is>
      </c>
      <c r="E248" t="inlineStr"/>
      <c r="F248" t="inlineStr"/>
      <c r="G248" t="inlineStr"/>
      <c r="H248" t="inlineStr">
        <is>
          <t>local declaration</t>
        </is>
      </c>
      <c r="I248" t="inlineStr">
        <is>
          <t>~vehicles.iraq, tier3, ~promotion.chem_sprayer.splash, ~promotion.chem_sprayer.spread</t>
        </is>
      </c>
      <c r="J248" t="inlineStr">
        <is>
          <t>Chem_Sprayer.Splash</t>
        </is>
      </c>
      <c r="K248" t="inlineStr">
        <is>
          <t>Chem_Spray.Splash.Spread</t>
        </is>
      </c>
      <c r="L248" t="inlineStr"/>
      <c r="M248" t="inlineStr">
        <is>
          <t>not modeled; inspection required</t>
        </is>
      </c>
      <c r="N248" t="inlineStr"/>
      <c r="O248" t="inlineStr">
        <is>
          <t>mods/ca/rules/soviet/vehicles.yaml</t>
        </is>
      </c>
    </row>
    <row r="249">
      <c r="A249" t="inlineStr">
        <is>
          <t>soviet</t>
        </is>
      </c>
      <c r="B249" t="inlineStr">
        <is>
          <t>Chem_Sprayer.Cloud</t>
        </is>
      </c>
      <c r="C249" t="inlineStr">
        <is>
          <t>Chemical Sprayer (Cloud)</t>
        </is>
      </c>
      <c r="D249" t="inlineStr">
        <is>
          <t>850</t>
        </is>
      </c>
      <c r="E249" t="inlineStr"/>
      <c r="F249" t="inlineStr"/>
      <c r="G249" t="inlineStr"/>
      <c r="H249" t="inlineStr">
        <is>
          <t>local declaration</t>
        </is>
      </c>
      <c r="I249" t="inlineStr">
        <is>
          <t>~vehicles.iraq, tier3, ~!upg.chem_sprayer2, ~promotion.chem_sprayer.cloud</t>
        </is>
      </c>
      <c r="J249" t="inlineStr">
        <is>
          <t>Chem_Sprayer</t>
        </is>
      </c>
      <c r="K249" t="inlineStr">
        <is>
          <t>Chem_Spray.Cloud</t>
        </is>
      </c>
      <c r="L249" t="inlineStr"/>
      <c r="M249" t="inlineStr">
        <is>
          <t>not modeled; inspection required</t>
        </is>
      </c>
      <c r="N249" t="inlineStr"/>
      <c r="O249" t="inlineStr">
        <is>
          <t>mods/ca/rules/soviet/vehicles.yaml</t>
        </is>
      </c>
    </row>
    <row r="250">
      <c r="A250" t="inlineStr">
        <is>
          <t>soviet</t>
        </is>
      </c>
      <c r="B250" t="inlineStr">
        <is>
          <t>Chem_Sprayer.Cloud.Metal_Acid</t>
        </is>
      </c>
      <c r="C250" t="inlineStr">
        <is>
          <t>Chemical Sprayer (Cloud, Metal Acid)</t>
        </is>
      </c>
      <c r="D250" t="inlineStr">
        <is>
          <t>1100</t>
        </is>
      </c>
      <c r="E250" t="inlineStr"/>
      <c r="F250" t="inlineStr"/>
      <c r="G250" t="inlineStr"/>
      <c r="H250" t="inlineStr">
        <is>
          <t>local declaration</t>
        </is>
      </c>
      <c r="I250" t="inlineStr">
        <is>
          <t>~vehicles.iraq, tier3, ~promotion.chem_sprayer.cloud, ~promotion.chem_sprayer.metal_acid</t>
        </is>
      </c>
      <c r="J250" t="inlineStr">
        <is>
          <t>Chem_Sprayer.Cloud, ^PrioAntiHeavy</t>
        </is>
      </c>
      <c r="K250" t="inlineStr">
        <is>
          <t>Chem_Spray.Cloud.Metal_Acid</t>
        </is>
      </c>
      <c r="L250" t="inlineStr"/>
      <c r="M250" t="inlineStr">
        <is>
          <t>not modeled; inspection required</t>
        </is>
      </c>
      <c r="N250" t="inlineStr"/>
      <c r="O250" t="inlineStr">
        <is>
          <t>mods/ca/rules/soviet/vehicles.yaml</t>
        </is>
      </c>
    </row>
    <row r="251">
      <c r="A251" t="inlineStr">
        <is>
          <t>soviet</t>
        </is>
      </c>
      <c r="B251" t="inlineStr">
        <is>
          <t>Chem_Sprayer.Cloud.Spread</t>
        </is>
      </c>
      <c r="C251" t="inlineStr">
        <is>
          <t>Chemical Sprayer (Cloud, Spread)</t>
        </is>
      </c>
      <c r="D251" t="inlineStr">
        <is>
          <t>1000</t>
        </is>
      </c>
      <c r="E251" t="inlineStr"/>
      <c r="F251" t="inlineStr"/>
      <c r="G251" t="inlineStr"/>
      <c r="H251" t="inlineStr">
        <is>
          <t>local declaration</t>
        </is>
      </c>
      <c r="I251" t="inlineStr">
        <is>
          <t>~vehicles.iraq, tier3, ~promotion.chem_sprayer.cloud, ~promotion.chem_sprayer.spread</t>
        </is>
      </c>
      <c r="J251" t="inlineStr">
        <is>
          <t>Chem_Sprayer.Cloud</t>
        </is>
      </c>
      <c r="K251" t="inlineStr">
        <is>
          <t>Chem_Spray.Cloud.Spread</t>
        </is>
      </c>
      <c r="L251" t="inlineStr"/>
      <c r="M251" t="inlineStr">
        <is>
          <t>not modeled; inspection required</t>
        </is>
      </c>
      <c r="N251" t="inlineStr"/>
      <c r="O251" t="inlineStr">
        <is>
          <t>mods/ca/rules/soviet/vehicles.yaml</t>
        </is>
      </c>
    </row>
    <row r="252">
      <c r="A252" t="inlineStr">
        <is>
          <t>soviet</t>
        </is>
      </c>
      <c r="B252" t="inlineStr">
        <is>
          <t>DTRK</t>
        </is>
      </c>
      <c r="C252" t="inlineStr">
        <is>
          <t>Demolition Truck</t>
        </is>
      </c>
      <c r="D252" t="inlineStr">
        <is>
          <t>2500</t>
        </is>
      </c>
      <c r="E252" t="inlineStr">
        <is>
          <t>5000</t>
        </is>
      </c>
      <c r="F252" t="inlineStr">
        <is>
          <t>82</t>
        </is>
      </c>
      <c r="G252" t="inlineStr"/>
      <c r="H252" t="inlineStr">
        <is>
          <t>local declaration</t>
        </is>
      </c>
      <c r="I252" t="inlineStr">
        <is>
          <t>stek, ~vehicles.soviet</t>
        </is>
      </c>
      <c r="J252" t="inlineStr">
        <is>
          <t>^VoxelVehicle, ^FightingVehicle, ^PrioAntiLight, ^UnloadCondition, ^SelfDestructingAttacker</t>
        </is>
      </c>
      <c r="K252" t="inlineStr">
        <is>
          <t>DemoTruckTargeting</t>
        </is>
      </c>
      <c r="L252" t="inlineStr">
        <is>
          <t>transformation/deploy</t>
        </is>
      </c>
      <c r="M252" t="inlineStr">
        <is>
          <t>not modeled; inspection required</t>
        </is>
      </c>
      <c r="N252" t="inlineStr"/>
      <c r="O252" t="inlineStr">
        <is>
          <t>mods/ca/rules/soviet/vehicles.yaml</t>
        </is>
      </c>
    </row>
    <row r="253">
      <c r="A253" t="inlineStr">
        <is>
          <t>soviet</t>
        </is>
      </c>
      <c r="B253" t="inlineStr">
        <is>
          <t>FTRK</t>
        </is>
      </c>
      <c r="C253" t="inlineStr">
        <is>
          <t>Mobile Flak</t>
        </is>
      </c>
      <c r="D253" t="inlineStr">
        <is>
          <t>500</t>
        </is>
      </c>
      <c r="E253" t="inlineStr">
        <is>
          <t>15000</t>
        </is>
      </c>
      <c r="F253" t="inlineStr">
        <is>
          <t>118</t>
        </is>
      </c>
      <c r="G253" t="inlineStr"/>
      <c r="H253" t="inlineStr">
        <is>
          <t>local declaration</t>
        </is>
      </c>
      <c r="I253" t="inlineStr">
        <is>
          <t>~vehicles.soviet, ~!promotion.flak_track.barrage</t>
        </is>
      </c>
      <c r="J253" t="inlineStr">
        <is>
          <t>^FightingVehicleTurreted, ^VoxelTurretedTank, ^BiologicalDriver, ^PrioAntiLightAA</t>
        </is>
      </c>
      <c r="K253" t="inlineStr">
        <is>
          <t>FLAK-23-AA, FLAK-23-AG</t>
        </is>
      </c>
      <c r="L253" t="inlineStr">
        <is>
          <t>multiple/conditional armaments</t>
        </is>
      </c>
      <c r="M253" t="inlineStr">
        <is>
          <t>not modeled; inspection required</t>
        </is>
      </c>
      <c r="N253" t="inlineStr"/>
      <c r="O253" t="inlineStr">
        <is>
          <t>mods/ca/rules/soviet/vehicles.yaml</t>
        </is>
      </c>
    </row>
    <row r="254">
      <c r="A254" t="inlineStr">
        <is>
          <t>soviet</t>
        </is>
      </c>
      <c r="B254" t="inlineStr">
        <is>
          <t>FTRK.Barrage</t>
        </is>
      </c>
      <c r="C254" t="inlineStr">
        <is>
          <t>Mobile Flak (Barrage)</t>
        </is>
      </c>
      <c r="D254" t="inlineStr">
        <is>
          <t>800</t>
        </is>
      </c>
      <c r="E254" t="inlineStr"/>
      <c r="F254" t="inlineStr"/>
      <c r="G254" t="inlineStr"/>
      <c r="H254" t="inlineStr">
        <is>
          <t>local declaration</t>
        </is>
      </c>
      <c r="I254" t="inlineStr">
        <is>
          <t>~vehicles.soviet, ~promotion.flak_track.barrage</t>
        </is>
      </c>
      <c r="J254" t="inlineStr">
        <is>
          <t>FTRK</t>
        </is>
      </c>
      <c r="K254" t="inlineStr">
        <is>
          <t>FLAK-23-AA.Barrage, FLAK-23-AG.Barrage</t>
        </is>
      </c>
      <c r="L254" t="inlineStr">
        <is>
          <t>multiple/conditional armaments</t>
        </is>
      </c>
      <c r="M254" t="inlineStr">
        <is>
          <t>not modeled; inspection required</t>
        </is>
      </c>
      <c r="N254" t="inlineStr"/>
      <c r="O254" t="inlineStr">
        <is>
          <t>mods/ca/rules/soviet/vehicles.yaml</t>
        </is>
      </c>
    </row>
    <row r="255">
      <c r="A255" t="inlineStr">
        <is>
          <t>soviet</t>
        </is>
      </c>
      <c r="B255" t="inlineStr">
        <is>
          <t>HQ7</t>
        </is>
      </c>
      <c r="C255" t="inlineStr">
        <is>
          <t>HQ7 Missile Launcher</t>
        </is>
      </c>
      <c r="D255" t="inlineStr">
        <is>
          <t>1000</t>
        </is>
      </c>
      <c r="E255" t="inlineStr">
        <is>
          <t>20000</t>
        </is>
      </c>
      <c r="F255" t="inlineStr">
        <is>
          <t>80</t>
        </is>
      </c>
      <c r="G255" t="inlineStr"/>
      <c r="H255" t="inlineStr">
        <is>
          <t>local declaration</t>
        </is>
      </c>
      <c r="I255" t="inlineStr">
        <is>
          <t>~vehicles.nkorea, radar</t>
        </is>
      </c>
      <c r="J255" t="inlineStr">
        <is>
          <t>^FightingVehicleTurreted, ^VoxelTurretedTank, ^BiologicalDriver, ^PrioAntiLightAA</t>
        </is>
      </c>
      <c r="K255" t="inlineStr">
        <is>
          <t>HQ7Rockets, HQ7RocketsAA</t>
        </is>
      </c>
      <c r="L255" t="inlineStr">
        <is>
          <t>multiple/conditional armaments</t>
        </is>
      </c>
      <c r="M255" t="inlineStr">
        <is>
          <t>not modeled; inspection required</t>
        </is>
      </c>
      <c r="N255" t="inlineStr"/>
      <c r="O255" t="inlineStr">
        <is>
          <t>mods/ca/rules/soviet/vehicles.yaml</t>
        </is>
      </c>
    </row>
    <row r="256">
      <c r="A256" t="inlineStr">
        <is>
          <t>soviet</t>
        </is>
      </c>
      <c r="B256" t="inlineStr">
        <is>
          <t>HTK5</t>
        </is>
      </c>
      <c r="C256" t="inlineStr">
        <is>
          <t>HTK5 Missile Launcher</t>
        </is>
      </c>
      <c r="D256" t="inlineStr">
        <is>
          <t>1000</t>
        </is>
      </c>
      <c r="E256" t="inlineStr">
        <is>
          <t>20000</t>
        </is>
      </c>
      <c r="F256" t="inlineStr">
        <is>
          <t>80</t>
        </is>
      </c>
      <c r="G256" t="inlineStr"/>
      <c r="H256" t="inlineStr">
        <is>
          <t>local declaration</t>
        </is>
      </c>
      <c r="I256" t="inlineStr">
        <is>
          <t>~vehicles.russia, radar</t>
        </is>
      </c>
      <c r="J256" t="inlineStr">
        <is>
          <t>^FightingVehicleTurreted, ^VoxelTurretedTank, ^BiologicalDriver, ^PrioAntiLightAA</t>
        </is>
      </c>
      <c r="K256" t="inlineStr">
        <is>
          <t>HTK5Rockets, HTK5RocketsAA</t>
        </is>
      </c>
      <c r="L256" t="inlineStr">
        <is>
          <t>multiple/conditional armaments</t>
        </is>
      </c>
      <c r="M256" t="inlineStr">
        <is>
          <t>not modeled; inspection required</t>
        </is>
      </c>
      <c r="N256" t="inlineStr"/>
      <c r="O256" t="inlineStr">
        <is>
          <t>mods/ca/rules/soviet/vehicles.yaml</t>
        </is>
      </c>
    </row>
    <row r="257">
      <c r="A257" t="inlineStr">
        <is>
          <t>soviet</t>
        </is>
      </c>
      <c r="B257" t="inlineStr">
        <is>
          <t>Hyena</t>
        </is>
      </c>
      <c r="C257" t="inlineStr">
        <is>
          <t>Hyena Missile Launcher</t>
        </is>
      </c>
      <c r="D257" t="inlineStr">
        <is>
          <t>1000</t>
        </is>
      </c>
      <c r="E257" t="inlineStr">
        <is>
          <t>14000</t>
        </is>
      </c>
      <c r="F257" t="inlineStr">
        <is>
          <t>125</t>
        </is>
      </c>
      <c r="G257" t="inlineStr"/>
      <c r="H257" t="inlineStr">
        <is>
          <t>local declaration</t>
        </is>
      </c>
      <c r="I257" t="inlineStr">
        <is>
          <t>~vehicles.iraq, radar</t>
        </is>
      </c>
      <c r="J257" t="inlineStr">
        <is>
          <t>^FightingVehicleTurreted, ^VoxelTurretedTank, ^BiologicalDriver, ^PrioAntiLightAA, ^ChemMissiles</t>
        </is>
      </c>
      <c r="K257" t="inlineStr">
        <is>
          <t>HyenaRockets, HyenaRockets.Chem_Missile, HyenaRockets.Acid_Missile, HyenaRocketsAA, HyenaRocketsAA.Chem_Missile, HyenaRocketsAA.Acid_Missile</t>
        </is>
      </c>
      <c r="L257" t="inlineStr">
        <is>
          <t>multiple/conditional armaments</t>
        </is>
      </c>
      <c r="M257" t="inlineStr">
        <is>
          <t>not modeled; inspection required</t>
        </is>
      </c>
      <c r="N257" t="inlineStr"/>
      <c r="O257" t="inlineStr">
        <is>
          <t>mods/ca/rules/soviet/vehicles.yaml</t>
        </is>
      </c>
    </row>
    <row r="258">
      <c r="A258" t="inlineStr">
        <is>
          <t>soviet</t>
        </is>
      </c>
      <c r="B258" t="inlineStr">
        <is>
          <t>V3RL</t>
        </is>
      </c>
      <c r="C258" t="inlineStr">
        <is>
          <t>V3 Launcher</t>
        </is>
      </c>
      <c r="D258" t="inlineStr">
        <is>
          <t>1200</t>
        </is>
      </c>
      <c r="E258" t="inlineStr">
        <is>
          <t>16000</t>
        </is>
      </c>
      <c r="F258" t="inlineStr">
        <is>
          <t>56</t>
        </is>
      </c>
      <c r="G258" t="inlineStr"/>
      <c r="H258" t="inlineStr">
        <is>
          <t>local declaration</t>
        </is>
      </c>
      <c r="I258" t="inlineStr">
        <is>
          <t>tier3, ~vehicles.soviet, radar, ~promotion.v3_launcher</t>
        </is>
      </c>
      <c r="J258" t="inlineStr">
        <is>
          <t>^FightingVehicle, ^HighResShadow, ^BiologicalDriver, ^PrioArtillery, ^SovietArtillery</t>
        </is>
      </c>
      <c r="K258" t="inlineStr">
        <is>
          <t>V3Launcher</t>
        </is>
      </c>
      <c r="L258" t="inlineStr"/>
      <c r="M258" t="inlineStr">
        <is>
          <t>not modeled; inspection required</t>
        </is>
      </c>
      <c r="N258" t="inlineStr"/>
      <c r="O258" t="inlineStr">
        <is>
          <t>mods/ca/rules/soviet/vehicles.yaml</t>
        </is>
      </c>
    </row>
    <row r="259">
      <c r="A259" t="inlineStr">
        <is>
          <t>soviet</t>
        </is>
      </c>
      <c r="B259" t="inlineStr">
        <is>
          <t>V3BRL</t>
        </is>
      </c>
      <c r="C259" t="inlineStr">
        <is>
          <t>V3 Launcher</t>
        </is>
      </c>
      <c r="D259" t="inlineStr"/>
      <c r="E259" t="inlineStr"/>
      <c r="F259" t="inlineStr"/>
      <c r="G259" t="inlineStr"/>
      <c r="H259" t="inlineStr">
        <is>
          <t>local declaration</t>
        </is>
      </c>
      <c r="I259" t="inlineStr">
        <is>
          <t>tier3, ~vehicles.soviet, radar, ~!vehicles.iraq, ~promotion.v3_launcher, ~disabled</t>
        </is>
      </c>
      <c r="J259" t="inlineStr">
        <is>
          <t>V3RL</t>
        </is>
      </c>
      <c r="K259" t="inlineStr"/>
      <c r="L259" t="inlineStr"/>
      <c r="M259" t="inlineStr">
        <is>
          <t>not modeled; inspection required</t>
        </is>
      </c>
      <c r="N259" t="inlineStr"/>
      <c r="O259" t="inlineStr">
        <is>
          <t>mods/ca/rules/soviet/vehicles.yaml</t>
        </is>
      </c>
    </row>
    <row r="260">
      <c r="A260" t="inlineStr">
        <is>
          <t>soviet</t>
        </is>
      </c>
      <c r="B260" t="inlineStr">
        <is>
          <t>V4RL</t>
        </is>
      </c>
      <c r="C260" t="inlineStr">
        <is>
          <t>V4 Launcher</t>
        </is>
      </c>
      <c r="D260" t="inlineStr"/>
      <c r="E260" t="inlineStr"/>
      <c r="F260" t="inlineStr"/>
      <c r="G260" t="inlineStr"/>
      <c r="H260" t="inlineStr">
        <is>
          <t>local declaration</t>
        </is>
      </c>
      <c r="I260" t="inlineStr">
        <is>
          <t>tier3,  ~vehicles.soviet, radar, ~!vehicles.iraq, ~promotion.v3_launcher, ~disabled</t>
        </is>
      </c>
      <c r="J260" t="inlineStr">
        <is>
          <t>V3RL</t>
        </is>
      </c>
      <c r="K260" t="inlineStr"/>
      <c r="L260" t="inlineStr"/>
      <c r="M260" t="inlineStr">
        <is>
          <t>not modeled; inspection required</t>
        </is>
      </c>
      <c r="N260" t="inlineStr"/>
      <c r="O260" t="inlineStr">
        <is>
          <t>mods/ca/rules/soviet/vehicles.yaml</t>
        </is>
      </c>
    </row>
    <row r="261">
      <c r="A261" t="inlineStr">
        <is>
          <t>soviet</t>
        </is>
      </c>
      <c r="B261" t="inlineStr">
        <is>
          <t>V3</t>
        </is>
      </c>
      <c r="C261" t="inlineStr">
        <is>
          <t>V3 Rocket</t>
        </is>
      </c>
      <c r="D261" t="inlineStr">
        <is>
          <t>50</t>
        </is>
      </c>
      <c r="E261" t="inlineStr">
        <is>
          <t>12000</t>
        </is>
      </c>
      <c r="F261" t="inlineStr"/>
      <c r="G261" t="inlineStr"/>
      <c r="H261" t="inlineStr">
        <is>
          <t>inherited/unresolved</t>
        </is>
      </c>
      <c r="I261" t="inlineStr"/>
      <c r="J261" t="inlineStr">
        <is>
          <t>^ShootableMissile, ^ChemMissiles</t>
        </is>
      </c>
      <c r="K261" t="inlineStr"/>
      <c r="L261" t="inlineStr"/>
      <c r="M261" t="inlineStr">
        <is>
          <t>not modeled; inspection required</t>
        </is>
      </c>
      <c r="N261" t="inlineStr"/>
      <c r="O261" t="inlineStr">
        <is>
          <t>mods/ca/rules/soviet/vehicles.yaml</t>
        </is>
      </c>
    </row>
    <row r="262">
      <c r="A262" t="inlineStr">
        <is>
          <t>soviet</t>
        </is>
      </c>
      <c r="B262" t="inlineStr">
        <is>
          <t>V3B</t>
        </is>
      </c>
      <c r="C262" t="inlineStr"/>
      <c r="D262" t="inlineStr"/>
      <c r="E262" t="inlineStr"/>
      <c r="F262" t="inlineStr"/>
      <c r="G262" t="inlineStr"/>
      <c r="H262" t="inlineStr">
        <is>
          <t>inherited/unresolved</t>
        </is>
      </c>
      <c r="I262" t="inlineStr"/>
      <c r="J262" t="inlineStr">
        <is>
          <t>V3</t>
        </is>
      </c>
      <c r="K262" t="inlineStr"/>
      <c r="L262" t="inlineStr"/>
      <c r="M262" t="inlineStr">
        <is>
          <t>not modeled; inspection required</t>
        </is>
      </c>
      <c r="N262" t="inlineStr"/>
      <c r="O262" t="inlineStr">
        <is>
          <t>mods/ca/rules/soviet/vehicles.yaml</t>
        </is>
      </c>
    </row>
    <row r="263">
      <c r="A263" t="inlineStr">
        <is>
          <t>soviet</t>
        </is>
      </c>
      <c r="B263" t="inlineStr">
        <is>
          <t>V4</t>
        </is>
      </c>
      <c r="C263" t="inlineStr"/>
      <c r="D263" t="inlineStr"/>
      <c r="E263" t="inlineStr"/>
      <c r="F263" t="inlineStr"/>
      <c r="G263" t="inlineStr"/>
      <c r="H263" t="inlineStr">
        <is>
          <t>inherited/unresolved</t>
        </is>
      </c>
      <c r="I263" t="inlineStr"/>
      <c r="J263" t="inlineStr">
        <is>
          <t>V3</t>
        </is>
      </c>
      <c r="K263" t="inlineStr"/>
      <c r="L263" t="inlineStr"/>
      <c r="M263" t="inlineStr">
        <is>
          <t>not modeled; inspection required</t>
        </is>
      </c>
      <c r="N263" t="inlineStr"/>
      <c r="O263" t="inlineStr">
        <is>
          <t>mods/ca/rules/soviet/vehicles.yaml</t>
        </is>
      </c>
    </row>
    <row r="264">
      <c r="A264" t="inlineStr">
        <is>
          <t>soviet</t>
        </is>
      </c>
      <c r="B264" t="inlineStr">
        <is>
          <t>KATY</t>
        </is>
      </c>
      <c r="C264" t="inlineStr">
        <is>
          <t>Katyusha</t>
        </is>
      </c>
      <c r="D264" t="inlineStr">
        <is>
          <t>1200</t>
        </is>
      </c>
      <c r="E264" t="inlineStr">
        <is>
          <t>15000</t>
        </is>
      </c>
      <c r="F264" t="inlineStr">
        <is>
          <t>68</t>
        </is>
      </c>
      <c r="G264" t="inlineStr"/>
      <c r="H264" t="inlineStr">
        <is>
          <t>local declaration</t>
        </is>
      </c>
      <c r="I264" t="inlineStr">
        <is>
          <t>dome, ~promotion.katyusha</t>
        </is>
      </c>
      <c r="J264" t="inlineStr">
        <is>
          <t>^FightingVehicle, ^HighResShadow, ^BiologicalDriver, ^PrioArtillery, ^SovietArtillery, ^ChemMissiles, ^ClusterWarheads</t>
        </is>
      </c>
      <c r="K264" t="inlineStr">
        <is>
          <t>KatyushaRockets, KatyushaRockets.Chem_Missile, KatyushaRockets.Acid_Missile, KatyushaRockets.Cluster_Upgrade</t>
        </is>
      </c>
      <c r="L264" t="inlineStr">
        <is>
          <t>multiple/conditional armaments</t>
        </is>
      </c>
      <c r="M264" t="inlineStr">
        <is>
          <t>not modeled; inspection required</t>
        </is>
      </c>
      <c r="N264" t="inlineStr"/>
      <c r="O264" t="inlineStr">
        <is>
          <t>mods/ca/rules/soviet/vehicles.yaml</t>
        </is>
      </c>
    </row>
    <row r="265">
      <c r="A265" t="inlineStr">
        <is>
          <t>soviet</t>
        </is>
      </c>
      <c r="B265" t="inlineStr">
        <is>
          <t>2S3</t>
        </is>
      </c>
      <c r="C265" t="inlineStr">
        <is>
          <t>Akatsiya</t>
        </is>
      </c>
      <c r="D265" t="inlineStr">
        <is>
          <t>1350</t>
        </is>
      </c>
      <c r="E265" t="inlineStr">
        <is>
          <t>30000</t>
        </is>
      </c>
      <c r="F265" t="inlineStr">
        <is>
          <t>68</t>
        </is>
      </c>
      <c r="G265" t="inlineStr"/>
      <c r="H265" t="inlineStr">
        <is>
          <t>local declaration</t>
        </is>
      </c>
      <c r="I265" t="inlineStr">
        <is>
          <t>dome, ~promotion.akatsiya</t>
        </is>
      </c>
      <c r="J265" t="inlineStr">
        <is>
          <t>^FightingTankTurreted, ^HighResShadow, ^BiologicalDriver, ^PrioArtillery, ^SovietArtillery, ^ClusterWarheads</t>
        </is>
      </c>
      <c r="K265" t="inlineStr">
        <is>
          <t>152mm.Akatsiya, 152mm.Akatsiya.Cluster_Upgrade</t>
        </is>
      </c>
      <c r="L265" t="inlineStr">
        <is>
          <t>multiple/conditional armaments</t>
        </is>
      </c>
      <c r="M265" t="inlineStr">
        <is>
          <t>not modeled; inspection required</t>
        </is>
      </c>
      <c r="N265" t="inlineStr"/>
      <c r="O265" t="inlineStr">
        <is>
          <t>mods/ca/rules/soviet/vehicles.yaml</t>
        </is>
      </c>
    </row>
    <row r="266">
      <c r="A266" t="inlineStr">
        <is>
          <t>soviet</t>
        </is>
      </c>
      <c r="B266" t="inlineStr">
        <is>
          <t>Peoples_Tank</t>
        </is>
      </c>
      <c r="C266" t="inlineStr">
        <is>
          <t>The People's Tank</t>
        </is>
      </c>
      <c r="D266" t="inlineStr">
        <is>
          <t>1000</t>
        </is>
      </c>
      <c r="E266" t="inlineStr">
        <is>
          <t>60000</t>
        </is>
      </c>
      <c r="F266" t="inlineStr">
        <is>
          <t>75</t>
        </is>
      </c>
      <c r="G266" t="inlineStr"/>
      <c r="H266" t="inlineStr">
        <is>
          <t>local declaration</t>
        </is>
      </c>
      <c r="I266" t="inlineStr">
        <is>
          <t>~vehicles.nkorea, radar, ~!upg.peoples_tank</t>
        </is>
      </c>
      <c r="J266" t="inlineStr">
        <is>
          <t>^FightingTankTurreted, ^VoxelTurretedTank, ^BiologicalDriver, ^PrioAntiHeavy, ^ClusterWarheads</t>
        </is>
      </c>
      <c r="K266" t="inlineStr">
        <is>
          <t>125mm, 125mm.Cluster_Upgrade</t>
        </is>
      </c>
      <c r="L266" t="inlineStr">
        <is>
          <t>multiple/conditional armaments</t>
        </is>
      </c>
      <c r="M266" t="inlineStr">
        <is>
          <t>not modeled; inspection required</t>
        </is>
      </c>
      <c r="N266" t="inlineStr"/>
      <c r="O266" t="inlineStr">
        <is>
          <t>mods/ca/rules/soviet/vehicles.yaml</t>
        </is>
      </c>
    </row>
    <row r="267">
      <c r="A267" t="inlineStr">
        <is>
          <t>soviet</t>
        </is>
      </c>
      <c r="B267" t="inlineStr">
        <is>
          <t>Peoples_Tank.Speaker</t>
        </is>
      </c>
      <c r="C267" t="inlineStr">
        <is>
          <t>The People's Tank (Propaganda)</t>
        </is>
      </c>
      <c r="D267" t="inlineStr">
        <is>
          <t>1400</t>
        </is>
      </c>
      <c r="E267" t="inlineStr">
        <is>
          <t>66000</t>
        </is>
      </c>
      <c r="F267" t="inlineStr"/>
      <c r="G267" t="inlineStr"/>
      <c r="H267" t="inlineStr">
        <is>
          <t>local declaration</t>
        </is>
      </c>
      <c r="I267" t="inlineStr">
        <is>
          <t>~vehicles.nkorea, radar, ~promotion.peoples_tank.speaker, ~!upg.peoples_tank2</t>
        </is>
      </c>
      <c r="J267" t="inlineStr">
        <is>
          <t>Peoples_Tank, ^PropagandaSpeaker</t>
        </is>
      </c>
      <c r="K267" t="inlineStr"/>
      <c r="L267" t="inlineStr">
        <is>
          <t>special attacks</t>
        </is>
      </c>
      <c r="M267" t="inlineStr">
        <is>
          <t>not modeled; inspection required</t>
        </is>
      </c>
      <c r="N267" t="inlineStr"/>
      <c r="O267" t="inlineStr">
        <is>
          <t>mods/ca/rules/soviet/vehicles.yaml</t>
        </is>
      </c>
    </row>
    <row r="268">
      <c r="A268" t="inlineStr">
        <is>
          <t>soviet</t>
        </is>
      </c>
      <c r="B268" t="inlineStr">
        <is>
          <t>Peoples_Tank.Speaker.Reflector</t>
        </is>
      </c>
      <c r="C268" t="inlineStr">
        <is>
          <t>The People's Tank (Propaganda, Reflector)</t>
        </is>
      </c>
      <c r="D268" t="inlineStr"/>
      <c r="E268" t="inlineStr"/>
      <c r="F268" t="inlineStr"/>
      <c r="G268" t="inlineStr"/>
      <c r="H268" t="inlineStr">
        <is>
          <t>local declaration</t>
        </is>
      </c>
      <c r="I268" t="inlineStr">
        <is>
          <t>~vehicles.nkorea, tier3, ~promotion.peoples_tank.speaker, ~promotion.peoples_tank.reflector</t>
        </is>
      </c>
      <c r="J268" t="inlineStr">
        <is>
          <t>Peoples_Tank.Speaker, ^ReflectorArmor</t>
        </is>
      </c>
      <c r="K268" t="inlineStr"/>
      <c r="L268" t="inlineStr"/>
      <c r="M268" t="inlineStr">
        <is>
          <t>not modeled; inspection required</t>
        </is>
      </c>
      <c r="N268" t="inlineStr"/>
      <c r="O268" t="inlineStr">
        <is>
          <t>mods/ca/rules/soviet/vehicles.yaml</t>
        </is>
      </c>
    </row>
    <row r="269">
      <c r="A269" t="inlineStr">
        <is>
          <t>soviet</t>
        </is>
      </c>
      <c r="B269" t="inlineStr">
        <is>
          <t>Peoples_Tank.Speaker.PDL</t>
        </is>
      </c>
      <c r="C269" t="inlineStr">
        <is>
          <t>The People's Tank (Propaganda, PDL)</t>
        </is>
      </c>
      <c r="D269" t="inlineStr">
        <is>
          <t>2000</t>
        </is>
      </c>
      <c r="E269" t="inlineStr"/>
      <c r="F269" t="inlineStr"/>
      <c r="G269" t="inlineStr"/>
      <c r="H269" t="inlineStr">
        <is>
          <t>local declaration</t>
        </is>
      </c>
      <c r="I269" t="inlineStr">
        <is>
          <t>~vehicles.nkorea, tier3, ~promotion.peoples_tank.speaker, ~promotion.peoples_tank.pdl</t>
        </is>
      </c>
      <c r="J269" t="inlineStr">
        <is>
          <t>Peoples_Tank.Speaker, ^PointLaserDefenseSystem</t>
        </is>
      </c>
      <c r="K269" t="inlineStr"/>
      <c r="L269" t="inlineStr"/>
      <c r="M269" t="inlineStr">
        <is>
          <t>not modeled; inspection required</t>
        </is>
      </c>
      <c r="N269" t="inlineStr"/>
      <c r="O269" t="inlineStr">
        <is>
          <t>mods/ca/rules/soviet/vehicles.yaml</t>
        </is>
      </c>
    </row>
    <row r="270">
      <c r="A270" t="inlineStr">
        <is>
          <t>soviet</t>
        </is>
      </c>
      <c r="B270" t="inlineStr">
        <is>
          <t>Peoples_Tank.Mass_Production</t>
        </is>
      </c>
      <c r="C270" t="inlineStr">
        <is>
          <t>The People's Tank (Mass Production)</t>
        </is>
      </c>
      <c r="D270" t="inlineStr">
        <is>
          <t>750</t>
        </is>
      </c>
      <c r="E270" t="inlineStr">
        <is>
          <t>55000</t>
        </is>
      </c>
      <c r="F270" t="inlineStr"/>
      <c r="G270" t="inlineStr"/>
      <c r="H270" t="inlineStr">
        <is>
          <t>local declaration</t>
        </is>
      </c>
      <c r="I270" t="inlineStr">
        <is>
          <t>~vehicles.nkorea, radar, ~promotion.peoples_tank.mass_production, ~!upg.peoples_tank2</t>
        </is>
      </c>
      <c r="J270" t="inlineStr">
        <is>
          <t>Peoples_Tank</t>
        </is>
      </c>
      <c r="K270" t="inlineStr"/>
      <c r="L270" t="inlineStr"/>
      <c r="M270" t="inlineStr">
        <is>
          <t>not modeled; inspection required</t>
        </is>
      </c>
      <c r="N270" t="inlineStr"/>
      <c r="O270" t="inlineStr">
        <is>
          <t>mods/ca/rules/soviet/vehicles.yaml</t>
        </is>
      </c>
    </row>
    <row r="271">
      <c r="A271" t="inlineStr">
        <is>
          <t>soviet</t>
        </is>
      </c>
      <c r="B271" t="inlineStr">
        <is>
          <t>Peoples_Tank.Mass_Production.Reflector</t>
        </is>
      </c>
      <c r="C271" t="inlineStr">
        <is>
          <t>The People's Tank (Mass Production, Reflector)</t>
        </is>
      </c>
      <c r="D271" t="inlineStr"/>
      <c r="E271" t="inlineStr"/>
      <c r="F271" t="inlineStr"/>
      <c r="G271" t="inlineStr"/>
      <c r="H271" t="inlineStr">
        <is>
          <t>local declaration</t>
        </is>
      </c>
      <c r="I271" t="inlineStr">
        <is>
          <t>~vehicles.nkorea, tier3, ~promotion.peoples_tank.mass_production, ~promotion.peoples_tank.reflector</t>
        </is>
      </c>
      <c r="J271" t="inlineStr">
        <is>
          <t>Peoples_Tank.Mass_Production, ^ReflectorArmor</t>
        </is>
      </c>
      <c r="K271" t="inlineStr"/>
      <c r="L271" t="inlineStr"/>
      <c r="M271" t="inlineStr">
        <is>
          <t>not modeled; inspection required</t>
        </is>
      </c>
      <c r="N271" t="inlineStr"/>
      <c r="O271" t="inlineStr">
        <is>
          <t>mods/ca/rules/soviet/vehicles.yaml</t>
        </is>
      </c>
    </row>
    <row r="272">
      <c r="A272" t="inlineStr">
        <is>
          <t>soviet</t>
        </is>
      </c>
      <c r="B272" t="inlineStr">
        <is>
          <t>Peoples_Tank.Mass_Production.PDL</t>
        </is>
      </c>
      <c r="C272" t="inlineStr">
        <is>
          <t>The People's Tank (Mass Production, PDL)</t>
        </is>
      </c>
      <c r="D272" t="inlineStr">
        <is>
          <t>1000</t>
        </is>
      </c>
      <c r="E272" t="inlineStr"/>
      <c r="F272" t="inlineStr"/>
      <c r="G272" t="inlineStr"/>
      <c r="H272" t="inlineStr">
        <is>
          <t>local declaration</t>
        </is>
      </c>
      <c r="I272" t="inlineStr">
        <is>
          <t>~vehicles.nkorea, tier3, ~promotion.peoples_tank.mass_production, ~promotion.peoples_tank.pdl</t>
        </is>
      </c>
      <c r="J272" t="inlineStr">
        <is>
          <t>Peoples_Tank.Mass_Production, ^PointLaserDefenseSystem</t>
        </is>
      </c>
      <c r="K272" t="inlineStr"/>
      <c r="L272" t="inlineStr"/>
      <c r="M272" t="inlineStr">
        <is>
          <t>not modeled; inspection required</t>
        </is>
      </c>
      <c r="N272" t="inlineStr"/>
      <c r="O272" t="inlineStr">
        <is>
          <t>mods/ca/rules/soviet/vehicles.yaml</t>
        </is>
      </c>
    </row>
    <row r="273">
      <c r="A273" t="inlineStr">
        <is>
          <t>soviet</t>
        </is>
      </c>
      <c r="B273" t="inlineStr">
        <is>
          <t>Heavy_Tank</t>
        </is>
      </c>
      <c r="C273" t="inlineStr">
        <is>
          <t>Heavy Tank</t>
        </is>
      </c>
      <c r="D273" t="inlineStr">
        <is>
          <t>1100</t>
        </is>
      </c>
      <c r="E273" t="inlineStr">
        <is>
          <t>65000</t>
        </is>
      </c>
      <c r="F273" t="inlineStr">
        <is>
          <t>68</t>
        </is>
      </c>
      <c r="G273" t="inlineStr"/>
      <c r="H273" t="inlineStr">
        <is>
          <t>local declaration</t>
        </is>
      </c>
      <c r="I273" t="inlineStr">
        <is>
          <t>~vehicles.russia, radar, ~!upg.heavy_tank</t>
        </is>
      </c>
      <c r="J273" t="inlineStr">
        <is>
          <t>^FightingTankTurreted, ^VoxelTurretedTank, ^BiologicalDriver, ^PrioAntiHeavy</t>
        </is>
      </c>
      <c r="K273" t="inlineStr">
        <is>
          <t>125mm</t>
        </is>
      </c>
      <c r="L273" t="inlineStr"/>
      <c r="M273" t="inlineStr">
        <is>
          <t>scalar design; runtime pending</t>
        </is>
      </c>
      <c r="N273" t="inlineStr">
        <is>
          <t>Soviet Heavy Tank baseline</t>
        </is>
      </c>
      <c r="O273" t="inlineStr">
        <is>
          <t>mods/ca/rules/soviet/vehicles.yaml</t>
        </is>
      </c>
    </row>
    <row r="274">
      <c r="A274" t="inlineStr">
        <is>
          <t>soviet</t>
        </is>
      </c>
      <c r="B274" t="inlineStr">
        <is>
          <t>Heavy_Tank.AP</t>
        </is>
      </c>
      <c r="C274" t="inlineStr">
        <is>
          <t>Heavy Tank (AP)</t>
        </is>
      </c>
      <c r="D274" t="inlineStr">
        <is>
          <t>1300</t>
        </is>
      </c>
      <c r="E274" t="inlineStr"/>
      <c r="F274" t="inlineStr"/>
      <c r="G274" t="inlineStr"/>
      <c r="H274" t="inlineStr">
        <is>
          <t>local declaration</t>
        </is>
      </c>
      <c r="I274" t="inlineStr">
        <is>
          <t>~vehicles.russia, radar, ~promotion.heavy_tank.ap, ~!upg.heavy_tank2</t>
        </is>
      </c>
      <c r="J274" t="inlineStr">
        <is>
          <t>Heavy_Tank</t>
        </is>
      </c>
      <c r="K274" t="inlineStr">
        <is>
          <t>125mm.AP</t>
        </is>
      </c>
      <c r="L274" t="inlineStr"/>
      <c r="M274" t="inlineStr">
        <is>
          <t>not modeled; inspection required</t>
        </is>
      </c>
      <c r="N274" t="inlineStr"/>
      <c r="O274" t="inlineStr">
        <is>
          <t>mods/ca/rules/soviet/vehicles.yaml</t>
        </is>
      </c>
    </row>
    <row r="275">
      <c r="A275" t="inlineStr">
        <is>
          <t>soviet</t>
        </is>
      </c>
      <c r="B275" t="inlineStr">
        <is>
          <t>Heavy_Tank.AP.PDL</t>
        </is>
      </c>
      <c r="C275" t="inlineStr">
        <is>
          <t>Heavy Tank (AP, PDL)</t>
        </is>
      </c>
      <c r="D275" t="inlineStr">
        <is>
          <t>1650</t>
        </is>
      </c>
      <c r="E275" t="inlineStr"/>
      <c r="F275" t="inlineStr"/>
      <c r="G275" t="inlineStr"/>
      <c r="H275" t="inlineStr">
        <is>
          <t>local declaration</t>
        </is>
      </c>
      <c r="I275" t="inlineStr">
        <is>
          <t>~vehicles.russia, tier3, ~promotion.heavy_tank.pdl, ~promotion.heavy_tank.ap</t>
        </is>
      </c>
      <c r="J275" t="inlineStr">
        <is>
          <t>Heavy_Tank.AP, ^PointLaserDefenseSystem</t>
        </is>
      </c>
      <c r="K275" t="inlineStr"/>
      <c r="L275" t="inlineStr"/>
      <c r="M275" t="inlineStr">
        <is>
          <t>not modeled; inspection required</t>
        </is>
      </c>
      <c r="N275" t="inlineStr"/>
      <c r="O275" t="inlineStr">
        <is>
          <t>mods/ca/rules/soviet/vehicles.yaml</t>
        </is>
      </c>
    </row>
    <row r="276">
      <c r="A276" t="inlineStr">
        <is>
          <t>soviet</t>
        </is>
      </c>
      <c r="B276" t="inlineStr">
        <is>
          <t>Heavy_Tank.AP.Reflector</t>
        </is>
      </c>
      <c r="C276" t="inlineStr">
        <is>
          <t>Heavy Tank (AP, Reflector)</t>
        </is>
      </c>
      <c r="D276" t="inlineStr"/>
      <c r="E276" t="inlineStr"/>
      <c r="F276" t="inlineStr"/>
      <c r="G276" t="inlineStr"/>
      <c r="H276" t="inlineStr">
        <is>
          <t>local declaration</t>
        </is>
      </c>
      <c r="I276" t="inlineStr">
        <is>
          <t>~vehicles.russia, tier3, ~promotion.heavy_tank.reflector, ~promotion.heavy_tank.ap</t>
        </is>
      </c>
      <c r="J276" t="inlineStr">
        <is>
          <t>Heavy_Tank.AP, ^ReflectorArmor</t>
        </is>
      </c>
      <c r="K276" t="inlineStr"/>
      <c r="L276" t="inlineStr"/>
      <c r="M276" t="inlineStr">
        <is>
          <t>not modeled; inspection required</t>
        </is>
      </c>
      <c r="N276" t="inlineStr"/>
      <c r="O276" t="inlineStr">
        <is>
          <t>mods/ca/rules/soviet/vehicles.yaml</t>
        </is>
      </c>
    </row>
    <row r="277">
      <c r="A277" t="inlineStr">
        <is>
          <t>soviet</t>
        </is>
      </c>
      <c r="B277" t="inlineStr">
        <is>
          <t>Heavy_Tank.Tesla</t>
        </is>
      </c>
      <c r="C277" t="inlineStr">
        <is>
          <t>Heavy Tank (Tesla Defense)</t>
        </is>
      </c>
      <c r="D277" t="inlineStr">
        <is>
          <t>1300</t>
        </is>
      </c>
      <c r="E277" t="inlineStr"/>
      <c r="F277" t="inlineStr"/>
      <c r="G277" t="inlineStr"/>
      <c r="H277" t="inlineStr">
        <is>
          <t>local declaration</t>
        </is>
      </c>
      <c r="I277" t="inlineStr">
        <is>
          <t>~vehicles.russia, radar, ~promotion.heavy_tank.tesla, ~!upg.heavy_tank2</t>
        </is>
      </c>
      <c r="J277" t="inlineStr">
        <is>
          <t>Heavy_Tank, ^TeslaDefense</t>
        </is>
      </c>
      <c r="K277" t="inlineStr">
        <is>
          <t>125mm.short</t>
        </is>
      </c>
      <c r="L277" t="inlineStr">
        <is>
          <t>special attacks</t>
        </is>
      </c>
      <c r="M277" t="inlineStr">
        <is>
          <t>not modeled; inspection required</t>
        </is>
      </c>
      <c r="N277" t="inlineStr"/>
      <c r="O277" t="inlineStr">
        <is>
          <t>mods/ca/rules/soviet/vehicles.yaml</t>
        </is>
      </c>
    </row>
    <row r="278">
      <c r="A278" t="inlineStr">
        <is>
          <t>soviet</t>
        </is>
      </c>
      <c r="B278" t="inlineStr">
        <is>
          <t>Heavy_Tank.Tesla.PDL</t>
        </is>
      </c>
      <c r="C278" t="inlineStr">
        <is>
          <t>Heavy Tank (Tesla Defense, PDL)</t>
        </is>
      </c>
      <c r="D278" t="inlineStr">
        <is>
          <t>1650</t>
        </is>
      </c>
      <c r="E278" t="inlineStr"/>
      <c r="F278" t="inlineStr"/>
      <c r="G278" t="inlineStr"/>
      <c r="H278" t="inlineStr">
        <is>
          <t>local declaration</t>
        </is>
      </c>
      <c r="I278" t="inlineStr">
        <is>
          <t>~vehicles.russia, tier3, ~promotion.heavy_tank.tesla, ~promotion.heavy_tank.pdl</t>
        </is>
      </c>
      <c r="J278" t="inlineStr">
        <is>
          <t>Heavy_Tank.Tesla, ^PointLaserDefenseSystem</t>
        </is>
      </c>
      <c r="K278" t="inlineStr"/>
      <c r="L278" t="inlineStr"/>
      <c r="M278" t="inlineStr">
        <is>
          <t>not modeled; inspection required</t>
        </is>
      </c>
      <c r="N278" t="inlineStr"/>
      <c r="O278" t="inlineStr">
        <is>
          <t>mods/ca/rules/soviet/vehicles.yaml</t>
        </is>
      </c>
    </row>
    <row r="279">
      <c r="A279" t="inlineStr">
        <is>
          <t>soviet</t>
        </is>
      </c>
      <c r="B279" t="inlineStr">
        <is>
          <t>Heavy_Tank.Tesla.Reflector</t>
        </is>
      </c>
      <c r="C279" t="inlineStr">
        <is>
          <t>Heavy Tank (Tesla Defense, Reflector)</t>
        </is>
      </c>
      <c r="D279" t="inlineStr"/>
      <c r="E279" t="inlineStr"/>
      <c r="F279" t="inlineStr"/>
      <c r="G279" t="inlineStr"/>
      <c r="H279" t="inlineStr">
        <is>
          <t>local declaration</t>
        </is>
      </c>
      <c r="I279" t="inlineStr">
        <is>
          <t>~vehicles.russia, tier3, ~promotion.heavy_tank.tesla, ~promotion.heavy_tank.reflector</t>
        </is>
      </c>
      <c r="J279" t="inlineStr">
        <is>
          <t>Heavy_Tank.Tesla, ^ReflectorArmor</t>
        </is>
      </c>
      <c r="K279" t="inlineStr"/>
      <c r="L279" t="inlineStr"/>
      <c r="M279" t="inlineStr">
        <is>
          <t>not modeled; inspection required</t>
        </is>
      </c>
      <c r="N279" t="inlineStr"/>
      <c r="O279" t="inlineStr">
        <is>
          <t>mods/ca/rules/soviet/vehicles.yaml</t>
        </is>
      </c>
    </row>
    <row r="280">
      <c r="A280" t="inlineStr">
        <is>
          <t>soviet</t>
        </is>
      </c>
      <c r="B280" t="inlineStr">
        <is>
          <t>TTNK</t>
        </is>
      </c>
      <c r="C280" t="inlineStr">
        <is>
          <t>Tesla Tank</t>
        </is>
      </c>
      <c r="D280" t="inlineStr">
        <is>
          <t>1150</t>
        </is>
      </c>
      <c r="E280" t="inlineStr">
        <is>
          <t>38000</t>
        </is>
      </c>
      <c r="F280" t="inlineStr">
        <is>
          <t>113</t>
        </is>
      </c>
      <c r="G280" t="inlineStr"/>
      <c r="H280" t="inlineStr">
        <is>
          <t>local declaration</t>
        </is>
      </c>
      <c r="I280" t="inlineStr">
        <is>
          <t>~vehicles.soviet, dome, ~!promotion.tesla_arc</t>
        </is>
      </c>
      <c r="J280" t="inlineStr">
        <is>
          <t>^FightingVehicle, ^BiologicalDriver, ^TeslaUnit, ^PrioEnergyWeapon, ^VoxelVehicle</t>
        </is>
      </c>
      <c r="K280" t="inlineStr">
        <is>
          <t>TTankZap</t>
        </is>
      </c>
      <c r="L280" t="inlineStr">
        <is>
          <t>special attacks</t>
        </is>
      </c>
      <c r="M280" t="inlineStr">
        <is>
          <t>not modeled; inspection required</t>
        </is>
      </c>
      <c r="N280" t="inlineStr"/>
      <c r="O280" t="inlineStr">
        <is>
          <t>mods/ca/rules/soviet/vehicles.yaml</t>
        </is>
      </c>
    </row>
    <row r="281">
      <c r="A281" t="inlineStr">
        <is>
          <t>soviet</t>
        </is>
      </c>
      <c r="B281" t="inlineStr">
        <is>
          <t>TTNK.Arc</t>
        </is>
      </c>
      <c r="C281" t="inlineStr">
        <is>
          <t>Tesla Tank (Arc)</t>
        </is>
      </c>
      <c r="D281" t="inlineStr">
        <is>
          <t>1200</t>
        </is>
      </c>
      <c r="E281" t="inlineStr"/>
      <c r="F281" t="inlineStr"/>
      <c r="G281" t="inlineStr"/>
      <c r="H281" t="inlineStr">
        <is>
          <t>local declaration</t>
        </is>
      </c>
      <c r="I281" t="inlineStr">
        <is>
          <t>~vehicles.soviet, dome, ~promotion.tesla_arc</t>
        </is>
      </c>
      <c r="J281" t="inlineStr">
        <is>
          <t>TTNK</t>
        </is>
      </c>
      <c r="K281" t="inlineStr">
        <is>
          <t>TTankZap.Arc</t>
        </is>
      </c>
      <c r="L281" t="inlineStr"/>
      <c r="M281" t="inlineStr">
        <is>
          <t>not modeled; inspection required</t>
        </is>
      </c>
      <c r="N281" t="inlineStr"/>
      <c r="O281" t="inlineStr">
        <is>
          <t>mods/ca/rules/soviet/vehicles.yaml</t>
        </is>
      </c>
    </row>
    <row r="282">
      <c r="A282" t="inlineStr">
        <is>
          <t>soviet</t>
        </is>
      </c>
      <c r="B282" t="inlineStr">
        <is>
          <t>TTNK.RA2</t>
        </is>
      </c>
      <c r="C282" t="inlineStr">
        <is>
          <t>Heavy Tesla Tank</t>
        </is>
      </c>
      <c r="D282" t="inlineStr">
        <is>
          <t>1350</t>
        </is>
      </c>
      <c r="E282" t="inlineStr">
        <is>
          <t>48000</t>
        </is>
      </c>
      <c r="F282" t="inlineStr">
        <is>
          <t>100</t>
        </is>
      </c>
      <c r="G282" t="inlineStr"/>
      <c r="H282" t="inlineStr">
        <is>
          <t>local declaration</t>
        </is>
      </c>
      <c r="I282" t="inlineStr">
        <is>
          <t>dome, ~vehicles.russia, ~!promotion.tesla_arc</t>
        </is>
      </c>
      <c r="J282" t="inlineStr">
        <is>
          <t>^FightingTankTurreted, ^TDVehicleSprite, ^TeslaUnit, ^HighResShadow, ^BiologicalDriver, ^PrioEnergyWeapon</t>
        </is>
      </c>
      <c r="K282" t="inlineStr">
        <is>
          <t>TTankZapMK2</t>
        </is>
      </c>
      <c r="L282" t="inlineStr">
        <is>
          <t>special attacks</t>
        </is>
      </c>
      <c r="M282" t="inlineStr">
        <is>
          <t>scalar design; runtime pending</t>
        </is>
      </c>
      <c r="N282" t="inlineStr">
        <is>
          <t>Heavy Tesla Tank baseline</t>
        </is>
      </c>
      <c r="O282" t="inlineStr">
        <is>
          <t>mods/ca/rules/soviet/vehicles.yaml</t>
        </is>
      </c>
    </row>
    <row r="283">
      <c r="A283" t="inlineStr">
        <is>
          <t>soviet</t>
        </is>
      </c>
      <c r="B283" t="inlineStr">
        <is>
          <t>TTNK.RA2.Arc</t>
        </is>
      </c>
      <c r="C283" t="inlineStr">
        <is>
          <t>Heavy Tesla Tank (Arc)</t>
        </is>
      </c>
      <c r="D283" t="inlineStr">
        <is>
          <t>1400</t>
        </is>
      </c>
      <c r="E283" t="inlineStr"/>
      <c r="F283" t="inlineStr"/>
      <c r="G283" t="inlineStr"/>
      <c r="H283" t="inlineStr">
        <is>
          <t>local declaration</t>
        </is>
      </c>
      <c r="I283" t="inlineStr">
        <is>
          <t>~vehicles.russia, dome, ~promotion.tesla_arc</t>
        </is>
      </c>
      <c r="J283" t="inlineStr">
        <is>
          <t>TTNK.RA2</t>
        </is>
      </c>
      <c r="K283" t="inlineStr">
        <is>
          <t>TTankZapMK2.Arc</t>
        </is>
      </c>
      <c r="L283" t="inlineStr"/>
      <c r="M283" t="inlineStr">
        <is>
          <t>not modeled; inspection required</t>
        </is>
      </c>
      <c r="N283" t="inlineStr"/>
      <c r="O283" t="inlineStr">
        <is>
          <t>mods/ca/rules/soviet/vehicles.yaml</t>
        </is>
      </c>
    </row>
    <row r="284">
      <c r="A284" t="inlineStr">
        <is>
          <t>soviet</t>
        </is>
      </c>
      <c r="B284" t="inlineStr">
        <is>
          <t>Source_of_Pollution</t>
        </is>
      </c>
      <c r="C284" t="inlineStr">
        <is>
          <t>Source of Pollution</t>
        </is>
      </c>
      <c r="D284" t="inlineStr">
        <is>
          <t>1600</t>
        </is>
      </c>
      <c r="E284" t="inlineStr">
        <is>
          <t>88000</t>
        </is>
      </c>
      <c r="F284" t="inlineStr">
        <is>
          <t>52</t>
        </is>
      </c>
      <c r="G284" t="inlineStr">
        <is>
          <t>heavytracked</t>
        </is>
      </c>
      <c r="H284" t="inlineStr">
        <is>
          <t>local declaration</t>
        </is>
      </c>
      <c r="I284" t="inlineStr">
        <is>
          <t>radar, ~vehicles.iraq, ~!upg.source_of_pollution</t>
        </is>
      </c>
      <c r="J284" t="inlineStr">
        <is>
          <t>^FightingTankTurreted, ^VoxelTurretedTank, ^BigVehicle, ^BiologicalDriver, ^PrioAntiHeavy</t>
        </is>
      </c>
      <c r="K284" t="inlineStr">
        <is>
          <t>Chem_Shell</t>
        </is>
      </c>
      <c r="L284" t="inlineStr"/>
      <c r="M284" t="inlineStr">
        <is>
          <t>not modeled; inspection required</t>
        </is>
      </c>
      <c r="N284" t="inlineStr"/>
      <c r="O284" t="inlineStr">
        <is>
          <t>mods/ca/rules/soviet/vehicles.yaml</t>
        </is>
      </c>
    </row>
    <row r="285">
      <c r="A285" t="inlineStr">
        <is>
          <t>soviet</t>
        </is>
      </c>
      <c r="B285" t="inlineStr">
        <is>
          <t>Source_of_Pollution.Metal_Acid</t>
        </is>
      </c>
      <c r="C285" t="inlineStr">
        <is>
          <t>Source of Pollution (Metal Acid)</t>
        </is>
      </c>
      <c r="D285" t="inlineStr">
        <is>
          <t>1600</t>
        </is>
      </c>
      <c r="E285" t="inlineStr"/>
      <c r="F285" t="inlineStr"/>
      <c r="G285" t="inlineStr"/>
      <c r="H285" t="inlineStr">
        <is>
          <t>local declaration</t>
        </is>
      </c>
      <c r="I285" t="inlineStr">
        <is>
          <t>tier3, ~vehicles.iraq, ~!upg.source_of_pollution2, ~promotion.source_of_pollution.metal_acid</t>
        </is>
      </c>
      <c r="J285" t="inlineStr">
        <is>
          <t>Source_of_Pollution</t>
        </is>
      </c>
      <c r="K285" t="inlineStr">
        <is>
          <t>Acid_Shell</t>
        </is>
      </c>
      <c r="L285" t="inlineStr"/>
      <c r="M285" t="inlineStr">
        <is>
          <t>not modeled; inspection required</t>
        </is>
      </c>
      <c r="N285" t="inlineStr"/>
      <c r="O285" t="inlineStr">
        <is>
          <t>mods/ca/rules/soviet/vehicles.yaml</t>
        </is>
      </c>
    </row>
    <row r="286">
      <c r="A286" t="inlineStr">
        <is>
          <t>soviet</t>
        </is>
      </c>
      <c r="B286" t="inlineStr">
        <is>
          <t>Source_of_Pollution.Metal_Acid.Reflector</t>
        </is>
      </c>
      <c r="C286" t="inlineStr">
        <is>
          <t>Source of Pollution (Metal Acid, Reflector)</t>
        </is>
      </c>
      <c r="D286" t="inlineStr"/>
      <c r="E286" t="inlineStr"/>
      <c r="F286" t="inlineStr"/>
      <c r="G286" t="inlineStr"/>
      <c r="H286" t="inlineStr">
        <is>
          <t>local declaration</t>
        </is>
      </c>
      <c r="I286" t="inlineStr">
        <is>
          <t>tier3, ~vehicles.iraq, ~promotion.source_of_pollution.metal_acid, ~promotion.source_of_pollution.reflector</t>
        </is>
      </c>
      <c r="J286" t="inlineStr">
        <is>
          <t>Source_of_Pollution.Metal_Acid, ^ReflectorArmor</t>
        </is>
      </c>
      <c r="K286" t="inlineStr"/>
      <c r="L286" t="inlineStr"/>
      <c r="M286" t="inlineStr">
        <is>
          <t>not modeled; inspection required</t>
        </is>
      </c>
      <c r="N286" t="inlineStr"/>
      <c r="O286" t="inlineStr">
        <is>
          <t>mods/ca/rules/soviet/vehicles.yaml</t>
        </is>
      </c>
    </row>
    <row r="287">
      <c r="A287" t="inlineStr">
        <is>
          <t>soviet</t>
        </is>
      </c>
      <c r="B287" t="inlineStr">
        <is>
          <t>Source_of_Pollution.Metal_Acid.PDL</t>
        </is>
      </c>
      <c r="C287" t="inlineStr">
        <is>
          <t>Source of Pollution (Metal Acid, PDL)</t>
        </is>
      </c>
      <c r="D287" t="inlineStr">
        <is>
          <t>2100</t>
        </is>
      </c>
      <c r="E287" t="inlineStr"/>
      <c r="F287" t="inlineStr"/>
      <c r="G287" t="inlineStr"/>
      <c r="H287" t="inlineStr">
        <is>
          <t>local declaration</t>
        </is>
      </c>
      <c r="I287" t="inlineStr">
        <is>
          <t>tier3, ~vehicles.iraq, ~promotion.source_of_pollution.metal_acid, ~promotion.source_of_pollution.pdl</t>
        </is>
      </c>
      <c r="J287" t="inlineStr">
        <is>
          <t>Source_of_Pollution.Metal_Acid, ^PointLaserDefenseSystem</t>
        </is>
      </c>
      <c r="K287" t="inlineStr"/>
      <c r="L287" t="inlineStr"/>
      <c r="M287" t="inlineStr">
        <is>
          <t>not modeled; inspection required</t>
        </is>
      </c>
      <c r="N287" t="inlineStr"/>
      <c r="O287" t="inlineStr">
        <is>
          <t>mods/ca/rules/soviet/vehicles.yaml</t>
        </is>
      </c>
    </row>
    <row r="288">
      <c r="A288" t="inlineStr">
        <is>
          <t>soviet</t>
        </is>
      </c>
      <c r="B288" t="inlineStr">
        <is>
          <t>Source_of_Pollution.Chem_Spray</t>
        </is>
      </c>
      <c r="C288" t="inlineStr">
        <is>
          <t>Source of Pollution (Chem Spray)</t>
        </is>
      </c>
      <c r="D288" t="inlineStr">
        <is>
          <t>1600</t>
        </is>
      </c>
      <c r="E288" t="inlineStr"/>
      <c r="F288" t="inlineStr"/>
      <c r="G288" t="inlineStr"/>
      <c r="H288" t="inlineStr">
        <is>
          <t>local declaration</t>
        </is>
      </c>
      <c r="I288" t="inlineStr">
        <is>
          <t>tier3, ~vehicles.iraq, ~!upg.source_of_pollution2, ~promotion.source_of_pollution.chem_spray</t>
        </is>
      </c>
      <c r="J288" t="inlineStr">
        <is>
          <t>Source_of_Pollution</t>
        </is>
      </c>
      <c r="K288" t="inlineStr">
        <is>
          <t>Chem_Spray_Big</t>
        </is>
      </c>
      <c r="L288" t="inlineStr"/>
      <c r="M288" t="inlineStr">
        <is>
          <t>not modeled; inspection required</t>
        </is>
      </c>
      <c r="N288" t="inlineStr"/>
      <c r="O288" t="inlineStr">
        <is>
          <t>mods/ca/rules/soviet/vehicles.yaml</t>
        </is>
      </c>
    </row>
    <row r="289">
      <c r="A289" t="inlineStr">
        <is>
          <t>soviet</t>
        </is>
      </c>
      <c r="B289" t="inlineStr">
        <is>
          <t>Source_of_Pollution.Chem_Spray.Reflector</t>
        </is>
      </c>
      <c r="C289" t="inlineStr">
        <is>
          <t>Source of Pollution (Chem Spray, Reflector)</t>
        </is>
      </c>
      <c r="D289" t="inlineStr"/>
      <c r="E289" t="inlineStr"/>
      <c r="F289" t="inlineStr"/>
      <c r="G289" t="inlineStr"/>
      <c r="H289" t="inlineStr">
        <is>
          <t>local declaration</t>
        </is>
      </c>
      <c r="I289" t="inlineStr">
        <is>
          <t>tier3, ~vehicles.iraq, ~promotion.source_of_pollution.chem_spray, ~promotion.source_of_pollution.reflector</t>
        </is>
      </c>
      <c r="J289" t="inlineStr">
        <is>
          <t>Source_of_Pollution.Chem_Spray, ^ReflectorArmor</t>
        </is>
      </c>
      <c r="K289" t="inlineStr"/>
      <c r="L289" t="inlineStr"/>
      <c r="M289" t="inlineStr">
        <is>
          <t>not modeled; inspection required</t>
        </is>
      </c>
      <c r="N289" t="inlineStr"/>
      <c r="O289" t="inlineStr">
        <is>
          <t>mods/ca/rules/soviet/vehicles.yaml</t>
        </is>
      </c>
    </row>
    <row r="290">
      <c r="A290" t="inlineStr">
        <is>
          <t>soviet</t>
        </is>
      </c>
      <c r="B290" t="inlineStr">
        <is>
          <t>Source_of_Pollution.Chem_Spray.PDL</t>
        </is>
      </c>
      <c r="C290" t="inlineStr">
        <is>
          <t>Source of Pollution (Chem Spray, PDL)</t>
        </is>
      </c>
      <c r="D290" t="inlineStr">
        <is>
          <t>2100</t>
        </is>
      </c>
      <c r="E290" t="inlineStr"/>
      <c r="F290" t="inlineStr"/>
      <c r="G290" t="inlineStr"/>
      <c r="H290" t="inlineStr">
        <is>
          <t>local declaration</t>
        </is>
      </c>
      <c r="I290" t="inlineStr">
        <is>
          <t>tier3, ~vehicles.iraq, ~promotion.source_of_pollution.chem_spray, ~promotion.source_of_pollution.pdl</t>
        </is>
      </c>
      <c r="J290" t="inlineStr">
        <is>
          <t>Source_of_Pollution.Chem_Spray, ^PointLaserDefenseSystem</t>
        </is>
      </c>
      <c r="K290" t="inlineStr"/>
      <c r="L290" t="inlineStr"/>
      <c r="M290" t="inlineStr">
        <is>
          <t>not modeled; inspection required</t>
        </is>
      </c>
      <c r="N290" t="inlineStr"/>
      <c r="O290" t="inlineStr">
        <is>
          <t>mods/ca/rules/soviet/vehicles.yaml</t>
        </is>
      </c>
    </row>
    <row r="291">
      <c r="A291" t="inlineStr">
        <is>
          <t>soviet</t>
        </is>
      </c>
      <c r="B291" t="inlineStr">
        <is>
          <t>Source_of_Pollution.Chem_Bomb</t>
        </is>
      </c>
      <c r="C291" t="inlineStr">
        <is>
          <t>Source of Pollution (Chem Bomb)</t>
        </is>
      </c>
      <c r="D291" t="inlineStr">
        <is>
          <t>1600</t>
        </is>
      </c>
      <c r="E291" t="inlineStr"/>
      <c r="F291" t="inlineStr"/>
      <c r="G291" t="inlineStr"/>
      <c r="H291" t="inlineStr">
        <is>
          <t>local declaration</t>
        </is>
      </c>
      <c r="I291" t="inlineStr">
        <is>
          <t>tier3, ~vehicles.iraq, ~!upg.source_of_pollution2, ~promotion.source_of_pollution.chem_bomb</t>
        </is>
      </c>
      <c r="J291" t="inlineStr">
        <is>
          <t>Source_of_Pollution</t>
        </is>
      </c>
      <c r="K291" t="inlineStr">
        <is>
          <t>Chem_Bomb</t>
        </is>
      </c>
      <c r="L291" t="inlineStr"/>
      <c r="M291" t="inlineStr">
        <is>
          <t>not modeled; inspection required</t>
        </is>
      </c>
      <c r="N291" t="inlineStr"/>
      <c r="O291" t="inlineStr">
        <is>
          <t>mods/ca/rules/soviet/vehicles.yaml</t>
        </is>
      </c>
    </row>
    <row r="292">
      <c r="A292" t="inlineStr">
        <is>
          <t>soviet</t>
        </is>
      </c>
      <c r="B292" t="inlineStr">
        <is>
          <t>Source_of_Pollution.Chem_Bomb.Reflector</t>
        </is>
      </c>
      <c r="C292" t="inlineStr">
        <is>
          <t>Source of Pollution (Chem Bomb, Reflector)</t>
        </is>
      </c>
      <c r="D292" t="inlineStr"/>
      <c r="E292" t="inlineStr"/>
      <c r="F292" t="inlineStr"/>
      <c r="G292" t="inlineStr"/>
      <c r="H292" t="inlineStr">
        <is>
          <t>local declaration</t>
        </is>
      </c>
      <c r="I292" t="inlineStr">
        <is>
          <t>tier3, ~vehicles.iraq, ~promotion.source_of_pollution.chem_bomb, ~promotion.source_of_pollution.reflector</t>
        </is>
      </c>
      <c r="J292" t="inlineStr">
        <is>
          <t>Source_of_Pollution.Chem_Bomb, ^ReflectorArmor</t>
        </is>
      </c>
      <c r="K292" t="inlineStr"/>
      <c r="L292" t="inlineStr"/>
      <c r="M292" t="inlineStr">
        <is>
          <t>not modeled; inspection required</t>
        </is>
      </c>
      <c r="N292" t="inlineStr"/>
      <c r="O292" t="inlineStr">
        <is>
          <t>mods/ca/rules/soviet/vehicles.yaml</t>
        </is>
      </c>
    </row>
    <row r="293">
      <c r="A293" t="inlineStr">
        <is>
          <t>soviet</t>
        </is>
      </c>
      <c r="B293" t="inlineStr">
        <is>
          <t>Source_of_Pollution.Chem_Bomb.PDL</t>
        </is>
      </c>
      <c r="C293" t="inlineStr">
        <is>
          <t>Source of Pollution (Chem Bomb, PDL)</t>
        </is>
      </c>
      <c r="D293" t="inlineStr">
        <is>
          <t>2100</t>
        </is>
      </c>
      <c r="E293" t="inlineStr"/>
      <c r="F293" t="inlineStr"/>
      <c r="G293" t="inlineStr"/>
      <c r="H293" t="inlineStr">
        <is>
          <t>local declaration</t>
        </is>
      </c>
      <c r="I293" t="inlineStr">
        <is>
          <t>tier3, ~vehicles.iraq, ~promotion.source_of_pollution.chem_bomb, ~promotion.source_of_pollution.pdl</t>
        </is>
      </c>
      <c r="J293" t="inlineStr">
        <is>
          <t>Source_of_Pollution.Chem_Bomb, ^PointLaserDefenseSystem</t>
        </is>
      </c>
      <c r="K293" t="inlineStr"/>
      <c r="L293" t="inlineStr"/>
      <c r="M293" t="inlineStr">
        <is>
          <t>not modeled; inspection required</t>
        </is>
      </c>
      <c r="N293" t="inlineStr"/>
      <c r="O293" t="inlineStr">
        <is>
          <t>mods/ca/rules/soviet/vehicles.yaml</t>
        </is>
      </c>
    </row>
    <row r="294">
      <c r="A294" t="inlineStr">
        <is>
          <t>soviet</t>
        </is>
      </c>
      <c r="B294" t="inlineStr">
        <is>
          <t>ISU</t>
        </is>
      </c>
      <c r="C294" t="inlineStr">
        <is>
          <t>ISU-152</t>
        </is>
      </c>
      <c r="D294" t="inlineStr">
        <is>
          <t>1600</t>
        </is>
      </c>
      <c r="E294" t="inlineStr">
        <is>
          <t>65000</t>
        </is>
      </c>
      <c r="F294" t="inlineStr">
        <is>
          <t>56</t>
        </is>
      </c>
      <c r="G294" t="inlineStr">
        <is>
          <t>heavytracked</t>
        </is>
      </c>
      <c r="H294" t="inlineStr">
        <is>
          <t>local declaration</t>
        </is>
      </c>
      <c r="I294" t="inlineStr">
        <is>
          <t>radar, ~vehicles.nkorea, ~!upg.isu</t>
        </is>
      </c>
      <c r="J294" t="inlineStr">
        <is>
          <t>^FightingTank, ^BigVehicle, ^HighResShadow, ^BiologicalDriver, ^SovietArtillery, ^PrioArtillery, ^ClusterWarheads</t>
        </is>
      </c>
      <c r="K294" t="inlineStr">
        <is>
          <t>152mm, 152mm.Cluster_Upgrade</t>
        </is>
      </c>
      <c r="L294" t="inlineStr">
        <is>
          <t>multiple/conditional armaments</t>
        </is>
      </c>
      <c r="M294" t="inlineStr">
        <is>
          <t>not modeled; inspection required</t>
        </is>
      </c>
      <c r="N294" t="inlineStr"/>
      <c r="O294" t="inlineStr">
        <is>
          <t>mods/ca/rules/soviet/vehicles.yaml</t>
        </is>
      </c>
    </row>
    <row r="295">
      <c r="A295" t="inlineStr">
        <is>
          <t>soviet</t>
        </is>
      </c>
      <c r="B295" t="inlineStr">
        <is>
          <t>ISU.Concussion</t>
        </is>
      </c>
      <c r="C295" t="inlineStr">
        <is>
          <t>ISU-152 (Concussion)</t>
        </is>
      </c>
      <c r="D295" t="inlineStr"/>
      <c r="E295" t="inlineStr"/>
      <c r="F295" t="inlineStr"/>
      <c r="G295" t="inlineStr"/>
      <c r="H295" t="inlineStr">
        <is>
          <t>local declaration</t>
        </is>
      </c>
      <c r="I295" t="inlineStr">
        <is>
          <t>radar, ~vehicles.nkorea, ~promotion.isu.concussion, ~!upg.isu2</t>
        </is>
      </c>
      <c r="J295" t="inlineStr">
        <is>
          <t>ISU</t>
        </is>
      </c>
      <c r="K295" t="inlineStr">
        <is>
          <t>152mm.Concussion, 152mm.Concussion.Cluster_Upgrade</t>
        </is>
      </c>
      <c r="L295" t="inlineStr">
        <is>
          <t>multiple/conditional armaments</t>
        </is>
      </c>
      <c r="M295" t="inlineStr">
        <is>
          <t>not modeled; inspection required</t>
        </is>
      </c>
      <c r="N295" t="inlineStr"/>
      <c r="O295" t="inlineStr">
        <is>
          <t>mods/ca/rules/soviet/vehicles.yaml</t>
        </is>
      </c>
    </row>
    <row r="296">
      <c r="A296" t="inlineStr">
        <is>
          <t>soviet</t>
        </is>
      </c>
      <c r="B296" t="inlineStr">
        <is>
          <t>ISU.Concussion.Reflector</t>
        </is>
      </c>
      <c r="C296" t="inlineStr">
        <is>
          <t>ISU-152 (Concussion, Reflector)</t>
        </is>
      </c>
      <c r="D296" t="inlineStr"/>
      <c r="E296" t="inlineStr"/>
      <c r="F296" t="inlineStr"/>
      <c r="G296" t="inlineStr"/>
      <c r="H296" t="inlineStr">
        <is>
          <t>local declaration</t>
        </is>
      </c>
      <c r="I296" t="inlineStr">
        <is>
          <t>tier3, ~vehicles.nkorea, ~promotion.isu.concussion, ~promotion.isu.reflector</t>
        </is>
      </c>
      <c r="J296" t="inlineStr">
        <is>
          <t>ISU.Concussion, ^ReflectorArmor</t>
        </is>
      </c>
      <c r="K296" t="inlineStr"/>
      <c r="L296" t="inlineStr"/>
      <c r="M296" t="inlineStr">
        <is>
          <t>not modeled; inspection required</t>
        </is>
      </c>
      <c r="N296" t="inlineStr"/>
      <c r="O296" t="inlineStr">
        <is>
          <t>mods/ca/rules/soviet/vehicles.yaml</t>
        </is>
      </c>
    </row>
    <row r="297">
      <c r="A297" t="inlineStr">
        <is>
          <t>soviet</t>
        </is>
      </c>
      <c r="B297" t="inlineStr">
        <is>
          <t>ISU.Concussion.PDL</t>
        </is>
      </c>
      <c r="C297" t="inlineStr">
        <is>
          <t>ISU-152 (Concussion, PDL)</t>
        </is>
      </c>
      <c r="D297" t="inlineStr">
        <is>
          <t>2100</t>
        </is>
      </c>
      <c r="E297" t="inlineStr"/>
      <c r="F297" t="inlineStr"/>
      <c r="G297" t="inlineStr"/>
      <c r="H297" t="inlineStr">
        <is>
          <t>local declaration</t>
        </is>
      </c>
      <c r="I297" t="inlineStr">
        <is>
          <t>tier3, ~vehicles.nkorea, ~promotion.isu.pdl, ~promotion.isu.concussion</t>
        </is>
      </c>
      <c r="J297" t="inlineStr">
        <is>
          <t>ISU.Concussion, ^PointLaserDefenseSystem</t>
        </is>
      </c>
      <c r="K297" t="inlineStr"/>
      <c r="L297" t="inlineStr"/>
      <c r="M297" t="inlineStr">
        <is>
          <t>not modeled; inspection required</t>
        </is>
      </c>
      <c r="N297" t="inlineStr"/>
      <c r="O297" t="inlineStr">
        <is>
          <t>mods/ca/rules/soviet/vehicles.yaml</t>
        </is>
      </c>
    </row>
    <row r="298">
      <c r="A298" t="inlineStr">
        <is>
          <t>soviet</t>
        </is>
      </c>
      <c r="B298" t="inlineStr">
        <is>
          <t>ISU.Cluster</t>
        </is>
      </c>
      <c r="C298" t="inlineStr">
        <is>
          <t>ISU-152 (Cluster)</t>
        </is>
      </c>
      <c r="D298" t="inlineStr"/>
      <c r="E298" t="inlineStr"/>
      <c r="F298" t="inlineStr"/>
      <c r="G298" t="inlineStr"/>
      <c r="H298" t="inlineStr">
        <is>
          <t>local declaration</t>
        </is>
      </c>
      <c r="I298" t="inlineStr">
        <is>
          <t>radar, ~vehicles.nkorea, ~promotion.isu.cluster, ~!upg.isu2</t>
        </is>
      </c>
      <c r="J298" t="inlineStr">
        <is>
          <t>ISU</t>
        </is>
      </c>
      <c r="K298" t="inlineStr">
        <is>
          <t>152mm.Cluster, 152mm.Cluster.Cluster_Upgrade</t>
        </is>
      </c>
      <c r="L298" t="inlineStr">
        <is>
          <t>multiple/conditional armaments</t>
        </is>
      </c>
      <c r="M298" t="inlineStr">
        <is>
          <t>not modeled; inspection required</t>
        </is>
      </c>
      <c r="N298" t="inlineStr"/>
      <c r="O298" t="inlineStr">
        <is>
          <t>mods/ca/rules/soviet/vehicles.yaml</t>
        </is>
      </c>
    </row>
    <row r="299">
      <c r="A299" t="inlineStr">
        <is>
          <t>soviet</t>
        </is>
      </c>
      <c r="B299" t="inlineStr">
        <is>
          <t>ISU.Cluster.Reflector</t>
        </is>
      </c>
      <c r="C299" t="inlineStr">
        <is>
          <t>ISU-152 (Cluster, Reflector)</t>
        </is>
      </c>
      <c r="D299" t="inlineStr"/>
      <c r="E299" t="inlineStr"/>
      <c r="F299" t="inlineStr"/>
      <c r="G299" t="inlineStr"/>
      <c r="H299" t="inlineStr">
        <is>
          <t>local declaration</t>
        </is>
      </c>
      <c r="I299" t="inlineStr">
        <is>
          <t>tier3, ~vehicles.nkorea, ~promotion.isu.reflector, ~promotion.isu.cluster</t>
        </is>
      </c>
      <c r="J299" t="inlineStr">
        <is>
          <t>ISU.Cluster, ^ReflectorArmor</t>
        </is>
      </c>
      <c r="K299" t="inlineStr"/>
      <c r="L299" t="inlineStr"/>
      <c r="M299" t="inlineStr">
        <is>
          <t>not modeled; inspection required</t>
        </is>
      </c>
      <c r="N299" t="inlineStr"/>
      <c r="O299" t="inlineStr">
        <is>
          <t>mods/ca/rules/soviet/vehicles.yaml</t>
        </is>
      </c>
    </row>
    <row r="300">
      <c r="A300" t="inlineStr">
        <is>
          <t>soviet</t>
        </is>
      </c>
      <c r="B300" t="inlineStr">
        <is>
          <t>ISU.Cluster.PDL</t>
        </is>
      </c>
      <c r="C300" t="inlineStr">
        <is>
          <t>ISU-152 (Cluster, PDL)</t>
        </is>
      </c>
      <c r="D300" t="inlineStr">
        <is>
          <t>2100</t>
        </is>
      </c>
      <c r="E300" t="inlineStr"/>
      <c r="F300" t="inlineStr"/>
      <c r="G300" t="inlineStr"/>
      <c r="H300" t="inlineStr">
        <is>
          <t>local declaration</t>
        </is>
      </c>
      <c r="I300" t="inlineStr">
        <is>
          <t>tier3, ~vehicles.nkorea, ~promotion.isu.pdl, ~promotion.isu.cluster</t>
        </is>
      </c>
      <c r="J300" t="inlineStr">
        <is>
          <t>ISU.Cluster, ^PointLaserDefenseSystem</t>
        </is>
      </c>
      <c r="K300" t="inlineStr"/>
      <c r="L300" t="inlineStr"/>
      <c r="M300" t="inlineStr">
        <is>
          <t>not modeled; inspection required</t>
        </is>
      </c>
      <c r="N300" t="inlineStr"/>
      <c r="O300" t="inlineStr">
        <is>
          <t>mods/ca/rules/soviet/vehicles.yaml</t>
        </is>
      </c>
    </row>
    <row r="301">
      <c r="A301" t="inlineStr">
        <is>
          <t>soviet</t>
        </is>
      </c>
      <c r="B301" t="inlineStr">
        <is>
          <t>ISU.AP</t>
        </is>
      </c>
      <c r="C301" t="inlineStr">
        <is>
          <t>ISU-152 (AP)</t>
        </is>
      </c>
      <c r="D301" t="inlineStr"/>
      <c r="E301" t="inlineStr"/>
      <c r="F301" t="inlineStr"/>
      <c r="G301" t="inlineStr"/>
      <c r="H301" t="inlineStr">
        <is>
          <t>local declaration</t>
        </is>
      </c>
      <c r="I301" t="inlineStr">
        <is>
          <t>radar, ~vehicles.nkorea, ~promotion.isu.ap, ~!upg.isu2</t>
        </is>
      </c>
      <c r="J301" t="inlineStr">
        <is>
          <t>ISU</t>
        </is>
      </c>
      <c r="K301" t="inlineStr">
        <is>
          <t>152mm.AP, 152mm.AP.Cluster_Upgrade</t>
        </is>
      </c>
      <c r="L301" t="inlineStr">
        <is>
          <t>multiple/conditional armaments</t>
        </is>
      </c>
      <c r="M301" t="inlineStr">
        <is>
          <t>not modeled; inspection required</t>
        </is>
      </c>
      <c r="N301" t="inlineStr"/>
      <c r="O301" t="inlineStr">
        <is>
          <t>mods/ca/rules/soviet/vehicles.yaml</t>
        </is>
      </c>
    </row>
    <row r="302">
      <c r="A302" t="inlineStr">
        <is>
          <t>soviet</t>
        </is>
      </c>
      <c r="B302" t="inlineStr">
        <is>
          <t>ISU.AP.Reflector</t>
        </is>
      </c>
      <c r="C302" t="inlineStr">
        <is>
          <t>ISU-152 (AP, Reflector)</t>
        </is>
      </c>
      <c r="D302" t="inlineStr"/>
      <c r="E302" t="inlineStr"/>
      <c r="F302" t="inlineStr"/>
      <c r="G302" t="inlineStr"/>
      <c r="H302" t="inlineStr">
        <is>
          <t>local declaration</t>
        </is>
      </c>
      <c r="I302" t="inlineStr">
        <is>
          <t>tier3, ~vehicles.nkorea, ~promotion.isu.ap, ~promotion.isu.reflector</t>
        </is>
      </c>
      <c r="J302" t="inlineStr">
        <is>
          <t>ISU.AP, ^ReflectorArmor</t>
        </is>
      </c>
      <c r="K302" t="inlineStr"/>
      <c r="L302" t="inlineStr"/>
      <c r="M302" t="inlineStr">
        <is>
          <t>not modeled; inspection required</t>
        </is>
      </c>
      <c r="N302" t="inlineStr"/>
      <c r="O302" t="inlineStr">
        <is>
          <t>mods/ca/rules/soviet/vehicles.yaml</t>
        </is>
      </c>
    </row>
    <row r="303">
      <c r="A303" t="inlineStr">
        <is>
          <t>soviet</t>
        </is>
      </c>
      <c r="B303" t="inlineStr">
        <is>
          <t>ISU.AP.PDL</t>
        </is>
      </c>
      <c r="C303" t="inlineStr">
        <is>
          <t>ISU-152 (AP, PDL)</t>
        </is>
      </c>
      <c r="D303" t="inlineStr">
        <is>
          <t>2100</t>
        </is>
      </c>
      <c r="E303" t="inlineStr"/>
      <c r="F303" t="inlineStr"/>
      <c r="G303" t="inlineStr"/>
      <c r="H303" t="inlineStr">
        <is>
          <t>local declaration</t>
        </is>
      </c>
      <c r="I303" t="inlineStr">
        <is>
          <t>tier3, ~vehicles.nkorea, ~promotion.isu.ap, ~promotion.isu.pdl</t>
        </is>
      </c>
      <c r="J303" t="inlineStr">
        <is>
          <t>ISU.AP, ^PointLaserDefenseSystem</t>
        </is>
      </c>
      <c r="K303" t="inlineStr"/>
      <c r="L303" t="inlineStr"/>
      <c r="M303" t="inlineStr">
        <is>
          <t>not modeled; inspection required</t>
        </is>
      </c>
      <c r="N303" t="inlineStr"/>
      <c r="O303" t="inlineStr">
        <is>
          <t>mods/ca/rules/soviet/vehicles.yaml</t>
        </is>
      </c>
    </row>
    <row r="304">
      <c r="A304" t="inlineStr">
        <is>
          <t>soviet</t>
        </is>
      </c>
      <c r="B304" t="inlineStr">
        <is>
          <t>apoc</t>
        </is>
      </c>
      <c r="C304" t="inlineStr">
        <is>
          <t>Apocalypse Tank</t>
        </is>
      </c>
      <c r="D304" t="inlineStr">
        <is>
          <t>1700</t>
        </is>
      </c>
      <c r="E304" t="inlineStr">
        <is>
          <t>78000</t>
        </is>
      </c>
      <c r="F304" t="inlineStr">
        <is>
          <t>52</t>
        </is>
      </c>
      <c r="G304" t="inlineStr">
        <is>
          <t>heavytracked</t>
        </is>
      </c>
      <c r="H304" t="inlineStr">
        <is>
          <t>local declaration</t>
        </is>
      </c>
      <c r="I304" t="inlineStr">
        <is>
          <t>radar, ~vehicles.russia, ~!upg.apocalypse_tank</t>
        </is>
      </c>
      <c r="J304" t="inlineStr">
        <is>
          <t>^FightingTankTurreted, ^VoxelTurretedTank, ^BigVehicle, ^BiologicalDriver, ^PrioAntiHeavyAA</t>
        </is>
      </c>
      <c r="K304" t="inlineStr">
        <is>
          <t>130mm, MammothTusk</t>
        </is>
      </c>
      <c r="L304" t="inlineStr">
        <is>
          <t>multiple/conditional armaments</t>
        </is>
      </c>
      <c r="M304" t="inlineStr">
        <is>
          <t>not modeled; inspection required</t>
        </is>
      </c>
      <c r="N304" t="inlineStr"/>
      <c r="O304" t="inlineStr">
        <is>
          <t>mods/ca/rules/soviet/vehicles.yaml</t>
        </is>
      </c>
    </row>
    <row r="305">
      <c r="A305" t="inlineStr">
        <is>
          <t>soviet</t>
        </is>
      </c>
      <c r="B305" t="inlineStr">
        <is>
          <t>apoc.Speaker</t>
        </is>
      </c>
      <c r="C305" t="inlineStr">
        <is>
          <t>Apocalypse Tank (Propaganda)</t>
        </is>
      </c>
      <c r="D305" t="inlineStr">
        <is>
          <t>2000</t>
        </is>
      </c>
      <c r="E305" t="inlineStr">
        <is>
          <t>88000</t>
        </is>
      </c>
      <c r="F305" t="inlineStr"/>
      <c r="G305" t="inlineStr"/>
      <c r="H305" t="inlineStr">
        <is>
          <t>local declaration</t>
        </is>
      </c>
      <c r="I305" t="inlineStr">
        <is>
          <t>tier3, ~vehicles.russia, ~promotion.apocalypse_tank.propaganda, ~!upg.apocalypse_tank2</t>
        </is>
      </c>
      <c r="J305" t="inlineStr">
        <is>
          <t>apoc, ^PropagandaSpeaker</t>
        </is>
      </c>
      <c r="K305" t="inlineStr"/>
      <c r="L305" t="inlineStr">
        <is>
          <t>special attacks</t>
        </is>
      </c>
      <c r="M305" t="inlineStr">
        <is>
          <t>not modeled; inspection required</t>
        </is>
      </c>
      <c r="N305" t="inlineStr"/>
      <c r="O305" t="inlineStr">
        <is>
          <t>mods/ca/rules/soviet/vehicles.yaml</t>
        </is>
      </c>
    </row>
    <row r="306">
      <c r="A306" t="inlineStr">
        <is>
          <t>soviet</t>
        </is>
      </c>
      <c r="B306" t="inlineStr">
        <is>
          <t>apoc.Speaker.Reflector</t>
        </is>
      </c>
      <c r="C306" t="inlineStr">
        <is>
          <t>Apocalypse Tank (Propaganda, Reflector)</t>
        </is>
      </c>
      <c r="D306" t="inlineStr"/>
      <c r="E306" t="inlineStr"/>
      <c r="F306" t="inlineStr"/>
      <c r="G306" t="inlineStr"/>
      <c r="H306" t="inlineStr">
        <is>
          <t>local declaration</t>
        </is>
      </c>
      <c r="I306" t="inlineStr">
        <is>
          <t>tier3, ~vehicles.russia, ~promotion.apocalypse_tank.propaganda, ~promotion.apocalypse_tank.reflector</t>
        </is>
      </c>
      <c r="J306" t="inlineStr">
        <is>
          <t>apoc.Speaker, ^ReflectorArmor</t>
        </is>
      </c>
      <c r="K306" t="inlineStr"/>
      <c r="L306" t="inlineStr"/>
      <c r="M306" t="inlineStr">
        <is>
          <t>not modeled; inspection required</t>
        </is>
      </c>
      <c r="N306" t="inlineStr"/>
      <c r="O306" t="inlineStr">
        <is>
          <t>mods/ca/rules/soviet/vehicles.yaml</t>
        </is>
      </c>
    </row>
    <row r="307">
      <c r="A307" t="inlineStr">
        <is>
          <t>soviet</t>
        </is>
      </c>
      <c r="B307" t="inlineStr">
        <is>
          <t>apoc.Speaker.PDL</t>
        </is>
      </c>
      <c r="C307" t="inlineStr">
        <is>
          <t>Apocalypse Tank (Propaganda, PDL)</t>
        </is>
      </c>
      <c r="D307" t="inlineStr">
        <is>
          <t>2200</t>
        </is>
      </c>
      <c r="E307" t="inlineStr"/>
      <c r="F307" t="inlineStr"/>
      <c r="G307" t="inlineStr"/>
      <c r="H307" t="inlineStr">
        <is>
          <t>local declaration</t>
        </is>
      </c>
      <c r="I307" t="inlineStr">
        <is>
          <t>tier3, ~vehicles.russia, ~promotion.apocalypse_tank.pdl, ~promotion.apocalypse_tank.propaganda</t>
        </is>
      </c>
      <c r="J307" t="inlineStr">
        <is>
          <t>apoc.Speaker, ^PointLaserDefenseSystem</t>
        </is>
      </c>
      <c r="K307" t="inlineStr"/>
      <c r="L307" t="inlineStr"/>
      <c r="M307" t="inlineStr">
        <is>
          <t>not modeled; inspection required</t>
        </is>
      </c>
      <c r="N307" t="inlineStr"/>
      <c r="O307" t="inlineStr">
        <is>
          <t>mods/ca/rules/soviet/vehicles.yaml</t>
        </is>
      </c>
    </row>
    <row r="308">
      <c r="A308" t="inlineStr">
        <is>
          <t>soviet</t>
        </is>
      </c>
      <c r="B308" t="inlineStr">
        <is>
          <t>apoc.Nuke</t>
        </is>
      </c>
      <c r="C308" t="inlineStr">
        <is>
          <t>Apocalypse Tank (Nuke Shells)</t>
        </is>
      </c>
      <c r="D308" t="inlineStr">
        <is>
          <t>2500</t>
        </is>
      </c>
      <c r="E308" t="inlineStr">
        <is>
          <t>88000</t>
        </is>
      </c>
      <c r="F308" t="inlineStr"/>
      <c r="G308" t="inlineStr"/>
      <c r="H308" t="inlineStr">
        <is>
          <t>local declaration</t>
        </is>
      </c>
      <c r="I308" t="inlineStr">
        <is>
          <t>tier3, ~vehicles.russia, ~promotion.apocalypse_tank.nuke_shells, ~!upg.apocalypse_tank2</t>
        </is>
      </c>
      <c r="J308" t="inlineStr">
        <is>
          <t>apoc, ^PrioAntiLight</t>
        </is>
      </c>
      <c r="K308" t="inlineStr">
        <is>
          <t>130mm.Nuke</t>
        </is>
      </c>
      <c r="L308" t="inlineStr"/>
      <c r="M308" t="inlineStr">
        <is>
          <t>not modeled; inspection required</t>
        </is>
      </c>
      <c r="N308" t="inlineStr"/>
      <c r="O308" t="inlineStr">
        <is>
          <t>mods/ca/rules/soviet/vehicles.yaml</t>
        </is>
      </c>
    </row>
    <row r="309">
      <c r="A309" t="inlineStr">
        <is>
          <t>soviet</t>
        </is>
      </c>
      <c r="B309" t="inlineStr">
        <is>
          <t>apoc.Nuke.Reflector</t>
        </is>
      </c>
      <c r="C309" t="inlineStr">
        <is>
          <t>Apocalypse Tank (Nuke Shells, Reflector)</t>
        </is>
      </c>
      <c r="D309" t="inlineStr"/>
      <c r="E309" t="inlineStr"/>
      <c r="F309" t="inlineStr"/>
      <c r="G309" t="inlineStr"/>
      <c r="H309" t="inlineStr">
        <is>
          <t>local declaration</t>
        </is>
      </c>
      <c r="I309" t="inlineStr">
        <is>
          <t>tier3, ~vehicles.russia, ~promotion.apocalypse_tank.nuke_shells, ~promotion.apocalypse_tank.reflector</t>
        </is>
      </c>
      <c r="J309" t="inlineStr">
        <is>
          <t>apoc.Nuke, ^ReflectorArmor</t>
        </is>
      </c>
      <c r="K309" t="inlineStr"/>
      <c r="L309" t="inlineStr"/>
      <c r="M309" t="inlineStr">
        <is>
          <t>not modeled; inspection required</t>
        </is>
      </c>
      <c r="N309" t="inlineStr"/>
      <c r="O309" t="inlineStr">
        <is>
          <t>mods/ca/rules/soviet/vehicles.yaml</t>
        </is>
      </c>
    </row>
    <row r="310">
      <c r="A310" t="inlineStr">
        <is>
          <t>soviet</t>
        </is>
      </c>
      <c r="B310" t="inlineStr">
        <is>
          <t>apoc.Nuke.PDL</t>
        </is>
      </c>
      <c r="C310" t="inlineStr">
        <is>
          <t>Apocalypse Tank (Nuke Shells, PDL)</t>
        </is>
      </c>
      <c r="D310" t="inlineStr">
        <is>
          <t>3000</t>
        </is>
      </c>
      <c r="E310" t="inlineStr"/>
      <c r="F310" t="inlineStr"/>
      <c r="G310" t="inlineStr"/>
      <c r="H310" t="inlineStr">
        <is>
          <t>local declaration</t>
        </is>
      </c>
      <c r="I310" t="inlineStr">
        <is>
          <t>tier3, ~vehicles.russia, ~promotion.apocalypse_tank.pdl, ~promotion.apocalypse_tank.nuke_shells</t>
        </is>
      </c>
      <c r="J310" t="inlineStr">
        <is>
          <t>apoc.Nuke, ^PointLaserDefenseSystem</t>
        </is>
      </c>
      <c r="K310" t="inlineStr"/>
      <c r="L310" t="inlineStr"/>
      <c r="M310" t="inlineStr">
        <is>
          <t>not modeled; inspection required</t>
        </is>
      </c>
      <c r="N310" t="inlineStr"/>
      <c r="O310" t="inlineStr">
        <is>
          <t>mods/ca/rules/soviet/vehicles.yaml</t>
        </is>
      </c>
    </row>
    <row r="311">
      <c r="A311" t="inlineStr">
        <is>
          <t>soviet</t>
        </is>
      </c>
      <c r="B311" t="inlineStr">
        <is>
          <t>apoc.Drozd</t>
        </is>
      </c>
      <c r="C311" t="inlineStr">
        <is>
          <t>Apocalypse Tank (Drozd)</t>
        </is>
      </c>
      <c r="D311" t="inlineStr">
        <is>
          <t>2000</t>
        </is>
      </c>
      <c r="E311" t="inlineStr">
        <is>
          <t>95000</t>
        </is>
      </c>
      <c r="F311" t="inlineStr"/>
      <c r="G311" t="inlineStr"/>
      <c r="H311" t="inlineStr">
        <is>
          <t>local declaration</t>
        </is>
      </c>
      <c r="I311" t="inlineStr">
        <is>
          <t>tier3, ~vehicles.russia, ~promotion.apocalypse_tank.drozd, ~!upg.apocalypse_tank2</t>
        </is>
      </c>
      <c r="J311" t="inlineStr">
        <is>
          <t>apoc, ^PrioEnergyWeapon</t>
        </is>
      </c>
      <c r="K311" t="inlineStr">
        <is>
          <t>DrozdChaff</t>
        </is>
      </c>
      <c r="L311" t="inlineStr"/>
      <c r="M311" t="inlineStr">
        <is>
          <t>not modeled; inspection required</t>
        </is>
      </c>
      <c r="N311" t="inlineStr"/>
      <c r="O311" t="inlineStr">
        <is>
          <t>mods/ca/rules/soviet/vehicles.yaml</t>
        </is>
      </c>
    </row>
    <row r="312">
      <c r="A312" t="inlineStr">
        <is>
          <t>soviet</t>
        </is>
      </c>
      <c r="B312" t="inlineStr">
        <is>
          <t>apoc.Drozd.Reflector</t>
        </is>
      </c>
      <c r="C312" t="inlineStr">
        <is>
          <t>Apocalypse Tank (Drozd, Reflector)</t>
        </is>
      </c>
      <c r="D312" t="inlineStr"/>
      <c r="E312" t="inlineStr"/>
      <c r="F312" t="inlineStr"/>
      <c r="G312" t="inlineStr"/>
      <c r="H312" t="inlineStr">
        <is>
          <t>local declaration</t>
        </is>
      </c>
      <c r="I312" t="inlineStr">
        <is>
          <t>tier3, ~vehicles.russia, ~promotion.apocalypse_tank.drozd,  ~promotion.apocalypse_tank.reflector</t>
        </is>
      </c>
      <c r="J312" t="inlineStr">
        <is>
          <t>apoc.Drozd, ^ReflectorArmor</t>
        </is>
      </c>
      <c r="K312" t="inlineStr"/>
      <c r="L312" t="inlineStr"/>
      <c r="M312" t="inlineStr">
        <is>
          <t>not modeled; inspection required</t>
        </is>
      </c>
      <c r="N312" t="inlineStr"/>
      <c r="O312" t="inlineStr">
        <is>
          <t>mods/ca/rules/soviet/vehicles.yaml</t>
        </is>
      </c>
    </row>
    <row r="313">
      <c r="A313" t="inlineStr">
        <is>
          <t>soviet</t>
        </is>
      </c>
      <c r="B313" t="inlineStr">
        <is>
          <t>apoc.Drozd.PDL</t>
        </is>
      </c>
      <c r="C313" t="inlineStr">
        <is>
          <t>Apocalypse Tank (Drozd, PDL)</t>
        </is>
      </c>
      <c r="D313" t="inlineStr">
        <is>
          <t>2500</t>
        </is>
      </c>
      <c r="E313" t="inlineStr">
        <is>
          <t>88000</t>
        </is>
      </c>
      <c r="F313" t="inlineStr"/>
      <c r="G313" t="inlineStr"/>
      <c r="H313" t="inlineStr">
        <is>
          <t>local declaration</t>
        </is>
      </c>
      <c r="I313" t="inlineStr">
        <is>
          <t>tier3, ~vehicles.russia, ~promotion.apocalypse_tank.pdl, ~promotion.apocalypse_tank.drozd</t>
        </is>
      </c>
      <c r="J313" t="inlineStr">
        <is>
          <t>apoc.Drozd, ^PointLaserDefenseSystem</t>
        </is>
      </c>
      <c r="K313" t="inlineStr"/>
      <c r="L313" t="inlineStr"/>
      <c r="M313" t="inlineStr">
        <is>
          <t>not modeled; inspection required</t>
        </is>
      </c>
      <c r="N313" t="inlineStr"/>
      <c r="O313" t="inlineStr">
        <is>
          <t>mods/ca/rules/soviet/vehicles.yaml</t>
        </is>
      </c>
    </row>
    <row r="314">
      <c r="A314" t="inlineStr">
        <is>
          <t>soviet</t>
        </is>
      </c>
      <c r="B314" t="inlineStr">
        <is>
          <t>Soviet_Miner</t>
        </is>
      </c>
      <c r="C314" t="inlineStr">
        <is>
          <t>Soviet Miner</t>
        </is>
      </c>
      <c r="D314" t="inlineStr">
        <is>
          <t>1400</t>
        </is>
      </c>
      <c r="E314" t="inlineStr">
        <is>
          <t>75000</t>
        </is>
      </c>
      <c r="F314" t="inlineStr">
        <is>
          <t>56</t>
        </is>
      </c>
      <c r="G314" t="inlineStr">
        <is>
          <t>heavywheeled</t>
        </is>
      </c>
      <c r="H314" t="inlineStr">
        <is>
          <t>local declaration</t>
        </is>
      </c>
      <c r="I314" t="inlineStr">
        <is>
          <t>~proc, ~vehicles.soviet</t>
        </is>
      </c>
      <c r="J314" t="inlineStr">
        <is>
          <t>^Tank, ^VoxelHarvester, ^ChinaGatling, ^PrioAntiLightAA</t>
        </is>
      </c>
      <c r="K314" t="inlineStr"/>
      <c r="L314" t="inlineStr">
        <is>
          <t>special attacks</t>
        </is>
      </c>
      <c r="M314" t="inlineStr">
        <is>
          <t>not modeled; inspection required</t>
        </is>
      </c>
      <c r="N314" t="inlineStr"/>
      <c r="O314" t="inlineStr">
        <is>
          <t>mods/ca/rules/soviet/vehicles.yaml</t>
        </is>
      </c>
    </row>
    <row r="315">
      <c r="A315" t="inlineStr">
        <is>
          <t>soviet</t>
        </is>
      </c>
      <c r="B315" t="inlineStr">
        <is>
          <t>QTNK</t>
        </is>
      </c>
      <c r="C315" t="inlineStr">
        <is>
          <t>MAD Tank</t>
        </is>
      </c>
      <c r="D315" t="inlineStr">
        <is>
          <t>1500</t>
        </is>
      </c>
      <c r="E315" t="inlineStr">
        <is>
          <t>90000</t>
        </is>
      </c>
      <c r="F315" t="inlineStr">
        <is>
          <t>56</t>
        </is>
      </c>
      <c r="G315" t="inlineStr"/>
      <c r="H315" t="inlineStr">
        <is>
          <t>local declaration</t>
        </is>
      </c>
      <c r="I315" t="inlineStr">
        <is>
          <t>tier3, ~vehicles.soviet, ~promotion.general_armaggeddon</t>
        </is>
      </c>
      <c r="J315" t="inlineStr">
        <is>
          <t>^Tank, ^TankSupportUnit, ^BiologicalDriver, ^AutoDeployIdler</t>
        </is>
      </c>
      <c r="K315" t="inlineStr"/>
      <c r="L315" t="inlineStr">
        <is>
          <t>transformation/deploy</t>
        </is>
      </c>
      <c r="M315" t="inlineStr">
        <is>
          <t>not modeled; inspection required</t>
        </is>
      </c>
      <c r="N315" t="inlineStr"/>
      <c r="O315" t="inlineStr">
        <is>
          <t>mods/ca/rules/soviet/vehicles.yaml</t>
        </is>
      </c>
    </row>
    <row r="316">
      <c r="A316" t="inlineStr">
        <is>
          <t>soviet</t>
        </is>
      </c>
      <c r="B316" t="inlineStr">
        <is>
          <t>Rice_Cooker</t>
        </is>
      </c>
      <c r="C316" t="inlineStr">
        <is>
          <t>Kim's Giant Rice Cooker</t>
        </is>
      </c>
      <c r="D316" t="inlineStr">
        <is>
          <t>3000</t>
        </is>
      </c>
      <c r="E316" t="inlineStr">
        <is>
          <t>35000</t>
        </is>
      </c>
      <c r="F316" t="inlineStr">
        <is>
          <t>40</t>
        </is>
      </c>
      <c r="G316" t="inlineStr"/>
      <c r="H316" t="inlineStr">
        <is>
          <t>local declaration</t>
        </is>
      </c>
      <c r="I316" t="inlineStr">
        <is>
          <t>indp, ~promotion.rice_cooker</t>
        </is>
      </c>
      <c r="J316" t="inlineStr">
        <is>
          <t>^TurretedTank, ^HighResShadow, ^BigVehicle, ^BiologicalDriver, ^PrioArtillery, ^SovietArtillery</t>
        </is>
      </c>
      <c r="K316" t="inlineStr">
        <is>
          <t>RiceShellLauncher, RicePassengerLauncher</t>
        </is>
      </c>
      <c r="L316" t="inlineStr">
        <is>
          <t>cargo, multiple/conditional armaments</t>
        </is>
      </c>
      <c r="M316" t="inlineStr">
        <is>
          <t>not modeled; inspection required</t>
        </is>
      </c>
      <c r="N316" t="inlineStr"/>
      <c r="O316" t="inlineStr">
        <is>
          <t>mods/ca/rules/soviet/vehicles.yaml</t>
        </is>
      </c>
    </row>
    <row r="317">
      <c r="A317" t="inlineStr">
        <is>
          <t>soviet</t>
        </is>
      </c>
      <c r="B317" t="inlineStr">
        <is>
          <t>Rice_Shell</t>
        </is>
      </c>
      <c r="C317" t="inlineStr">
        <is>
          <t>Rice Cooker Shell</t>
        </is>
      </c>
      <c r="D317" t="inlineStr">
        <is>
          <t>50</t>
        </is>
      </c>
      <c r="E317" t="inlineStr">
        <is>
          <t>25000</t>
        </is>
      </c>
      <c r="F317" t="inlineStr"/>
      <c r="G317" t="inlineStr"/>
      <c r="H317" t="inlineStr">
        <is>
          <t>inherited/unresolved</t>
        </is>
      </c>
      <c r="I317" t="inlineStr"/>
      <c r="J317" t="inlineStr">
        <is>
          <t>^ShootableMissile</t>
        </is>
      </c>
      <c r="K317" t="inlineStr"/>
      <c r="L317" t="inlineStr"/>
      <c r="M317" t="inlineStr">
        <is>
          <t>not modeled; inspection required</t>
        </is>
      </c>
      <c r="N317" t="inlineStr"/>
      <c r="O317" t="inlineStr">
        <is>
          <t>mods/ca/rules/soviet/vehicles.yaml</t>
        </is>
      </c>
    </row>
    <row r="318">
      <c r="A318" t="inlineStr">
        <is>
          <t>soviet</t>
        </is>
      </c>
      <c r="B318" t="inlineStr">
        <is>
          <t>Rice_PassengerShell</t>
        </is>
      </c>
      <c r="C318" t="inlineStr">
        <is>
          <t>Passenger Shell</t>
        </is>
      </c>
      <c r="D318" t="inlineStr">
        <is>
          <t>0</t>
        </is>
      </c>
      <c r="E318" t="inlineStr">
        <is>
          <t>25000</t>
        </is>
      </c>
      <c r="F318" t="inlineStr"/>
      <c r="G318" t="inlineStr"/>
      <c r="H318" t="inlineStr">
        <is>
          <t>inherited/unresolved</t>
        </is>
      </c>
      <c r="I318" t="inlineStr"/>
      <c r="J318" t="inlineStr">
        <is>
          <t>^ShootableMissile</t>
        </is>
      </c>
      <c r="K318" t="inlineStr"/>
      <c r="L318" t="inlineStr"/>
      <c r="M318" t="inlineStr">
        <is>
          <t>not modeled; inspection required</t>
        </is>
      </c>
      <c r="N318" t="inlineStr"/>
      <c r="O318" t="inlineStr">
        <is>
          <t>mods/ca/rules/soviet/vehicles.yaml</t>
        </is>
      </c>
    </row>
    <row r="319">
      <c r="A319" t="inlineStr">
        <is>
          <t>soviet</t>
        </is>
      </c>
      <c r="B319" t="inlineStr">
        <is>
          <t>Gene_Splicer</t>
        </is>
      </c>
      <c r="C319" t="inlineStr">
        <is>
          <t>Gene Splicer</t>
        </is>
      </c>
      <c r="D319" t="inlineStr">
        <is>
          <t>5000</t>
        </is>
      </c>
      <c r="E319" t="inlineStr">
        <is>
          <t>150000</t>
        </is>
      </c>
      <c r="F319" t="inlineStr">
        <is>
          <t>50</t>
        </is>
      </c>
      <c r="G319" t="inlineStr">
        <is>
          <t>sheavytracked</t>
        </is>
      </c>
      <c r="H319" t="inlineStr">
        <is>
          <t>local declaration</t>
        </is>
      </c>
      <c r="I319" t="inlineStr">
        <is>
          <t>~promotion.gene_splicer, cloning_vats</t>
        </is>
      </c>
      <c r="J319" t="inlineStr">
        <is>
          <t>^FightingTankTurreted, ^HighResShadow, ^BigVehicle, ^TurretedWalker, ^BiologicalDriver, ^PrioAntiLightAA</t>
        </is>
      </c>
      <c r="K319" t="inlineStr">
        <is>
          <t>GeneSpliceBeam1, GeneSpliceBeam2, GeneSpliceBeam3, GeneSpliceBeam4</t>
        </is>
      </c>
      <c r="L319" t="inlineStr">
        <is>
          <t>multiple/conditional armaments</t>
        </is>
      </c>
      <c r="M319" t="inlineStr">
        <is>
          <t>not modeled; inspection required</t>
        </is>
      </c>
      <c r="N319" t="inlineStr"/>
      <c r="O319" t="inlineStr">
        <is>
          <t>mods/ca/rules/soviet/vehicles.yaml</t>
        </is>
      </c>
    </row>
    <row r="320">
      <c r="A320" t="inlineStr">
        <is>
          <t>soviet</t>
        </is>
      </c>
      <c r="B320" t="inlineStr">
        <is>
          <t>Tsar_Tank</t>
        </is>
      </c>
      <c r="C320" t="inlineStr">
        <is>
          <t>Tsar Tank</t>
        </is>
      </c>
      <c r="D320" t="inlineStr">
        <is>
          <t>8000</t>
        </is>
      </c>
      <c r="E320" t="inlineStr">
        <is>
          <t>150000</t>
        </is>
      </c>
      <c r="F320" t="inlineStr">
        <is>
          <t>45</t>
        </is>
      </c>
      <c r="G320" t="inlineStr">
        <is>
          <t>sheavytracked</t>
        </is>
      </c>
      <c r="H320" t="inlineStr">
        <is>
          <t>local declaration</t>
        </is>
      </c>
      <c r="I320" t="inlineStr">
        <is>
          <t>radar, ~vehicles.russia, ~promotion.tsar</t>
        </is>
      </c>
      <c r="J320" t="inlineStr">
        <is>
          <t>^FightingTankTurreted, ^VoxelTurretedTank, ^TeslaUnit, ^BiologicalDriver, ^BigVehicle, ^PrioAntiHeavy</t>
        </is>
      </c>
      <c r="K320" t="inlineStr">
        <is>
          <t>150mm.Tsar, TeslaBall.Tsar</t>
        </is>
      </c>
      <c r="L320" t="inlineStr">
        <is>
          <t>transformation/deploy, special attacks, multiple/conditional armaments</t>
        </is>
      </c>
      <c r="M320" t="inlineStr">
        <is>
          <t>not modeled; inspection required</t>
        </is>
      </c>
      <c r="N320" t="inlineStr"/>
      <c r="O320" t="inlineStr">
        <is>
          <t>mods/ca/rules/soviet/vehicles.yaml</t>
        </is>
      </c>
    </row>
    <row r="321">
      <c r="A321" t="inlineStr">
        <is>
          <t>soviet</t>
        </is>
      </c>
      <c r="B321" t="inlineStr">
        <is>
          <t>MCV.Soviet</t>
        </is>
      </c>
      <c r="C321" t="inlineStr"/>
      <c r="D321" t="inlineStr"/>
      <c r="E321" t="inlineStr"/>
      <c r="F321" t="inlineStr"/>
      <c r="G321" t="inlineStr"/>
      <c r="H321" t="inlineStr">
        <is>
          <t>local declaration</t>
        </is>
      </c>
      <c r="I321" t="inlineStr">
        <is>
          <t>fix, vehicles, ~structures.soviet</t>
        </is>
      </c>
      <c r="J321" t="inlineStr">
        <is>
          <t>MCV</t>
        </is>
      </c>
      <c r="K321" t="inlineStr"/>
      <c r="L321" t="inlineStr">
        <is>
          <t>transformation/deploy</t>
        </is>
      </c>
      <c r="M321" t="inlineStr">
        <is>
          <t>not modeled; inspection required</t>
        </is>
      </c>
      <c r="N321" t="inlineStr"/>
      <c r="O321" t="inlineStr">
        <is>
          <t>mods/ca/rules/soviet/vehicles.yaml</t>
        </is>
      </c>
    </row>
    <row r="322">
      <c r="A322" t="inlineStr">
        <is>
          <t>soviet</t>
        </is>
      </c>
      <c r="B322" t="inlineStr">
        <is>
          <t>MCV.Nukular.Soviet</t>
        </is>
      </c>
      <c r="C322" t="inlineStr"/>
      <c r="D322" t="inlineStr"/>
      <c r="E322" t="inlineStr"/>
      <c r="F322" t="inlineStr"/>
      <c r="G322" t="inlineStr"/>
      <c r="H322" t="inlineStr">
        <is>
          <t>removed locally</t>
        </is>
      </c>
      <c r="I322" t="inlineStr"/>
      <c r="J322" t="inlineStr">
        <is>
          <t>MCV.Soviet, ^NukularConyard</t>
        </is>
      </c>
      <c r="K322" t="inlineStr"/>
      <c r="L322" t="inlineStr">
        <is>
          <t>transformation/deploy</t>
        </is>
      </c>
      <c r="M322" t="inlineStr">
        <is>
          <t>not modeled; inspection required</t>
        </is>
      </c>
      <c r="N322" t="inlineStr"/>
      <c r="O322" t="inlineStr">
        <is>
          <t>mods/ca/rules/soviet/vehicles.yaml</t>
        </is>
      </c>
    </row>
    <row r="323">
      <c r="A323" t="inlineStr">
        <is>
          <t>scrin</t>
        </is>
      </c>
      <c r="B323" t="inlineStr">
        <is>
          <t>Channeler</t>
        </is>
      </c>
      <c r="C323" t="inlineStr">
        <is>
          <t>Channeler Tank</t>
        </is>
      </c>
      <c r="D323" t="inlineStr">
        <is>
          <t>1350</t>
        </is>
      </c>
      <c r="E323" t="inlineStr">
        <is>
          <t>45000</t>
        </is>
      </c>
      <c r="F323" t="inlineStr">
        <is>
          <t>61</t>
        </is>
      </c>
      <c r="G323" t="inlineStr"/>
      <c r="H323" t="inlineStr">
        <is>
          <t>local declaration</t>
        </is>
      </c>
      <c r="I323" t="inlineStr">
        <is>
          <t>tier2, vehicles, ~harvester, ~!upg.channeler</t>
        </is>
      </c>
      <c r="J323" t="inlineStr">
        <is>
          <t>^FightingTankTurreted, ^HoverVehicle, ^ScrinSpriteRA2, ^BiologicalDriver, ^ScrinLightsBig, ^PrioAntiHeavy</t>
        </is>
      </c>
      <c r="K323" t="inlineStr">
        <is>
          <t>RiftCannon</t>
        </is>
      </c>
      <c r="L323" t="inlineStr">
        <is>
          <t>hover/amphibious</t>
        </is>
      </c>
      <c r="M323" t="inlineStr">
        <is>
          <t>not modeled; inspection required</t>
        </is>
      </c>
      <c r="N323" t="inlineStr"/>
      <c r="O323" t="inlineStr">
        <is>
          <t>mods/ca/rules/scrin/vehicles.yaml</t>
        </is>
      </c>
    </row>
    <row r="324">
      <c r="A324" t="inlineStr">
        <is>
          <t>scrin</t>
        </is>
      </c>
      <c r="B324" t="inlineStr">
        <is>
          <t>Channeler.chain</t>
        </is>
      </c>
      <c r="C324" t="inlineStr">
        <is>
          <t>Chainneler Tank</t>
        </is>
      </c>
      <c r="D324" t="inlineStr">
        <is>
          <t>1500</t>
        </is>
      </c>
      <c r="E324" t="inlineStr"/>
      <c r="F324" t="inlineStr"/>
      <c r="G324" t="inlineStr"/>
      <c r="H324" t="inlineStr">
        <is>
          <t>local declaration</t>
        </is>
      </c>
      <c r="I324" t="inlineStr">
        <is>
          <t>tier2, vehicles, ~harvester, ~promotion.channeler.chain, ~!upg.channeler2</t>
        </is>
      </c>
      <c r="J324" t="inlineStr">
        <is>
          <t>Channeler</t>
        </is>
      </c>
      <c r="K324" t="inlineStr">
        <is>
          <t>RiftCannon.chain</t>
        </is>
      </c>
      <c r="L324" t="inlineStr"/>
      <c r="M324" t="inlineStr">
        <is>
          <t>not modeled; inspection required</t>
        </is>
      </c>
      <c r="N324" t="inlineStr"/>
      <c r="O324" t="inlineStr">
        <is>
          <t>mods/ca/rules/scrin/vehicles.yaml</t>
        </is>
      </c>
    </row>
    <row r="325">
      <c r="A325" t="inlineStr">
        <is>
          <t>scrin</t>
        </is>
      </c>
      <c r="B325" t="inlineStr">
        <is>
          <t>Channeler.disc</t>
        </is>
      </c>
      <c r="C325" t="inlineStr">
        <is>
          <t>Disc Channeler Tank</t>
        </is>
      </c>
      <c r="D325" t="inlineStr">
        <is>
          <t>1350</t>
        </is>
      </c>
      <c r="E325" t="inlineStr">
        <is>
          <t>55000</t>
        </is>
      </c>
      <c r="F325" t="inlineStr">
        <is>
          <t>75</t>
        </is>
      </c>
      <c r="G325" t="inlineStr"/>
      <c r="H325" t="inlineStr">
        <is>
          <t>local declaration</t>
        </is>
      </c>
      <c r="I325" t="inlineStr">
        <is>
          <t>tier2, vehicles, ~harvester, ~promotion.channeler.disc, ~!upg.channeler2</t>
        </is>
      </c>
      <c r="J325" t="inlineStr">
        <is>
          <t>Channeler</t>
        </is>
      </c>
      <c r="K325" t="inlineStr">
        <is>
          <t>DarkDiscCannon</t>
        </is>
      </c>
      <c r="L325" t="inlineStr"/>
      <c r="M325" t="inlineStr">
        <is>
          <t>not modeled; inspection required</t>
        </is>
      </c>
      <c r="N325" t="inlineStr"/>
      <c r="O325" t="inlineStr">
        <is>
          <t>mods/ca/rules/scrin/vehicles.yaml</t>
        </is>
      </c>
    </row>
    <row r="326">
      <c r="A326" t="inlineStr">
        <is>
          <t>scrin</t>
        </is>
      </c>
      <c r="B326" t="inlineStr">
        <is>
          <t>Channeler.disc.reflector</t>
        </is>
      </c>
      <c r="C326" t="inlineStr">
        <is>
          <t>Disc Channeler Tank (Reflector)</t>
        </is>
      </c>
      <c r="D326" t="inlineStr"/>
      <c r="E326" t="inlineStr"/>
      <c r="F326" t="inlineStr"/>
      <c r="G326" t="inlineStr"/>
      <c r="H326" t="inlineStr">
        <is>
          <t>local declaration</t>
        </is>
      </c>
      <c r="I326" t="inlineStr">
        <is>
          <t>tier3, vehicles, ~harvester, ~promotion.channeler.disc, ~promotion.channeler.reflector</t>
        </is>
      </c>
      <c r="J326" t="inlineStr">
        <is>
          <t>Channeler.disc, ^ReflectorArmor</t>
        </is>
      </c>
      <c r="K326" t="inlineStr"/>
      <c r="L326" t="inlineStr"/>
      <c r="M326" t="inlineStr">
        <is>
          <t>not modeled; inspection required</t>
        </is>
      </c>
      <c r="N326" t="inlineStr"/>
      <c r="O326" t="inlineStr">
        <is>
          <t>mods/ca/rules/scrin/vehicles.yaml</t>
        </is>
      </c>
    </row>
    <row r="327">
      <c r="A327" t="inlineStr">
        <is>
          <t>scrin</t>
        </is>
      </c>
      <c r="B327" t="inlineStr">
        <is>
          <t>Channeler.disc.pdl</t>
        </is>
      </c>
      <c r="C327" t="inlineStr">
        <is>
          <t>Disc Channeler Tank (PDL)</t>
        </is>
      </c>
      <c r="D327" t="inlineStr">
        <is>
          <t>1850</t>
        </is>
      </c>
      <c r="E327" t="inlineStr"/>
      <c r="F327" t="inlineStr"/>
      <c r="G327" t="inlineStr"/>
      <c r="H327" t="inlineStr">
        <is>
          <t>local declaration</t>
        </is>
      </c>
      <c r="I327" t="inlineStr">
        <is>
          <t>tier3, vehicles, ~harvester, ~promotion.channeler.disc, ~promotion.channeler.pdl</t>
        </is>
      </c>
      <c r="J327" t="inlineStr">
        <is>
          <t>Channeler.disc, ^PointLaserDefenseSystem</t>
        </is>
      </c>
      <c r="K327" t="inlineStr"/>
      <c r="L327" t="inlineStr"/>
      <c r="M327" t="inlineStr">
        <is>
          <t>not modeled; inspection required</t>
        </is>
      </c>
      <c r="N327" t="inlineStr"/>
      <c r="O327" t="inlineStr">
        <is>
          <t>mods/ca/rules/scrin/vehicles.yaml</t>
        </is>
      </c>
    </row>
    <row r="328">
      <c r="A328" t="inlineStr">
        <is>
          <t>scrin</t>
        </is>
      </c>
      <c r="B328" t="inlineStr">
        <is>
          <t>Channeler.chain.reflector</t>
        </is>
      </c>
      <c r="C328" t="inlineStr">
        <is>
          <t>Chainneler Tank (Reflector)</t>
        </is>
      </c>
      <c r="D328" t="inlineStr"/>
      <c r="E328" t="inlineStr"/>
      <c r="F328" t="inlineStr"/>
      <c r="G328" t="inlineStr"/>
      <c r="H328" t="inlineStr">
        <is>
          <t>local declaration</t>
        </is>
      </c>
      <c r="I328" t="inlineStr">
        <is>
          <t>tier3, vehicles, ~harvester, ~promotion.channeler.chain, ~promotion.channeler.reflector</t>
        </is>
      </c>
      <c r="J328" t="inlineStr">
        <is>
          <t>Channeler.chain, ^ReflectorArmor</t>
        </is>
      </c>
      <c r="K328" t="inlineStr"/>
      <c r="L328" t="inlineStr"/>
      <c r="M328" t="inlineStr">
        <is>
          <t>not modeled; inspection required</t>
        </is>
      </c>
      <c r="N328" t="inlineStr"/>
      <c r="O328" t="inlineStr">
        <is>
          <t>mods/ca/rules/scrin/vehicles.yaml</t>
        </is>
      </c>
    </row>
    <row r="329">
      <c r="A329" t="inlineStr">
        <is>
          <t>scrin</t>
        </is>
      </c>
      <c r="B329" t="inlineStr">
        <is>
          <t>Channeler.chain.pdl</t>
        </is>
      </c>
      <c r="C329" t="inlineStr">
        <is>
          <t>Chainneler Tank (PDL)</t>
        </is>
      </c>
      <c r="D329" t="inlineStr">
        <is>
          <t>2000</t>
        </is>
      </c>
      <c r="E329" t="inlineStr"/>
      <c r="F329" t="inlineStr"/>
      <c r="G329" t="inlineStr"/>
      <c r="H329" t="inlineStr">
        <is>
          <t>local declaration</t>
        </is>
      </c>
      <c r="I329" t="inlineStr">
        <is>
          <t>tier3, vehicles, ~harvester, ~promotion.channeler.chain, ~promotion.channeler.pdl</t>
        </is>
      </c>
      <c r="J329" t="inlineStr">
        <is>
          <t>Channeler.chain, ^PointLaserDefenseSystem</t>
        </is>
      </c>
      <c r="K329" t="inlineStr"/>
      <c r="L329" t="inlineStr"/>
      <c r="M329" t="inlineStr">
        <is>
          <t>not modeled; inspection required</t>
        </is>
      </c>
      <c r="N329" t="inlineStr"/>
      <c r="O329" t="inlineStr">
        <is>
          <t>mods/ca/rules/scrin/vehicles.yaml</t>
        </is>
      </c>
    </row>
    <row r="330">
      <c r="A330" t="inlineStr">
        <is>
          <t>scrin</t>
        </is>
      </c>
      <c r="B330" t="inlineStr">
        <is>
          <t>HARV.Scrin</t>
        </is>
      </c>
      <c r="C330" t="inlineStr">
        <is>
          <t>Harvester</t>
        </is>
      </c>
      <c r="D330" t="inlineStr">
        <is>
          <t>1400</t>
        </is>
      </c>
      <c r="E330" t="inlineStr">
        <is>
          <t>75000</t>
        </is>
      </c>
      <c r="F330" t="inlineStr">
        <is>
          <t>56</t>
        </is>
      </c>
      <c r="G330" t="inlineStr"/>
      <c r="H330" t="inlineStr">
        <is>
          <t>local declaration</t>
        </is>
      </c>
      <c r="I330" t="inlineStr">
        <is>
          <t>~proc.scrin, vehicles, ~scrin</t>
        </is>
      </c>
      <c r="J330" t="inlineStr">
        <is>
          <t>^Tank, ^LightHoverVehicle, ^ScrinSpriteRA2, ^ScrinLightsBig, ^Harvester</t>
        </is>
      </c>
      <c r="K330" t="inlineStr"/>
      <c r="L330" t="inlineStr"/>
      <c r="M330" t="inlineStr">
        <is>
          <t>not modeled; inspection required</t>
        </is>
      </c>
      <c r="N330" t="inlineStr"/>
      <c r="O330" t="inlineStr">
        <is>
          <t>mods/ca/rules/scrin/vehicles.yaml</t>
        </is>
      </c>
    </row>
    <row r="331">
      <c r="A331" t="inlineStr">
        <is>
          <t>scrin</t>
        </is>
      </c>
      <c r="B331" t="inlineStr">
        <is>
          <t>GUNW</t>
        </is>
      </c>
      <c r="C331" t="inlineStr">
        <is>
          <t>Gun Walker</t>
        </is>
      </c>
      <c r="D331" t="inlineStr">
        <is>
          <t>650</t>
        </is>
      </c>
      <c r="E331" t="inlineStr">
        <is>
          <t>30000</t>
        </is>
      </c>
      <c r="F331" t="inlineStr">
        <is>
          <t>113</t>
        </is>
      </c>
      <c r="G331" t="inlineStr"/>
      <c r="H331" t="inlineStr">
        <is>
          <t>local declaration</t>
        </is>
      </c>
      <c r="I331" t="inlineStr">
        <is>
          <t>wsph, vehicles, ~scrin, ~!upg.gunwalker</t>
        </is>
      </c>
      <c r="J331" t="inlineStr">
        <is>
          <t>^FightingVehicle, ^ScrinSpriteTD, ^ScrinLightsMedium, ^BiologicalDriver, ^PrioAntiLightAA</t>
        </is>
      </c>
      <c r="K331" t="inlineStr">
        <is>
          <t>GunWalkerZap, GunWalkerZapAA</t>
        </is>
      </c>
      <c r="L331" t="inlineStr">
        <is>
          <t>multiple/conditional armaments</t>
        </is>
      </c>
      <c r="M331" t="inlineStr">
        <is>
          <t>not modeled; inspection required</t>
        </is>
      </c>
      <c r="N331" t="inlineStr"/>
      <c r="O331" t="inlineStr">
        <is>
          <t>mods/ca/rules/scrin/vehicles.yaml</t>
        </is>
      </c>
    </row>
    <row r="332">
      <c r="A332" t="inlineStr">
        <is>
          <t>scrin</t>
        </is>
      </c>
      <c r="B332" t="inlineStr">
        <is>
          <t>GUNW.sensor</t>
        </is>
      </c>
      <c r="C332" t="inlineStr">
        <is>
          <t>Gun Walker (Sensors)</t>
        </is>
      </c>
      <c r="D332" t="inlineStr">
        <is>
          <t>800</t>
        </is>
      </c>
      <c r="E332" t="inlineStr"/>
      <c r="F332" t="inlineStr"/>
      <c r="G332" t="inlineStr"/>
      <c r="H332" t="inlineStr">
        <is>
          <t>local declaration</t>
        </is>
      </c>
      <c r="I332" t="inlineStr">
        <is>
          <t>wsph, vehicles, ~scrin, ~promotion.gunwalker.sensor</t>
        </is>
      </c>
      <c r="J332" t="inlineStr">
        <is>
          <t>GUNW, ^SensorEquipment</t>
        </is>
      </c>
      <c r="K332" t="inlineStr"/>
      <c r="L332" t="inlineStr">
        <is>
          <t>sensor</t>
        </is>
      </c>
      <c r="M332" t="inlineStr">
        <is>
          <t>not modeled; inspection required</t>
        </is>
      </c>
      <c r="N332" t="inlineStr"/>
      <c r="O332" t="inlineStr">
        <is>
          <t>mods/ca/rules/scrin/vehicles.yaml</t>
        </is>
      </c>
    </row>
    <row r="333">
      <c r="A333" t="inlineStr">
        <is>
          <t>scrin</t>
        </is>
      </c>
      <c r="B333" t="inlineStr">
        <is>
          <t>SEEK</t>
        </is>
      </c>
      <c r="C333" t="inlineStr">
        <is>
          <t>Seeker</t>
        </is>
      </c>
      <c r="D333" t="inlineStr">
        <is>
          <t>800</t>
        </is>
      </c>
      <c r="E333" t="inlineStr">
        <is>
          <t>20000</t>
        </is>
      </c>
      <c r="F333" t="inlineStr">
        <is>
          <t>135</t>
        </is>
      </c>
      <c r="G333" t="inlineStr"/>
      <c r="H333" t="inlineStr">
        <is>
          <t>local declaration</t>
        </is>
      </c>
      <c r="I333" t="inlineStr">
        <is>
          <t>vehicles, ~seeker, ~!upg.seeker, ~!upg.seeker</t>
        </is>
      </c>
      <c r="J333" t="inlineStr">
        <is>
          <t>^FightingVehicle, ^LightHoverVehicle, ^ScrinSpriteRA2, ^ScrinLightsMedium, ^BiologicalDriver, ^PrioAntiHeavy</t>
        </is>
      </c>
      <c r="K333" t="inlineStr">
        <is>
          <t>PlasmaDiscs</t>
        </is>
      </c>
      <c r="L333" t="inlineStr"/>
      <c r="M333" t="inlineStr">
        <is>
          <t>not modeled; inspection required</t>
        </is>
      </c>
      <c r="N333" t="inlineStr"/>
      <c r="O333" t="inlineStr">
        <is>
          <t>mods/ca/rules/scrin/vehicles.yaml</t>
        </is>
      </c>
    </row>
    <row r="334">
      <c r="A334" t="inlineStr">
        <is>
          <t>scrin</t>
        </is>
      </c>
      <c r="B334" t="inlineStr">
        <is>
          <t>SEEK.PDL</t>
        </is>
      </c>
      <c r="C334" t="inlineStr">
        <is>
          <t>Seeker (PDL)</t>
        </is>
      </c>
      <c r="D334" t="inlineStr">
        <is>
          <t>1200</t>
        </is>
      </c>
      <c r="E334" t="inlineStr"/>
      <c r="F334" t="inlineStr"/>
      <c r="G334" t="inlineStr"/>
      <c r="H334" t="inlineStr">
        <is>
          <t>local declaration</t>
        </is>
      </c>
      <c r="I334" t="inlineStr">
        <is>
          <t>vehicles, ~seeker, ~promotion.seeker.pdl</t>
        </is>
      </c>
      <c r="J334" t="inlineStr">
        <is>
          <t>SEEK, ^PointLaserDefenseSystem</t>
        </is>
      </c>
      <c r="K334" t="inlineStr"/>
      <c r="L334" t="inlineStr"/>
      <c r="M334" t="inlineStr">
        <is>
          <t>not modeled; inspection required</t>
        </is>
      </c>
      <c r="N334" t="inlineStr"/>
      <c r="O334" t="inlineStr">
        <is>
          <t>mods/ca/rules/scrin/vehicles.yaml</t>
        </is>
      </c>
    </row>
    <row r="335">
      <c r="A335" t="inlineStr">
        <is>
          <t>scrin</t>
        </is>
      </c>
      <c r="B335" t="inlineStr">
        <is>
          <t>SEEK.Reflector</t>
        </is>
      </c>
      <c r="C335" t="inlineStr">
        <is>
          <t>Seeker (Reflector)</t>
        </is>
      </c>
      <c r="D335" t="inlineStr">
        <is>
          <t>800</t>
        </is>
      </c>
      <c r="E335" t="inlineStr"/>
      <c r="F335" t="inlineStr"/>
      <c r="G335" t="inlineStr"/>
      <c r="H335" t="inlineStr">
        <is>
          <t>local declaration</t>
        </is>
      </c>
      <c r="I335" t="inlineStr">
        <is>
          <t>vehicles, ~seeker, ~promotion.seeker.reflector</t>
        </is>
      </c>
      <c r="J335" t="inlineStr">
        <is>
          <t>SEEK, ^ReflectorArmor</t>
        </is>
      </c>
      <c r="K335" t="inlineStr"/>
      <c r="L335" t="inlineStr"/>
      <c r="M335" t="inlineStr">
        <is>
          <t>not modeled; inspection required</t>
        </is>
      </c>
      <c r="N335" t="inlineStr"/>
      <c r="O335" t="inlineStr">
        <is>
          <t>mods/ca/rules/scrin/vehicles.yaml</t>
        </is>
      </c>
    </row>
    <row r="336">
      <c r="A336" t="inlineStr">
        <is>
          <t>scrin</t>
        </is>
      </c>
      <c r="B336" t="inlineStr">
        <is>
          <t>LACE</t>
        </is>
      </c>
      <c r="C336" t="inlineStr">
        <is>
          <t>Lacerator</t>
        </is>
      </c>
      <c r="D336" t="inlineStr">
        <is>
          <t>500</t>
        </is>
      </c>
      <c r="E336" t="inlineStr">
        <is>
          <t>25000</t>
        </is>
      </c>
      <c r="F336" t="inlineStr">
        <is>
          <t>157</t>
        </is>
      </c>
      <c r="G336" t="inlineStr"/>
      <c r="H336" t="inlineStr">
        <is>
          <t>local declaration</t>
        </is>
      </c>
      <c r="I336" t="inlineStr">
        <is>
          <t>vehicles, ~traveler, ~!upg.lacerator, ~!upg.lacerator, ~!upg.lacerator</t>
        </is>
      </c>
      <c r="J336" t="inlineStr">
        <is>
          <t>^FightingVehicle, ^LightHoverVehicle, ^ScrinSpriteTS, ^BiologicalDriver, ^ScrinLightsMedium, ^PrioAntiHeavy</t>
        </is>
      </c>
      <c r="K336" t="inlineStr">
        <is>
          <t>LaceratorShards</t>
        </is>
      </c>
      <c r="L336" t="inlineStr"/>
      <c r="M336" t="inlineStr">
        <is>
          <t>not modeled; inspection required</t>
        </is>
      </c>
      <c r="N336" t="inlineStr"/>
      <c r="O336" t="inlineStr">
        <is>
          <t>mods/ca/rules/scrin/vehicles.yaml</t>
        </is>
      </c>
    </row>
    <row r="337">
      <c r="A337" t="inlineStr">
        <is>
          <t>scrin</t>
        </is>
      </c>
      <c r="B337" t="inlineStr">
        <is>
          <t>LACE.PDL</t>
        </is>
      </c>
      <c r="C337" t="inlineStr">
        <is>
          <t>Lacerator (PDL)</t>
        </is>
      </c>
      <c r="D337" t="inlineStr">
        <is>
          <t>1100</t>
        </is>
      </c>
      <c r="E337" t="inlineStr"/>
      <c r="F337" t="inlineStr"/>
      <c r="G337" t="inlineStr"/>
      <c r="H337" t="inlineStr">
        <is>
          <t>local declaration</t>
        </is>
      </c>
      <c r="I337" t="inlineStr">
        <is>
          <t>vehicles, ~traveler, ~promotion.lacerator.pdl</t>
        </is>
      </c>
      <c r="J337" t="inlineStr">
        <is>
          <t>LACE, ^PointLaserDefenseSystem</t>
        </is>
      </c>
      <c r="K337" t="inlineStr"/>
      <c r="L337" t="inlineStr"/>
      <c r="M337" t="inlineStr">
        <is>
          <t>not modeled; inspection required</t>
        </is>
      </c>
      <c r="N337" t="inlineStr"/>
      <c r="O337" t="inlineStr">
        <is>
          <t>mods/ca/rules/scrin/vehicles.yaml</t>
        </is>
      </c>
    </row>
    <row r="338">
      <c r="A338" t="inlineStr">
        <is>
          <t>scrin</t>
        </is>
      </c>
      <c r="B338" t="inlineStr">
        <is>
          <t>LACE.Reflector</t>
        </is>
      </c>
      <c r="C338" t="inlineStr">
        <is>
          <t>Lacerator (Reflector)</t>
        </is>
      </c>
      <c r="D338" t="inlineStr">
        <is>
          <t>700</t>
        </is>
      </c>
      <c r="E338" t="inlineStr"/>
      <c r="F338" t="inlineStr"/>
      <c r="G338" t="inlineStr"/>
      <c r="H338" t="inlineStr">
        <is>
          <t>local declaration</t>
        </is>
      </c>
      <c r="I338" t="inlineStr">
        <is>
          <t>vehicles, ~traveler, ~promotion.lacerator.reflector</t>
        </is>
      </c>
      <c r="J338" t="inlineStr">
        <is>
          <t>LACE, ^ReflectorArmor</t>
        </is>
      </c>
      <c r="K338" t="inlineStr"/>
      <c r="L338" t="inlineStr"/>
      <c r="M338" t="inlineStr">
        <is>
          <t>not modeled; inspection required</t>
        </is>
      </c>
      <c r="N338" t="inlineStr"/>
      <c r="O338" t="inlineStr">
        <is>
          <t>mods/ca/rules/scrin/vehicles.yaml</t>
        </is>
      </c>
    </row>
    <row r="339">
      <c r="A339" t="inlineStr">
        <is>
          <t>scrin</t>
        </is>
      </c>
      <c r="B339" t="inlineStr">
        <is>
          <t>LACE.AP</t>
        </is>
      </c>
      <c r="C339" t="inlineStr">
        <is>
          <t>Lacerator (AP)</t>
        </is>
      </c>
      <c r="D339" t="inlineStr">
        <is>
          <t>700</t>
        </is>
      </c>
      <c r="E339" t="inlineStr"/>
      <c r="F339" t="inlineStr"/>
      <c r="G339" t="inlineStr"/>
      <c r="H339" t="inlineStr">
        <is>
          <t>local declaration</t>
        </is>
      </c>
      <c r="I339" t="inlineStr">
        <is>
          <t>vehicles, ~traveler, ~promotion.lacerator.ap</t>
        </is>
      </c>
      <c r="J339" t="inlineStr">
        <is>
          <t>LACE</t>
        </is>
      </c>
      <c r="K339" t="inlineStr">
        <is>
          <t>LaceratorShards.AP</t>
        </is>
      </c>
      <c r="L339" t="inlineStr"/>
      <c r="M339" t="inlineStr">
        <is>
          <t>not modeled; inspection required</t>
        </is>
      </c>
      <c r="N339" t="inlineStr"/>
      <c r="O339" t="inlineStr">
        <is>
          <t>mods/ca/rules/scrin/vehicles.yaml</t>
        </is>
      </c>
    </row>
    <row r="340">
      <c r="A340" t="inlineStr">
        <is>
          <t>scrin</t>
        </is>
      </c>
      <c r="B340" t="inlineStr">
        <is>
          <t>INTL</t>
        </is>
      </c>
      <c r="C340" t="inlineStr">
        <is>
          <t>Interloper</t>
        </is>
      </c>
      <c r="D340" t="inlineStr">
        <is>
          <t>700</t>
        </is>
      </c>
      <c r="E340" t="inlineStr">
        <is>
          <t>40000</t>
        </is>
      </c>
      <c r="F340" t="inlineStr">
        <is>
          <t>135</t>
        </is>
      </c>
      <c r="G340" t="inlineStr"/>
      <c r="H340" t="inlineStr">
        <is>
          <t>local declaration</t>
        </is>
      </c>
      <c r="I340" t="inlineStr">
        <is>
          <t>wsph, vehicles, ~scrin, ~!upg.interloper, ~!upg.interloper</t>
        </is>
      </c>
      <c r="J340" t="inlineStr">
        <is>
          <t>^FightingTankTurreted, ^LightHoverVehicle, ^ScrinSpriteRA2, ^ScrinLightsMedium, ^BiologicalDriver, ^PrioAntiInfantry</t>
        </is>
      </c>
      <c r="K340" t="inlineStr">
        <is>
          <t>InterloperLaser</t>
        </is>
      </c>
      <c r="L340" t="inlineStr">
        <is>
          <t>cargo</t>
        </is>
      </c>
      <c r="M340" t="inlineStr">
        <is>
          <t>not modeled; inspection required</t>
        </is>
      </c>
      <c r="N340" t="inlineStr"/>
      <c r="O340" t="inlineStr">
        <is>
          <t>mods/ca/rules/scrin/vehicles.yaml</t>
        </is>
      </c>
    </row>
    <row r="341">
      <c r="A341" t="inlineStr">
        <is>
          <t>scrin</t>
        </is>
      </c>
      <c r="B341" t="inlineStr">
        <is>
          <t>INTL.AA</t>
        </is>
      </c>
      <c r="C341" t="inlineStr">
        <is>
          <t>Interloper (AA)</t>
        </is>
      </c>
      <c r="D341" t="inlineStr">
        <is>
          <t>900</t>
        </is>
      </c>
      <c r="E341" t="inlineStr"/>
      <c r="F341" t="inlineStr"/>
      <c r="G341" t="inlineStr"/>
      <c r="H341" t="inlineStr">
        <is>
          <t>local declaration</t>
        </is>
      </c>
      <c r="I341" t="inlineStr">
        <is>
          <t>wsph, vehicles, ~scrin, ~promotion.interloper.aa</t>
        </is>
      </c>
      <c r="J341" t="inlineStr">
        <is>
          <t>INTL, ^PrioAntiLightAA</t>
        </is>
      </c>
      <c r="K341" t="inlineStr">
        <is>
          <t>InterloperLaser.AA</t>
        </is>
      </c>
      <c r="L341" t="inlineStr"/>
      <c r="M341" t="inlineStr">
        <is>
          <t>not modeled; inspection required</t>
        </is>
      </c>
      <c r="N341" t="inlineStr"/>
      <c r="O341" t="inlineStr">
        <is>
          <t>mods/ca/rules/scrin/vehicles.yaml</t>
        </is>
      </c>
    </row>
    <row r="342">
      <c r="A342" t="inlineStr">
        <is>
          <t>scrin</t>
        </is>
      </c>
      <c r="B342" t="inlineStr">
        <is>
          <t>INTL.Teleport</t>
        </is>
      </c>
      <c r="C342" t="inlineStr">
        <is>
          <t>Interloper (Teleport)</t>
        </is>
      </c>
      <c r="D342" t="inlineStr">
        <is>
          <t>800</t>
        </is>
      </c>
      <c r="E342" t="inlineStr"/>
      <c r="F342" t="inlineStr"/>
      <c r="G342" t="inlineStr"/>
      <c r="H342" t="inlineStr">
        <is>
          <t>local declaration</t>
        </is>
      </c>
      <c r="I342" t="inlineStr">
        <is>
          <t>wsph, vehicles, ~scrin, ~promotion.interloper.teleport</t>
        </is>
      </c>
      <c r="J342" t="inlineStr">
        <is>
          <t>INTL</t>
        </is>
      </c>
      <c r="K342" t="inlineStr"/>
      <c r="L342" t="inlineStr"/>
      <c r="M342" t="inlineStr">
        <is>
          <t>not modeled; inspection required</t>
        </is>
      </c>
      <c r="N342" t="inlineStr"/>
      <c r="O342" t="inlineStr">
        <is>
          <t>mods/ca/rules/scrin/vehicles.yaml</t>
        </is>
      </c>
    </row>
    <row r="343">
      <c r="A343" t="inlineStr">
        <is>
          <t>scrin</t>
        </is>
      </c>
      <c r="B343" t="inlineStr">
        <is>
          <t>CORR</t>
        </is>
      </c>
      <c r="C343" t="inlineStr">
        <is>
          <t>Corrupter</t>
        </is>
      </c>
      <c r="D343" t="inlineStr">
        <is>
          <t>700</t>
        </is>
      </c>
      <c r="E343" t="inlineStr">
        <is>
          <t>45000</t>
        </is>
      </c>
      <c r="F343" t="inlineStr">
        <is>
          <t>82</t>
        </is>
      </c>
      <c r="G343" t="inlineStr"/>
      <c r="H343" t="inlineStr">
        <is>
          <t>local declaration</t>
        </is>
      </c>
      <c r="I343" t="inlineStr">
        <is>
          <t>tier2, vehicles, ~scrin, ~!upg.corrupter</t>
        </is>
      </c>
      <c r="J343" t="inlineStr">
        <is>
          <t>^FightingVehicle, ^ScrinSpriteTD, ^BiologicalDriver, ^ScrinLightsMedium, ^PrioAntiLight</t>
        </is>
      </c>
      <c r="K343" t="inlineStr">
        <is>
          <t>CorrupterSpew</t>
        </is>
      </c>
      <c r="L343" t="inlineStr"/>
      <c r="M343" t="inlineStr">
        <is>
          <t>not modeled; inspection required</t>
        </is>
      </c>
      <c r="N343" t="inlineStr"/>
      <c r="O343" t="inlineStr">
        <is>
          <t>mods/ca/rules/scrin/vehicles.yaml</t>
        </is>
      </c>
    </row>
    <row r="344">
      <c r="A344" t="inlineStr">
        <is>
          <t>scrin</t>
        </is>
      </c>
      <c r="B344" t="inlineStr">
        <is>
          <t>CORR.Area</t>
        </is>
      </c>
      <c r="C344" t="inlineStr">
        <is>
          <t>Area Corrupter</t>
        </is>
      </c>
      <c r="D344" t="inlineStr">
        <is>
          <t>800</t>
        </is>
      </c>
      <c r="E344" t="inlineStr">
        <is>
          <t>55000</t>
        </is>
      </c>
      <c r="F344" t="inlineStr"/>
      <c r="G344" t="inlineStr"/>
      <c r="H344" t="inlineStr">
        <is>
          <t>local declaration</t>
        </is>
      </c>
      <c r="I344" t="inlineStr">
        <is>
          <t>tier2, vehicles, ~scrin, ~promotion.corrupter.area, ~!upg.corrupter2</t>
        </is>
      </c>
      <c r="J344" t="inlineStr">
        <is>
          <t>CORR</t>
        </is>
      </c>
      <c r="K344" t="inlineStr">
        <is>
          <t>CorrupterSpew.area1, CorrupterSpew.area2, CorrupterSpew.area3, CorrupterSpew.area4</t>
        </is>
      </c>
      <c r="L344" t="inlineStr">
        <is>
          <t>multiple/conditional armaments</t>
        </is>
      </c>
      <c r="M344" t="inlineStr">
        <is>
          <t>not modeled; inspection required</t>
        </is>
      </c>
      <c r="N344" t="inlineStr"/>
      <c r="O344" t="inlineStr">
        <is>
          <t>mods/ca/rules/scrin/vehicles.yaml</t>
        </is>
      </c>
    </row>
    <row r="345">
      <c r="A345" t="inlineStr">
        <is>
          <t>scrin</t>
        </is>
      </c>
      <c r="B345" t="inlineStr">
        <is>
          <t>CORR.Area.PDL</t>
        </is>
      </c>
      <c r="C345" t="inlineStr">
        <is>
          <t>Area Corrupter (PDL)</t>
        </is>
      </c>
      <c r="D345" t="inlineStr">
        <is>
          <t>1300</t>
        </is>
      </c>
      <c r="E345" t="inlineStr"/>
      <c r="F345" t="inlineStr"/>
      <c r="G345" t="inlineStr"/>
      <c r="H345" t="inlineStr">
        <is>
          <t>local declaration</t>
        </is>
      </c>
      <c r="I345" t="inlineStr">
        <is>
          <t>tier3, vehicles, ~scrin, ~promotion.corrupter.area, ~promotion.corrupter.pdl</t>
        </is>
      </c>
      <c r="J345" t="inlineStr">
        <is>
          <t>CORR.Area, ^PointLaserDefenseSystem</t>
        </is>
      </c>
      <c r="K345" t="inlineStr"/>
      <c r="L345" t="inlineStr"/>
      <c r="M345" t="inlineStr">
        <is>
          <t>not modeled; inspection required</t>
        </is>
      </c>
      <c r="N345" t="inlineStr"/>
      <c r="O345" t="inlineStr">
        <is>
          <t>mods/ca/rules/scrin/vehicles.yaml</t>
        </is>
      </c>
    </row>
    <row r="346">
      <c r="A346" t="inlineStr">
        <is>
          <t>scrin</t>
        </is>
      </c>
      <c r="B346" t="inlineStr">
        <is>
          <t>CORR.Area.Reflector</t>
        </is>
      </c>
      <c r="C346" t="inlineStr">
        <is>
          <t>Area Corrupter (Reflector)</t>
        </is>
      </c>
      <c r="D346" t="inlineStr">
        <is>
          <t>800</t>
        </is>
      </c>
      <c r="E346" t="inlineStr"/>
      <c r="F346" t="inlineStr"/>
      <c r="G346" t="inlineStr"/>
      <c r="H346" t="inlineStr">
        <is>
          <t>local declaration</t>
        </is>
      </c>
      <c r="I346" t="inlineStr">
        <is>
          <t>tier3, vehicles, ~scrin, ~promotion.corrupter.area, ~promotion.corrupter.reflector</t>
        </is>
      </c>
      <c r="J346" t="inlineStr">
        <is>
          <t>CORR.Area, ^ReflectorArmor</t>
        </is>
      </c>
      <c r="K346" t="inlineStr"/>
      <c r="L346" t="inlineStr"/>
      <c r="M346" t="inlineStr">
        <is>
          <t>not modeled; inspection required</t>
        </is>
      </c>
      <c r="N346" t="inlineStr"/>
      <c r="O346" t="inlineStr">
        <is>
          <t>mods/ca/rules/scrin/vehicles.yaml</t>
        </is>
      </c>
    </row>
    <row r="347">
      <c r="A347" t="inlineStr">
        <is>
          <t>scrin</t>
        </is>
      </c>
      <c r="B347" t="inlineStr">
        <is>
          <t>CORR.Range</t>
        </is>
      </c>
      <c r="C347" t="inlineStr">
        <is>
          <t>Ranged Corrupter</t>
        </is>
      </c>
      <c r="D347" t="inlineStr">
        <is>
          <t>800</t>
        </is>
      </c>
      <c r="E347" t="inlineStr"/>
      <c r="F347" t="inlineStr"/>
      <c r="G347" t="inlineStr"/>
      <c r="H347" t="inlineStr">
        <is>
          <t>local declaration</t>
        </is>
      </c>
      <c r="I347" t="inlineStr">
        <is>
          <t>tier2, vehicles, ~scrin, ~promotion.corrupter.range, ~!upg.corrupter2</t>
        </is>
      </c>
      <c r="J347" t="inlineStr">
        <is>
          <t>CORR</t>
        </is>
      </c>
      <c r="K347" t="inlineStr">
        <is>
          <t>CorrupterSpew.range</t>
        </is>
      </c>
      <c r="L347" t="inlineStr"/>
      <c r="M347" t="inlineStr">
        <is>
          <t>not modeled; inspection required</t>
        </is>
      </c>
      <c r="N347" t="inlineStr"/>
      <c r="O347" t="inlineStr">
        <is>
          <t>mods/ca/rules/scrin/vehicles.yaml</t>
        </is>
      </c>
    </row>
    <row r="348">
      <c r="A348" t="inlineStr">
        <is>
          <t>scrin</t>
        </is>
      </c>
      <c r="B348" t="inlineStr">
        <is>
          <t>CORR.Range.PDL</t>
        </is>
      </c>
      <c r="C348" t="inlineStr">
        <is>
          <t>Ranged Corrupter (PDL)</t>
        </is>
      </c>
      <c r="D348" t="inlineStr">
        <is>
          <t>1300</t>
        </is>
      </c>
      <c r="E348" t="inlineStr"/>
      <c r="F348" t="inlineStr"/>
      <c r="G348" t="inlineStr"/>
      <c r="H348" t="inlineStr">
        <is>
          <t>local declaration</t>
        </is>
      </c>
      <c r="I348" t="inlineStr">
        <is>
          <t>tier3, vehicles, ~scrin, ~promotion.corrupter.range, ~promotion.corrupter.pdl</t>
        </is>
      </c>
      <c r="J348" t="inlineStr">
        <is>
          <t>CORR.Range, ^PointLaserDefenseSystem</t>
        </is>
      </c>
      <c r="K348" t="inlineStr"/>
      <c r="L348" t="inlineStr"/>
      <c r="M348" t="inlineStr">
        <is>
          <t>not modeled; inspection required</t>
        </is>
      </c>
      <c r="N348" t="inlineStr"/>
      <c r="O348" t="inlineStr">
        <is>
          <t>mods/ca/rules/scrin/vehicles.yaml</t>
        </is>
      </c>
    </row>
    <row r="349">
      <c r="A349" t="inlineStr">
        <is>
          <t>scrin</t>
        </is>
      </c>
      <c r="B349" t="inlineStr">
        <is>
          <t>CORR.Range.Reflector</t>
        </is>
      </c>
      <c r="C349" t="inlineStr">
        <is>
          <t>Ranged Corrupter (Reflector)</t>
        </is>
      </c>
      <c r="D349" t="inlineStr">
        <is>
          <t>800</t>
        </is>
      </c>
      <c r="E349" t="inlineStr"/>
      <c r="F349" t="inlineStr"/>
      <c r="G349" t="inlineStr"/>
      <c r="H349" t="inlineStr">
        <is>
          <t>local declaration</t>
        </is>
      </c>
      <c r="I349" t="inlineStr">
        <is>
          <t>tier3, vehicles, ~scrin, ~promotion.corrupter.range, ~promotion.corrupter.reflector</t>
        </is>
      </c>
      <c r="J349" t="inlineStr">
        <is>
          <t>CORR.Range, ^ReflectorArmor</t>
        </is>
      </c>
      <c r="K349" t="inlineStr"/>
      <c r="L349" t="inlineStr"/>
      <c r="M349" t="inlineStr">
        <is>
          <t>not modeled; inspection required</t>
        </is>
      </c>
      <c r="N349" t="inlineStr"/>
      <c r="O349" t="inlineStr">
        <is>
          <t>mods/ca/rules/scrin/vehicles.yaml</t>
        </is>
      </c>
    </row>
    <row r="350">
      <c r="A350" t="inlineStr">
        <is>
          <t>scrin</t>
        </is>
      </c>
      <c r="B350" t="inlineStr">
        <is>
          <t>LCHR</t>
        </is>
      </c>
      <c r="C350" t="inlineStr">
        <is>
          <t>Leecher</t>
        </is>
      </c>
      <c r="D350" t="inlineStr">
        <is>
          <t>900</t>
        </is>
      </c>
      <c r="E350" t="inlineStr">
        <is>
          <t>44000</t>
        </is>
      </c>
      <c r="F350" t="inlineStr">
        <is>
          <t>80</t>
        </is>
      </c>
      <c r="G350" t="inlineStr"/>
      <c r="H350" t="inlineStr">
        <is>
          <t>local declaration</t>
        </is>
      </c>
      <c r="I350" t="inlineStr">
        <is>
          <t>tier2, vehicles, ~harvester, ~!upg.leecher</t>
        </is>
      </c>
      <c r="J350" t="inlineStr">
        <is>
          <t>^FightingTankTurreted, ^LightHoverVehicle, ^ScrinSpriteRA2, ^ScrinLightsMedium, ^BiologicalDriver, ^PrioAntiLight</t>
        </is>
      </c>
      <c r="K350" t="inlineStr">
        <is>
          <t>LeecherBeam</t>
        </is>
      </c>
      <c r="L350" t="inlineStr"/>
      <c r="M350" t="inlineStr">
        <is>
          <t>not modeled; inspection required</t>
        </is>
      </c>
      <c r="N350" t="inlineStr"/>
      <c r="O350" t="inlineStr">
        <is>
          <t>mods/ca/rules/scrin/vehicles.yaml</t>
        </is>
      </c>
    </row>
    <row r="351">
      <c r="A351" t="inlineStr">
        <is>
          <t>scrin</t>
        </is>
      </c>
      <c r="B351" t="inlineStr">
        <is>
          <t>LCHR.Slow</t>
        </is>
      </c>
      <c r="C351" t="inlineStr">
        <is>
          <t>Slowing Leecher</t>
        </is>
      </c>
      <c r="D351" t="inlineStr">
        <is>
          <t>1100</t>
        </is>
      </c>
      <c r="E351" t="inlineStr"/>
      <c r="F351" t="inlineStr"/>
      <c r="G351" t="inlineStr"/>
      <c r="H351" t="inlineStr">
        <is>
          <t>local declaration</t>
        </is>
      </c>
      <c r="I351" t="inlineStr">
        <is>
          <t>tier2, vehicles, ~harvester, ~promotion.leecher.slow, ~!upg.leecher2</t>
        </is>
      </c>
      <c r="J351" t="inlineStr">
        <is>
          <t>LCHR</t>
        </is>
      </c>
      <c r="K351" t="inlineStr">
        <is>
          <t>LeecherBeam.slow</t>
        </is>
      </c>
      <c r="L351" t="inlineStr"/>
      <c r="M351" t="inlineStr">
        <is>
          <t>not modeled; inspection required</t>
        </is>
      </c>
      <c r="N351" t="inlineStr"/>
      <c r="O351" t="inlineStr">
        <is>
          <t>mods/ca/rules/scrin/vehicles.yaml</t>
        </is>
      </c>
    </row>
    <row r="352">
      <c r="A352" t="inlineStr">
        <is>
          <t>scrin</t>
        </is>
      </c>
      <c r="B352" t="inlineStr">
        <is>
          <t>LCHR.Slow.PDL</t>
        </is>
      </c>
      <c r="C352" t="inlineStr">
        <is>
          <t>Slowing Leecher (PDL)</t>
        </is>
      </c>
      <c r="D352" t="inlineStr">
        <is>
          <t>1800</t>
        </is>
      </c>
      <c r="E352" t="inlineStr"/>
      <c r="F352" t="inlineStr"/>
      <c r="G352" t="inlineStr"/>
      <c r="H352" t="inlineStr">
        <is>
          <t>local declaration</t>
        </is>
      </c>
      <c r="I352" t="inlineStr">
        <is>
          <t>tier2, vehicles, ~harvester, ~promotion.leecher.slow, ~promotion.leecher.pdl</t>
        </is>
      </c>
      <c r="J352" t="inlineStr">
        <is>
          <t>LCHR.Slow, ^PointLaserDefenseSystem</t>
        </is>
      </c>
      <c r="K352" t="inlineStr"/>
      <c r="L352" t="inlineStr"/>
      <c r="M352" t="inlineStr">
        <is>
          <t>not modeled; inspection required</t>
        </is>
      </c>
      <c r="N352" t="inlineStr"/>
      <c r="O352" t="inlineStr">
        <is>
          <t>mods/ca/rules/scrin/vehicles.yaml</t>
        </is>
      </c>
    </row>
    <row r="353">
      <c r="A353" t="inlineStr">
        <is>
          <t>scrin</t>
        </is>
      </c>
      <c r="B353" t="inlineStr">
        <is>
          <t>LCHR.Slow.Reflector</t>
        </is>
      </c>
      <c r="C353" t="inlineStr">
        <is>
          <t>Slowing Leecher (Reflector)</t>
        </is>
      </c>
      <c r="D353" t="inlineStr">
        <is>
          <t>1100</t>
        </is>
      </c>
      <c r="E353" t="inlineStr"/>
      <c r="F353" t="inlineStr"/>
      <c r="G353" t="inlineStr"/>
      <c r="H353" t="inlineStr">
        <is>
          <t>local declaration</t>
        </is>
      </c>
      <c r="I353" t="inlineStr">
        <is>
          <t>tier2, vehicles, ~harvester, ~promotion.leecher.slow, ~promotion.leecher.reflector</t>
        </is>
      </c>
      <c r="J353" t="inlineStr">
        <is>
          <t>LCHR.Slow, ^ReflectorArmor</t>
        </is>
      </c>
      <c r="K353" t="inlineStr"/>
      <c r="L353" t="inlineStr"/>
      <c r="M353" t="inlineStr">
        <is>
          <t>not modeled; inspection required</t>
        </is>
      </c>
      <c r="N353" t="inlineStr"/>
      <c r="O353" t="inlineStr">
        <is>
          <t>mods/ca/rules/scrin/vehicles.yaml</t>
        </is>
      </c>
    </row>
    <row r="354">
      <c r="A354" t="inlineStr">
        <is>
          <t>scrin</t>
        </is>
      </c>
      <c r="B354" t="inlineStr">
        <is>
          <t>LCHR.Drain</t>
        </is>
      </c>
      <c r="C354" t="inlineStr">
        <is>
          <t>Draining Leecher</t>
        </is>
      </c>
      <c r="D354" t="inlineStr">
        <is>
          <t>1100</t>
        </is>
      </c>
      <c r="E354" t="inlineStr"/>
      <c r="F354" t="inlineStr"/>
      <c r="G354" t="inlineStr"/>
      <c r="H354" t="inlineStr">
        <is>
          <t>local declaration</t>
        </is>
      </c>
      <c r="I354" t="inlineStr">
        <is>
          <t>tier2, vehicles, ~harvester, ~promotion.leecher.drain, ~!upg.leecher2</t>
        </is>
      </c>
      <c r="J354" t="inlineStr">
        <is>
          <t>LCHR</t>
        </is>
      </c>
      <c r="K354" t="inlineStr">
        <is>
          <t>LeecherBeam.drain</t>
        </is>
      </c>
      <c r="L354" t="inlineStr"/>
      <c r="M354" t="inlineStr">
        <is>
          <t>not modeled; inspection required</t>
        </is>
      </c>
      <c r="N354" t="inlineStr"/>
      <c r="O354" t="inlineStr">
        <is>
          <t>mods/ca/rules/scrin/vehicles.yaml</t>
        </is>
      </c>
    </row>
    <row r="355">
      <c r="A355" t="inlineStr">
        <is>
          <t>scrin</t>
        </is>
      </c>
      <c r="B355" t="inlineStr">
        <is>
          <t>LCHR.Drain.PDL</t>
        </is>
      </c>
      <c r="C355" t="inlineStr">
        <is>
          <t>Draining Leecher (PDL)</t>
        </is>
      </c>
      <c r="D355" t="inlineStr">
        <is>
          <t>1800</t>
        </is>
      </c>
      <c r="E355" t="inlineStr"/>
      <c r="F355" t="inlineStr"/>
      <c r="G355" t="inlineStr"/>
      <c r="H355" t="inlineStr">
        <is>
          <t>local declaration</t>
        </is>
      </c>
      <c r="I355" t="inlineStr">
        <is>
          <t>tier2, vehicles, ~harvester, ~promotion.leecher.drain, ~promotion.leecher.pdl</t>
        </is>
      </c>
      <c r="J355" t="inlineStr">
        <is>
          <t>LCHR.Drain, ^PointLaserDefenseSystem</t>
        </is>
      </c>
      <c r="K355" t="inlineStr"/>
      <c r="L355" t="inlineStr"/>
      <c r="M355" t="inlineStr">
        <is>
          <t>not modeled; inspection required</t>
        </is>
      </c>
      <c r="N355" t="inlineStr"/>
      <c r="O355" t="inlineStr">
        <is>
          <t>mods/ca/rules/scrin/vehicles.yaml</t>
        </is>
      </c>
    </row>
    <row r="356">
      <c r="A356" t="inlineStr">
        <is>
          <t>scrin</t>
        </is>
      </c>
      <c r="B356" t="inlineStr">
        <is>
          <t>LCHR.Drain.Reflector</t>
        </is>
      </c>
      <c r="C356" t="inlineStr">
        <is>
          <t>Draining Leecher (Reflector)</t>
        </is>
      </c>
      <c r="D356" t="inlineStr">
        <is>
          <t>1100</t>
        </is>
      </c>
      <c r="E356" t="inlineStr"/>
      <c r="F356" t="inlineStr"/>
      <c r="G356" t="inlineStr"/>
      <c r="H356" t="inlineStr">
        <is>
          <t>local declaration</t>
        </is>
      </c>
      <c r="I356" t="inlineStr">
        <is>
          <t>tier2, vehicles, ~harvester, ~promotion.leecher.drain, ~promotion.leecher.reflector</t>
        </is>
      </c>
      <c r="J356" t="inlineStr">
        <is>
          <t>LCHR.Drain, ^ReflectorArmor</t>
        </is>
      </c>
      <c r="K356" t="inlineStr"/>
      <c r="L356" t="inlineStr"/>
      <c r="M356" t="inlineStr">
        <is>
          <t>not modeled; inspection required</t>
        </is>
      </c>
      <c r="N356" t="inlineStr"/>
      <c r="O356" t="inlineStr">
        <is>
          <t>mods/ca/rules/scrin/vehicles.yaml</t>
        </is>
      </c>
    </row>
    <row r="357">
      <c r="A357" t="inlineStr">
        <is>
          <t>scrin</t>
        </is>
      </c>
      <c r="B357" t="inlineStr">
        <is>
          <t>STCR</t>
        </is>
      </c>
      <c r="C357" t="inlineStr">
        <is>
          <t>Stormcrawler</t>
        </is>
      </c>
      <c r="D357" t="inlineStr">
        <is>
          <t>1000</t>
        </is>
      </c>
      <c r="E357" t="inlineStr">
        <is>
          <t>60000</t>
        </is>
      </c>
      <c r="F357" t="inlineStr">
        <is>
          <t>71</t>
        </is>
      </c>
      <c r="G357" t="inlineStr"/>
      <c r="H357" t="inlineStr">
        <is>
          <t>local declaration</t>
        </is>
      </c>
      <c r="I357" t="inlineStr">
        <is>
          <t>tier2, vehicles, ~reaper, ~!upg.stormcrawler</t>
        </is>
      </c>
      <c r="J357" t="inlineStr">
        <is>
          <t>^FightingVehicle, ^HoverVehicle, ^BiologicalDriver, ^ScrinSpriteRA2, ^ScrinLightsMedium, ^PrioAntiLight</t>
        </is>
      </c>
      <c r="K357" t="inlineStr">
        <is>
          <t>StormcrawlerZap</t>
        </is>
      </c>
      <c r="L357" t="inlineStr">
        <is>
          <t>hover/amphibious</t>
        </is>
      </c>
      <c r="M357" t="inlineStr">
        <is>
          <t>not modeled; inspection required</t>
        </is>
      </c>
      <c r="N357" t="inlineStr"/>
      <c r="O357" t="inlineStr">
        <is>
          <t>mods/ca/rules/scrin/vehicles.yaml</t>
        </is>
      </c>
    </row>
    <row r="358">
      <c r="A358" t="inlineStr">
        <is>
          <t>scrin</t>
        </is>
      </c>
      <c r="B358" t="inlineStr">
        <is>
          <t>STCR.Range</t>
        </is>
      </c>
      <c r="C358" t="inlineStr">
        <is>
          <t>Ranged Stormcrawler</t>
        </is>
      </c>
      <c r="D358" t="inlineStr">
        <is>
          <t>1100</t>
        </is>
      </c>
      <c r="E358" t="inlineStr"/>
      <c r="F358" t="inlineStr"/>
      <c r="G358" t="inlineStr"/>
      <c r="H358" t="inlineStr">
        <is>
          <t>local declaration</t>
        </is>
      </c>
      <c r="I358" t="inlineStr">
        <is>
          <t>tier2, vehicles, ~reaper, ~promotion.stormcrawler.range, ~!upg.stormcrawler2</t>
        </is>
      </c>
      <c r="J358" t="inlineStr">
        <is>
          <t>STCR</t>
        </is>
      </c>
      <c r="K358" t="inlineStr">
        <is>
          <t>StormcrawlerZap.range</t>
        </is>
      </c>
      <c r="L358" t="inlineStr"/>
      <c r="M358" t="inlineStr">
        <is>
          <t>not modeled; inspection required</t>
        </is>
      </c>
      <c r="N358" t="inlineStr"/>
      <c r="O358" t="inlineStr">
        <is>
          <t>mods/ca/rules/scrin/vehicles.yaml</t>
        </is>
      </c>
    </row>
    <row r="359">
      <c r="A359" t="inlineStr">
        <is>
          <t>scrin</t>
        </is>
      </c>
      <c r="B359" t="inlineStr">
        <is>
          <t>STCR.Range.PDL</t>
        </is>
      </c>
      <c r="C359" t="inlineStr">
        <is>
          <t>Ranged Stormcrawler (PDL)</t>
        </is>
      </c>
      <c r="D359" t="inlineStr">
        <is>
          <t>1800</t>
        </is>
      </c>
      <c r="E359" t="inlineStr"/>
      <c r="F359" t="inlineStr"/>
      <c r="G359" t="inlineStr"/>
      <c r="H359" t="inlineStr">
        <is>
          <t>local declaration</t>
        </is>
      </c>
      <c r="I359" t="inlineStr">
        <is>
          <t>tier2, vehicles, ~reaper, ~promotion.stormcrawler.range, ~promotion.stormcrawler.pdl</t>
        </is>
      </c>
      <c r="J359" t="inlineStr">
        <is>
          <t>STCR.Range, ^PointLaserDefenseSystem</t>
        </is>
      </c>
      <c r="K359" t="inlineStr"/>
      <c r="L359" t="inlineStr"/>
      <c r="M359" t="inlineStr">
        <is>
          <t>not modeled; inspection required</t>
        </is>
      </c>
      <c r="N359" t="inlineStr"/>
      <c r="O359" t="inlineStr">
        <is>
          <t>mods/ca/rules/scrin/vehicles.yaml</t>
        </is>
      </c>
    </row>
    <row r="360">
      <c r="A360" t="inlineStr">
        <is>
          <t>scrin</t>
        </is>
      </c>
      <c r="B360" t="inlineStr">
        <is>
          <t>STCR.Range.Reflector</t>
        </is>
      </c>
      <c r="C360" t="inlineStr">
        <is>
          <t>Ranged Stormcrawler (Reflector)</t>
        </is>
      </c>
      <c r="D360" t="inlineStr">
        <is>
          <t>1100</t>
        </is>
      </c>
      <c r="E360" t="inlineStr"/>
      <c r="F360" t="inlineStr"/>
      <c r="G360" t="inlineStr"/>
      <c r="H360" t="inlineStr">
        <is>
          <t>local declaration</t>
        </is>
      </c>
      <c r="I360" t="inlineStr">
        <is>
          <t>tier2, vehicles, ~reaper, ~promotion.stormcrawler.range, ~promotion.stormcrawler.reflector</t>
        </is>
      </c>
      <c r="J360" t="inlineStr">
        <is>
          <t>STCR.Range, ^ReflectorArmor</t>
        </is>
      </c>
      <c r="K360" t="inlineStr"/>
      <c r="L360" t="inlineStr"/>
      <c r="M360" t="inlineStr">
        <is>
          <t>not modeled; inspection required</t>
        </is>
      </c>
      <c r="N360" t="inlineStr"/>
      <c r="O360" t="inlineStr">
        <is>
          <t>mods/ca/rules/scrin/vehicles.yaml</t>
        </is>
      </c>
    </row>
    <row r="361">
      <c r="A361" t="inlineStr">
        <is>
          <t>scrin</t>
        </is>
      </c>
      <c r="B361" t="inlineStr">
        <is>
          <t>STCR.Arc</t>
        </is>
      </c>
      <c r="C361" t="inlineStr">
        <is>
          <t>Arcing Stormcrawler</t>
        </is>
      </c>
      <c r="D361" t="inlineStr">
        <is>
          <t>1100</t>
        </is>
      </c>
      <c r="E361" t="inlineStr"/>
      <c r="F361" t="inlineStr"/>
      <c r="G361" t="inlineStr"/>
      <c r="H361" t="inlineStr">
        <is>
          <t>local declaration</t>
        </is>
      </c>
      <c r="I361" t="inlineStr">
        <is>
          <t>tier2, vehicles, ~reaper, ~promotion.stormcrawler.ar, ~!upg.stormcrawler2</t>
        </is>
      </c>
      <c r="J361" t="inlineStr">
        <is>
          <t>STCR</t>
        </is>
      </c>
      <c r="K361" t="inlineStr">
        <is>
          <t>StormcrawlerZap.Chain</t>
        </is>
      </c>
      <c r="L361" t="inlineStr"/>
      <c r="M361" t="inlineStr">
        <is>
          <t>not modeled; inspection required</t>
        </is>
      </c>
      <c r="N361" t="inlineStr"/>
      <c r="O361" t="inlineStr">
        <is>
          <t>mods/ca/rules/scrin/vehicles.yaml</t>
        </is>
      </c>
    </row>
    <row r="362">
      <c r="A362" t="inlineStr">
        <is>
          <t>scrin</t>
        </is>
      </c>
      <c r="B362" t="inlineStr">
        <is>
          <t>STCR.Arc.PDL</t>
        </is>
      </c>
      <c r="C362" t="inlineStr">
        <is>
          <t>Ranged Stormcrawler (PDL)</t>
        </is>
      </c>
      <c r="D362" t="inlineStr">
        <is>
          <t>1800</t>
        </is>
      </c>
      <c r="E362" t="inlineStr"/>
      <c r="F362" t="inlineStr"/>
      <c r="G362" t="inlineStr"/>
      <c r="H362" t="inlineStr">
        <is>
          <t>local declaration</t>
        </is>
      </c>
      <c r="I362" t="inlineStr">
        <is>
          <t>tier2, vehicles, ~reaper, ~promotion.stormcrawler.arc, ~promotion.stormcrawler.pdl</t>
        </is>
      </c>
      <c r="J362" t="inlineStr">
        <is>
          <t>STCR.Arc, ^PointLaserDefenseSystem</t>
        </is>
      </c>
      <c r="K362" t="inlineStr"/>
      <c r="L362" t="inlineStr"/>
      <c r="M362" t="inlineStr">
        <is>
          <t>not modeled; inspection required</t>
        </is>
      </c>
      <c r="N362" t="inlineStr"/>
      <c r="O362" t="inlineStr">
        <is>
          <t>mods/ca/rules/scrin/vehicles.yaml</t>
        </is>
      </c>
    </row>
    <row r="363">
      <c r="A363" t="inlineStr">
        <is>
          <t>scrin</t>
        </is>
      </c>
      <c r="B363" t="inlineStr">
        <is>
          <t>STCR.Arc.Reflector</t>
        </is>
      </c>
      <c r="C363" t="inlineStr">
        <is>
          <t>Ranged Stormcrawler (Reflector)</t>
        </is>
      </c>
      <c r="D363" t="inlineStr">
        <is>
          <t>1100</t>
        </is>
      </c>
      <c r="E363" t="inlineStr"/>
      <c r="F363" t="inlineStr"/>
      <c r="G363" t="inlineStr"/>
      <c r="H363" t="inlineStr">
        <is>
          <t>local declaration</t>
        </is>
      </c>
      <c r="I363" t="inlineStr">
        <is>
          <t>tier2, vehicles, ~reaper, ~promotion.stormcrawler.arc, ~promotion.stormcrawler.reflector</t>
        </is>
      </c>
      <c r="J363" t="inlineStr">
        <is>
          <t>STCR.Arc, ^ReflectorArmor</t>
        </is>
      </c>
      <c r="K363" t="inlineStr"/>
      <c r="L363" t="inlineStr"/>
      <c r="M363" t="inlineStr">
        <is>
          <t>not modeled; inspection required</t>
        </is>
      </c>
      <c r="N363" t="inlineStr"/>
      <c r="O363" t="inlineStr">
        <is>
          <t>mods/ca/rules/scrin/vehicles.yaml</t>
        </is>
      </c>
    </row>
    <row r="364">
      <c r="A364" t="inlineStr">
        <is>
          <t>scrin</t>
        </is>
      </c>
      <c r="B364" t="inlineStr">
        <is>
          <t>DEVO</t>
        </is>
      </c>
      <c r="C364" t="inlineStr">
        <is>
          <t>Devourer Tank</t>
        </is>
      </c>
      <c r="D364" t="inlineStr">
        <is>
          <t>1250</t>
        </is>
      </c>
      <c r="E364" t="inlineStr">
        <is>
          <t>35000</t>
        </is>
      </c>
      <c r="F364" t="inlineStr">
        <is>
          <t>90</t>
        </is>
      </c>
      <c r="G364" t="inlineStr"/>
      <c r="H364" t="inlineStr">
        <is>
          <t>local declaration</t>
        </is>
      </c>
      <c r="I364" t="inlineStr">
        <is>
          <t>radar, vehicles, ~traveler, ~!upg.devourer, ~!upg.devourer</t>
        </is>
      </c>
      <c r="J364" t="inlineStr">
        <is>
          <t>^FightingTankTurreted, ^LightHoverVehicle, ^ScrinSpriteRA2, ^BiologicalDriver, ^ScrinLightsMedium, ^PrioAntiHeavy</t>
        </is>
      </c>
      <c r="K364" t="inlineStr">
        <is>
          <t>DevourerLaser</t>
        </is>
      </c>
      <c r="L364" t="inlineStr"/>
      <c r="M364" t="inlineStr">
        <is>
          <t>not modeled; inspection required</t>
        </is>
      </c>
      <c r="N364" t="inlineStr"/>
      <c r="O364" t="inlineStr">
        <is>
          <t>mods/ca/rules/scrin/vehicles.yaml</t>
        </is>
      </c>
    </row>
    <row r="365">
      <c r="A365" t="inlineStr">
        <is>
          <t>scrin</t>
        </is>
      </c>
      <c r="B365" t="inlineStr">
        <is>
          <t>DEVO.acid</t>
        </is>
      </c>
      <c r="C365" t="inlineStr">
        <is>
          <t>Acid Devourer Tank</t>
        </is>
      </c>
      <c r="D365" t="inlineStr"/>
      <c r="E365" t="inlineStr"/>
      <c r="F365" t="inlineStr"/>
      <c r="G365" t="inlineStr"/>
      <c r="H365" t="inlineStr">
        <is>
          <t>local declaration</t>
        </is>
      </c>
      <c r="I365" t="inlineStr">
        <is>
          <t>radar, vehicles, ~traveler, ~promotion.devourer.acid</t>
        </is>
      </c>
      <c r="J365" t="inlineStr">
        <is>
          <t>DEVO, ^PrioAntiReflector, ^ScrinAcidUnit</t>
        </is>
      </c>
      <c r="K365" t="inlineStr">
        <is>
          <t>DevourerAcid, DevourerAcid.Corrosive</t>
        </is>
      </c>
      <c r="L365" t="inlineStr">
        <is>
          <t>multiple/conditional armaments</t>
        </is>
      </c>
      <c r="M365" t="inlineStr">
        <is>
          <t>not modeled; inspection required</t>
        </is>
      </c>
      <c r="N365" t="inlineStr"/>
      <c r="O365" t="inlineStr">
        <is>
          <t>mods/ca/rules/scrin/vehicles.yaml</t>
        </is>
      </c>
    </row>
    <row r="366">
      <c r="A366" t="inlineStr">
        <is>
          <t>scrin</t>
        </is>
      </c>
      <c r="B366" t="inlineStr">
        <is>
          <t>DEVO.heavy</t>
        </is>
      </c>
      <c r="C366" t="inlineStr">
        <is>
          <t>Heavy Devourer Tank</t>
        </is>
      </c>
      <c r="D366" t="inlineStr">
        <is>
          <t>1500</t>
        </is>
      </c>
      <c r="E366" t="inlineStr">
        <is>
          <t>48000</t>
        </is>
      </c>
      <c r="F366" t="inlineStr">
        <is>
          <t>65</t>
        </is>
      </c>
      <c r="G366" t="inlineStr"/>
      <c r="H366" t="inlineStr">
        <is>
          <t>local declaration</t>
        </is>
      </c>
      <c r="I366" t="inlineStr">
        <is>
          <t>radar, vehicles, ~traveler, ~promotion.devourer.heavy</t>
        </is>
      </c>
      <c r="J366" t="inlineStr">
        <is>
          <t>DEVO, ^HeavyArmor</t>
        </is>
      </c>
      <c r="K366" t="inlineStr"/>
      <c r="L366" t="inlineStr"/>
      <c r="M366" t="inlineStr">
        <is>
          <t>not modeled; inspection required</t>
        </is>
      </c>
      <c r="N366" t="inlineStr"/>
      <c r="O366" t="inlineStr">
        <is>
          <t>mods/ca/rules/scrin/vehicles.yaml</t>
        </is>
      </c>
    </row>
    <row r="367">
      <c r="A367" t="inlineStr">
        <is>
          <t>scrin</t>
        </is>
      </c>
      <c r="B367" t="inlineStr">
        <is>
          <t>RUIN</t>
        </is>
      </c>
      <c r="C367" t="inlineStr">
        <is>
          <t>Ruiner</t>
        </is>
      </c>
      <c r="D367" t="inlineStr">
        <is>
          <t>800</t>
        </is>
      </c>
      <c r="E367" t="inlineStr">
        <is>
          <t>15000</t>
        </is>
      </c>
      <c r="F367" t="inlineStr">
        <is>
          <t>80</t>
        </is>
      </c>
      <c r="G367" t="inlineStr"/>
      <c r="H367" t="inlineStr">
        <is>
          <t>local declaration</t>
        </is>
      </c>
      <c r="I367" t="inlineStr">
        <is>
          <t>tier3, vehicles, ~harvester, ~!upg.ruiner</t>
        </is>
      </c>
      <c r="J367" t="inlineStr">
        <is>
          <t>^FightingTankTurreted, ^FightingVehicle, ^LightHoverVehicle, ^ScrinSpriteRA2, ^BiologicalDriver, ^PrioArtillery, ^ScrinLightsMedium</t>
        </is>
      </c>
      <c r="K367" t="inlineStr">
        <is>
          <t>RuinerCannon</t>
        </is>
      </c>
      <c r="L367" t="inlineStr"/>
      <c r="M367" t="inlineStr">
        <is>
          <t>not modeled; inspection required</t>
        </is>
      </c>
      <c r="N367" t="inlineStr"/>
      <c r="O367" t="inlineStr">
        <is>
          <t>mods/ca/rules/scrin/vehicles.yaml</t>
        </is>
      </c>
    </row>
    <row r="368">
      <c r="A368" t="inlineStr">
        <is>
          <t>scrin</t>
        </is>
      </c>
      <c r="B368" t="inlineStr">
        <is>
          <t>RUIN.barrage</t>
        </is>
      </c>
      <c r="C368" t="inlineStr">
        <is>
          <t>Barrage Ruiner</t>
        </is>
      </c>
      <c r="D368" t="inlineStr">
        <is>
          <t>1400</t>
        </is>
      </c>
      <c r="E368" t="inlineStr"/>
      <c r="F368" t="inlineStr"/>
      <c r="G368" t="inlineStr"/>
      <c r="H368" t="inlineStr">
        <is>
          <t>local declaration</t>
        </is>
      </c>
      <c r="I368" t="inlineStr">
        <is>
          <t>tier3, vehicles, ~harvester, ~promotion.ruiner.barrage</t>
        </is>
      </c>
      <c r="J368" t="inlineStr">
        <is>
          <t>RUIN</t>
        </is>
      </c>
      <c r="K368" t="inlineStr">
        <is>
          <t>RuinerCannon.barrage</t>
        </is>
      </c>
      <c r="L368" t="inlineStr"/>
      <c r="M368" t="inlineStr">
        <is>
          <t>not modeled; inspection required</t>
        </is>
      </c>
      <c r="N368" t="inlineStr"/>
      <c r="O368" t="inlineStr">
        <is>
          <t>mods/ca/rules/scrin/vehicles.yaml</t>
        </is>
      </c>
    </row>
    <row r="369">
      <c r="A369" t="inlineStr">
        <is>
          <t>scrin</t>
        </is>
      </c>
      <c r="B369" t="inlineStr">
        <is>
          <t>RUIN.splash</t>
        </is>
      </c>
      <c r="C369" t="inlineStr">
        <is>
          <t>Splash Ruiner</t>
        </is>
      </c>
      <c r="D369" t="inlineStr">
        <is>
          <t>1200</t>
        </is>
      </c>
      <c r="E369" t="inlineStr"/>
      <c r="F369" t="inlineStr"/>
      <c r="G369" t="inlineStr"/>
      <c r="H369" t="inlineStr">
        <is>
          <t>local declaration</t>
        </is>
      </c>
      <c r="I369" t="inlineStr">
        <is>
          <t>tier3, vehicles, ~harvester, ~promotion.ruiner.splash</t>
        </is>
      </c>
      <c r="J369" t="inlineStr">
        <is>
          <t>RUIN</t>
        </is>
      </c>
      <c r="K369" t="inlineStr">
        <is>
          <t>RuinerCannon.splash</t>
        </is>
      </c>
      <c r="L369" t="inlineStr"/>
      <c r="M369" t="inlineStr">
        <is>
          <t>not modeled; inspection required</t>
        </is>
      </c>
      <c r="N369" t="inlineStr"/>
      <c r="O369" t="inlineStr">
        <is>
          <t>mods/ca/rules/scrin/vehicles.yaml</t>
        </is>
      </c>
    </row>
    <row r="370">
      <c r="A370" t="inlineStr">
        <is>
          <t>scrin</t>
        </is>
      </c>
      <c r="B370" t="inlineStr">
        <is>
          <t>ATMZ</t>
        </is>
      </c>
      <c r="C370" t="inlineStr">
        <is>
          <t>Atomizer</t>
        </is>
      </c>
      <c r="D370" t="inlineStr">
        <is>
          <t>1250</t>
        </is>
      </c>
      <c r="E370" t="inlineStr">
        <is>
          <t>22000</t>
        </is>
      </c>
      <c r="F370" t="inlineStr">
        <is>
          <t>75</t>
        </is>
      </c>
      <c r="G370" t="inlineStr">
        <is>
          <t>lighthover</t>
        </is>
      </c>
      <c r="H370" t="inlineStr">
        <is>
          <t>local declaration</t>
        </is>
      </c>
      <c r="I370" t="inlineStr">
        <is>
          <t>tier3, vehicles, ~traveler, ~!upg.ruiner</t>
        </is>
      </c>
      <c r="J370" t="inlineStr">
        <is>
          <t>^FightingVehicle, ^ScrinLightsMedium, ^HoverVehicle, ^BiologicalDriver, ^PrioArtillery</t>
        </is>
      </c>
      <c r="K370" t="inlineStr">
        <is>
          <t>AtomizerBolts</t>
        </is>
      </c>
      <c r="L370" t="inlineStr">
        <is>
          <t>hover/amphibious</t>
        </is>
      </c>
      <c r="M370" t="inlineStr">
        <is>
          <t>not modeled; inspection required</t>
        </is>
      </c>
      <c r="N370" t="inlineStr"/>
      <c r="O370" t="inlineStr">
        <is>
          <t>mods/ca/rules/scrin/vehicles.yaml</t>
        </is>
      </c>
    </row>
    <row r="371">
      <c r="A371" t="inlineStr">
        <is>
          <t>scrin</t>
        </is>
      </c>
      <c r="B371" t="inlineStr">
        <is>
          <t>ATMZ.AA</t>
        </is>
      </c>
      <c r="C371" t="inlineStr">
        <is>
          <t>Atomizer (AA)</t>
        </is>
      </c>
      <c r="D371" t="inlineStr"/>
      <c r="E371" t="inlineStr"/>
      <c r="F371" t="inlineStr"/>
      <c r="G371" t="inlineStr"/>
      <c r="H371" t="inlineStr">
        <is>
          <t>local declaration</t>
        </is>
      </c>
      <c r="I371" t="inlineStr">
        <is>
          <t>tier3, vehicles, ~traveler, ~promotion.atomizer.aa</t>
        </is>
      </c>
      <c r="J371" t="inlineStr">
        <is>
          <t>ATMZ</t>
        </is>
      </c>
      <c r="K371" t="inlineStr">
        <is>
          <t>AtomizerBoltsAA</t>
        </is>
      </c>
      <c r="L371" t="inlineStr"/>
      <c r="M371" t="inlineStr">
        <is>
          <t>not modeled; inspection required</t>
        </is>
      </c>
      <c r="N371" t="inlineStr"/>
      <c r="O371" t="inlineStr">
        <is>
          <t>mods/ca/rules/scrin/vehicles.yaml</t>
        </is>
      </c>
    </row>
    <row r="372">
      <c r="A372" t="inlineStr">
        <is>
          <t>scrin</t>
        </is>
      </c>
      <c r="B372" t="inlineStr">
        <is>
          <t>ATMZ.Range</t>
        </is>
      </c>
      <c r="C372" t="inlineStr">
        <is>
          <t>Range Atomizer</t>
        </is>
      </c>
      <c r="D372" t="inlineStr"/>
      <c r="E372" t="inlineStr"/>
      <c r="F372" t="inlineStr"/>
      <c r="G372" t="inlineStr"/>
      <c r="H372" t="inlineStr">
        <is>
          <t>local declaration</t>
        </is>
      </c>
      <c r="I372" t="inlineStr">
        <is>
          <t>tier3, vehicles, ~traveler, promotion.atomizer.range</t>
        </is>
      </c>
      <c r="J372" t="inlineStr">
        <is>
          <t>ATMZ</t>
        </is>
      </c>
      <c r="K372" t="inlineStr">
        <is>
          <t>AtomizerBolts.range</t>
        </is>
      </c>
      <c r="L372" t="inlineStr"/>
      <c r="M372" t="inlineStr">
        <is>
          <t>not modeled; inspection required</t>
        </is>
      </c>
      <c r="N372" t="inlineStr"/>
      <c r="O372" t="inlineStr">
        <is>
          <t>mods/ca/rules/scrin/vehicles.yaml</t>
        </is>
      </c>
    </row>
    <row r="373">
      <c r="A373" t="inlineStr">
        <is>
          <t>scrin</t>
        </is>
      </c>
      <c r="B373" t="inlineStr">
        <is>
          <t>TPOD</t>
        </is>
      </c>
      <c r="C373" t="inlineStr">
        <is>
          <t>Annihilator Tripod</t>
        </is>
      </c>
      <c r="D373" t="inlineStr">
        <is>
          <t>1200</t>
        </is>
      </c>
      <c r="E373" t="inlineStr">
        <is>
          <t>45000</t>
        </is>
      </c>
      <c r="F373" t="inlineStr">
        <is>
          <t>66</t>
        </is>
      </c>
      <c r="G373" t="inlineStr">
        <is>
          <t>heavytracked</t>
        </is>
      </c>
      <c r="H373" t="inlineStr">
        <is>
          <t>local declaration</t>
        </is>
      </c>
      <c r="I373" t="inlineStr">
        <is>
          <t>tier3, vehicles, ~traveler, ~!upg.tripod, ~!upg.tripod</t>
        </is>
      </c>
      <c r="J373" t="inlineStr">
        <is>
          <t>^FightingTankTurreted, ^BigVehicle, ^ScrinSpriteRA2, ^ScrinLightsTripod, ^BiologicalDriver, ^PrioAntiHeavy</t>
        </is>
      </c>
      <c r="K373" t="inlineStr">
        <is>
          <t>TripodLaser</t>
        </is>
      </c>
      <c r="L373" t="inlineStr"/>
      <c r="M373" t="inlineStr">
        <is>
          <t>not modeled; inspection required</t>
        </is>
      </c>
      <c r="N373" t="inlineStr"/>
      <c r="O373" t="inlineStr">
        <is>
          <t>mods/ca/rules/scrin/vehicles.yaml</t>
        </is>
      </c>
    </row>
    <row r="374">
      <c r="A374" t="inlineStr">
        <is>
          <t>scrin</t>
        </is>
      </c>
      <c r="B374" t="inlineStr">
        <is>
          <t>TPOD.chain</t>
        </is>
      </c>
      <c r="C374" t="inlineStr">
        <is>
          <t>Chainer Tripod</t>
        </is>
      </c>
      <c r="D374" t="inlineStr"/>
      <c r="E374" t="inlineStr"/>
      <c r="F374" t="inlineStr"/>
      <c r="G374" t="inlineStr"/>
      <c r="H374" t="inlineStr">
        <is>
          <t>local declaration</t>
        </is>
      </c>
      <c r="I374" t="inlineStr">
        <is>
          <t>tier3, vehicles, ~traveler, ~promotion.tripod.chainer, ~!upg.tripod2</t>
        </is>
      </c>
      <c r="J374" t="inlineStr">
        <is>
          <t>TPOD</t>
        </is>
      </c>
      <c r="K374" t="inlineStr">
        <is>
          <t>TripodLaser.chain</t>
        </is>
      </c>
      <c r="L374" t="inlineStr"/>
      <c r="M374" t="inlineStr">
        <is>
          <t>not modeled; inspection required</t>
        </is>
      </c>
      <c r="N374" t="inlineStr"/>
      <c r="O374" t="inlineStr">
        <is>
          <t>mods/ca/rules/scrin/vehicles.yaml</t>
        </is>
      </c>
    </row>
    <row r="375">
      <c r="A375" t="inlineStr">
        <is>
          <t>scrin</t>
        </is>
      </c>
      <c r="B375" t="inlineStr">
        <is>
          <t>TPOD.chain.reflector</t>
        </is>
      </c>
      <c r="C375" t="inlineStr">
        <is>
          <t>Chainer Tripod (Reflector)</t>
        </is>
      </c>
      <c r="D375" t="inlineStr"/>
      <c r="E375" t="inlineStr"/>
      <c r="F375" t="inlineStr"/>
      <c r="G375" t="inlineStr"/>
      <c r="H375" t="inlineStr">
        <is>
          <t>local declaration</t>
        </is>
      </c>
      <c r="I375" t="inlineStr">
        <is>
          <t>tier3, vehicles, ~traveler, ~promotion.tripod.chainer, ~promotion.tripod.reflector</t>
        </is>
      </c>
      <c r="J375" t="inlineStr">
        <is>
          <t>TPOD.chain, ^ReflectorArmor</t>
        </is>
      </c>
      <c r="K375" t="inlineStr"/>
      <c r="L375" t="inlineStr"/>
      <c r="M375" t="inlineStr">
        <is>
          <t>not modeled; inspection required</t>
        </is>
      </c>
      <c r="N375" t="inlineStr"/>
      <c r="O375" t="inlineStr">
        <is>
          <t>mods/ca/rules/scrin/vehicles.yaml</t>
        </is>
      </c>
    </row>
    <row r="376">
      <c r="A376" t="inlineStr">
        <is>
          <t>scrin</t>
        </is>
      </c>
      <c r="B376" t="inlineStr">
        <is>
          <t>TPOD.chain.PDL</t>
        </is>
      </c>
      <c r="C376" t="inlineStr">
        <is>
          <t>Chainer Tripod (PDL)</t>
        </is>
      </c>
      <c r="D376" t="inlineStr">
        <is>
          <t>1700</t>
        </is>
      </c>
      <c r="E376" t="inlineStr"/>
      <c r="F376" t="inlineStr"/>
      <c r="G376" t="inlineStr"/>
      <c r="H376" t="inlineStr">
        <is>
          <t>local declaration</t>
        </is>
      </c>
      <c r="I376" t="inlineStr">
        <is>
          <t>tier3, vehicles, ~traveler, ~promotion.tripod.chainer, ~promotion.tripod.pdl</t>
        </is>
      </c>
      <c r="J376" t="inlineStr">
        <is>
          <t>TPOD.chain, ^PointLaserDefenseSystem</t>
        </is>
      </c>
      <c r="K376" t="inlineStr"/>
      <c r="L376" t="inlineStr"/>
      <c r="M376" t="inlineStr">
        <is>
          <t>not modeled; inspection required</t>
        </is>
      </c>
      <c r="N376" t="inlineStr"/>
      <c r="O376" t="inlineStr">
        <is>
          <t>mods/ca/rules/scrin/vehicles.yaml</t>
        </is>
      </c>
    </row>
    <row r="377">
      <c r="A377" t="inlineStr">
        <is>
          <t>scrin</t>
        </is>
      </c>
      <c r="B377" t="inlineStr">
        <is>
          <t>TPOD.acid</t>
        </is>
      </c>
      <c r="C377" t="inlineStr">
        <is>
          <t>Acid Tripod</t>
        </is>
      </c>
      <c r="D377" t="inlineStr"/>
      <c r="E377" t="inlineStr"/>
      <c r="F377" t="inlineStr"/>
      <c r="G377" t="inlineStr"/>
      <c r="H377" t="inlineStr">
        <is>
          <t>local declaration</t>
        </is>
      </c>
      <c r="I377" t="inlineStr">
        <is>
          <t>tier3, vehicles, ~traveler, ~promotion.tripod.acid, ~!upg.tripod2</t>
        </is>
      </c>
      <c r="J377" t="inlineStr">
        <is>
          <t>TPOD, ^PrioAntiReflector, ^ScrinAcidUnit</t>
        </is>
      </c>
      <c r="K377" t="inlineStr">
        <is>
          <t>Tripod.acid, Tripod.acid.Corrosive</t>
        </is>
      </c>
      <c r="L377" t="inlineStr">
        <is>
          <t>multiple/conditional armaments</t>
        </is>
      </c>
      <c r="M377" t="inlineStr">
        <is>
          <t>not modeled; inspection required</t>
        </is>
      </c>
      <c r="N377" t="inlineStr"/>
      <c r="O377" t="inlineStr">
        <is>
          <t>mods/ca/rules/scrin/vehicles.yaml</t>
        </is>
      </c>
    </row>
    <row r="378">
      <c r="A378" t="inlineStr">
        <is>
          <t>scrin</t>
        </is>
      </c>
      <c r="B378" t="inlineStr">
        <is>
          <t>TPOD.acid.reflector</t>
        </is>
      </c>
      <c r="C378" t="inlineStr">
        <is>
          <t>Acid Tripod (Reflector)</t>
        </is>
      </c>
      <c r="D378" t="inlineStr"/>
      <c r="E378" t="inlineStr"/>
      <c r="F378" t="inlineStr"/>
      <c r="G378" t="inlineStr"/>
      <c r="H378" t="inlineStr">
        <is>
          <t>local declaration</t>
        </is>
      </c>
      <c r="I378" t="inlineStr">
        <is>
          <t>tier3, vehicles, ~traveler, ~promotion.tripod.acid, ~promotion.tripod.reflector</t>
        </is>
      </c>
      <c r="J378" t="inlineStr">
        <is>
          <t>TPOD.acid, ^ReflectorArmor</t>
        </is>
      </c>
      <c r="K378" t="inlineStr"/>
      <c r="L378" t="inlineStr"/>
      <c r="M378" t="inlineStr">
        <is>
          <t>not modeled; inspection required</t>
        </is>
      </c>
      <c r="N378" t="inlineStr"/>
      <c r="O378" t="inlineStr">
        <is>
          <t>mods/ca/rules/scrin/vehicles.yaml</t>
        </is>
      </c>
    </row>
    <row r="379">
      <c r="A379" t="inlineStr">
        <is>
          <t>scrin</t>
        </is>
      </c>
      <c r="B379" t="inlineStr">
        <is>
          <t>TPOD.acid.pdl</t>
        </is>
      </c>
      <c r="C379" t="inlineStr">
        <is>
          <t>Acid Tripod (PDL)</t>
        </is>
      </c>
      <c r="D379" t="inlineStr">
        <is>
          <t>1700</t>
        </is>
      </c>
      <c r="E379" t="inlineStr"/>
      <c r="F379" t="inlineStr"/>
      <c r="G379" t="inlineStr"/>
      <c r="H379" t="inlineStr">
        <is>
          <t>local declaration</t>
        </is>
      </c>
      <c r="I379" t="inlineStr">
        <is>
          <t>tier3, vehicles, ~traveler, ~promotion.tripod.acid, ~promotion.tripod.pdl</t>
        </is>
      </c>
      <c r="J379" t="inlineStr">
        <is>
          <t>TPOD.acid, ^PointLaserDefenseSystem</t>
        </is>
      </c>
      <c r="K379" t="inlineStr"/>
      <c r="L379" t="inlineStr"/>
      <c r="M379" t="inlineStr">
        <is>
          <t>not modeled; inspection required</t>
        </is>
      </c>
      <c r="N379" t="inlineStr"/>
      <c r="O379" t="inlineStr">
        <is>
          <t>mods/ca/rules/scrin/vehicles.yaml</t>
        </is>
      </c>
    </row>
    <row r="380">
      <c r="A380" t="inlineStr">
        <is>
          <t>scrin</t>
        </is>
      </c>
      <c r="B380" t="inlineStr">
        <is>
          <t>RPTP</t>
        </is>
      </c>
      <c r="C380" t="inlineStr">
        <is>
          <t>Heavy Tripod</t>
        </is>
      </c>
      <c r="D380" t="inlineStr">
        <is>
          <t>2200</t>
        </is>
      </c>
      <c r="E380" t="inlineStr">
        <is>
          <t>98000</t>
        </is>
      </c>
      <c r="F380" t="inlineStr"/>
      <c r="G380" t="inlineStr"/>
      <c r="H380" t="inlineStr">
        <is>
          <t>local declaration</t>
        </is>
      </c>
      <c r="I380" t="inlineStr">
        <is>
          <t>tier3, vehicles, ~reaper, ~!upg.reaper</t>
        </is>
      </c>
      <c r="J380" t="inlineStr">
        <is>
          <t>TPOD</t>
        </is>
      </c>
      <c r="K380" t="inlineStr">
        <is>
          <t>ReaperLaser</t>
        </is>
      </c>
      <c r="L380" t="inlineStr"/>
      <c r="M380" t="inlineStr">
        <is>
          <t>not modeled; inspection required</t>
        </is>
      </c>
      <c r="N380" t="inlineStr"/>
      <c r="O380" t="inlineStr">
        <is>
          <t>mods/ca/rules/scrin/vehicles.yaml</t>
        </is>
      </c>
    </row>
    <row r="381">
      <c r="A381" t="inlineStr">
        <is>
          <t>scrin</t>
        </is>
      </c>
      <c r="B381" t="inlineStr">
        <is>
          <t>RPTP.range</t>
        </is>
      </c>
      <c r="C381" t="inlineStr">
        <is>
          <t>Range Tripod</t>
        </is>
      </c>
      <c r="D381" t="inlineStr">
        <is>
          <t>2500</t>
        </is>
      </c>
      <c r="E381" t="inlineStr"/>
      <c r="F381" t="inlineStr"/>
      <c r="G381" t="inlineStr"/>
      <c r="H381" t="inlineStr">
        <is>
          <t>local declaration</t>
        </is>
      </c>
      <c r="I381" t="inlineStr">
        <is>
          <t>tier3, vehicles, ~reaper, ~promotion.reaper.range, ~!upg.reaper2</t>
        </is>
      </c>
      <c r="J381" t="inlineStr">
        <is>
          <t>RPTP</t>
        </is>
      </c>
      <c r="K381" t="inlineStr">
        <is>
          <t>ReaperLaser.range</t>
        </is>
      </c>
      <c r="L381" t="inlineStr"/>
      <c r="M381" t="inlineStr">
        <is>
          <t>not modeled; inspection required</t>
        </is>
      </c>
      <c r="N381" t="inlineStr"/>
      <c r="O381" t="inlineStr">
        <is>
          <t>mods/ca/rules/scrin/vehicles.yaml</t>
        </is>
      </c>
    </row>
    <row r="382">
      <c r="A382" t="inlineStr">
        <is>
          <t>scrin</t>
        </is>
      </c>
      <c r="B382" t="inlineStr">
        <is>
          <t>RPTP.range.reflector</t>
        </is>
      </c>
      <c r="C382" t="inlineStr">
        <is>
          <t>Range Heavy Tripod (Reflector)</t>
        </is>
      </c>
      <c r="D382" t="inlineStr"/>
      <c r="E382" t="inlineStr"/>
      <c r="F382" t="inlineStr"/>
      <c r="G382" t="inlineStr"/>
      <c r="H382" t="inlineStr">
        <is>
          <t>local declaration</t>
        </is>
      </c>
      <c r="I382" t="inlineStr">
        <is>
          <t>tier3, vehicles, ~reaper, ~promotion.reaper.range, ~promotion.reaper.reflector</t>
        </is>
      </c>
      <c r="J382" t="inlineStr">
        <is>
          <t>RPTP.range, ^ReflectorArmor</t>
        </is>
      </c>
      <c r="K382" t="inlineStr"/>
      <c r="L382" t="inlineStr"/>
      <c r="M382" t="inlineStr">
        <is>
          <t>not modeled; inspection required</t>
        </is>
      </c>
      <c r="N382" t="inlineStr"/>
      <c r="O382" t="inlineStr">
        <is>
          <t>mods/ca/rules/scrin/vehicles.yaml</t>
        </is>
      </c>
    </row>
    <row r="383">
      <c r="A383" t="inlineStr">
        <is>
          <t>scrin</t>
        </is>
      </c>
      <c r="B383" t="inlineStr">
        <is>
          <t>RPTP.range.PDL</t>
        </is>
      </c>
      <c r="C383" t="inlineStr">
        <is>
          <t>Range Heavy Tripod (PDL)</t>
        </is>
      </c>
      <c r="D383" t="inlineStr">
        <is>
          <t>3000</t>
        </is>
      </c>
      <c r="E383" t="inlineStr"/>
      <c r="F383" t="inlineStr"/>
      <c r="G383" t="inlineStr"/>
      <c r="H383" t="inlineStr">
        <is>
          <t>local declaration</t>
        </is>
      </c>
      <c r="I383" t="inlineStr">
        <is>
          <t>tier3, vehicles, ~reaper, ~promotion.reaper.range, ~promotion.reaper.pdl</t>
        </is>
      </c>
      <c r="J383" t="inlineStr">
        <is>
          <t>RPTP.range, ^PointLaserDefenseSystem</t>
        </is>
      </c>
      <c r="K383" t="inlineStr"/>
      <c r="L383" t="inlineStr"/>
      <c r="M383" t="inlineStr">
        <is>
          <t>not modeled; inspection required</t>
        </is>
      </c>
      <c r="N383" t="inlineStr"/>
      <c r="O383" t="inlineStr">
        <is>
          <t>mods/ca/rules/scrin/vehicles.yaml</t>
        </is>
      </c>
    </row>
    <row r="384">
      <c r="A384" t="inlineStr">
        <is>
          <t>scrin</t>
        </is>
      </c>
      <c r="B384" t="inlineStr">
        <is>
          <t>RPTP.acid</t>
        </is>
      </c>
      <c r="C384" t="inlineStr">
        <is>
          <t>Acid Heavy Tripod</t>
        </is>
      </c>
      <c r="D384" t="inlineStr"/>
      <c r="E384" t="inlineStr"/>
      <c r="F384" t="inlineStr"/>
      <c r="G384" t="inlineStr"/>
      <c r="H384" t="inlineStr">
        <is>
          <t>local declaration</t>
        </is>
      </c>
      <c r="I384" t="inlineStr">
        <is>
          <t>tier3, vehicles, ~reaper, ~promotion.reaper.acid, ~!upg.reaper2</t>
        </is>
      </c>
      <c r="J384" t="inlineStr">
        <is>
          <t>RPTP, ^ScrinAcidUnit</t>
        </is>
      </c>
      <c r="K384" t="inlineStr">
        <is>
          <t>Reaper.Acid, Reaper.Acid.Corrosive</t>
        </is>
      </c>
      <c r="L384" t="inlineStr">
        <is>
          <t>multiple/conditional armaments</t>
        </is>
      </c>
      <c r="M384" t="inlineStr">
        <is>
          <t>not modeled; inspection required</t>
        </is>
      </c>
      <c r="N384" t="inlineStr"/>
      <c r="O384" t="inlineStr">
        <is>
          <t>mods/ca/rules/scrin/vehicles.yaml</t>
        </is>
      </c>
    </row>
    <row r="385">
      <c r="A385" t="inlineStr">
        <is>
          <t>scrin</t>
        </is>
      </c>
      <c r="B385" t="inlineStr">
        <is>
          <t>RPTP.acid.reflector</t>
        </is>
      </c>
      <c r="C385" t="inlineStr">
        <is>
          <t>Acid Heavy Tripod (Reflector)</t>
        </is>
      </c>
      <c r="D385" t="inlineStr"/>
      <c r="E385" t="inlineStr"/>
      <c r="F385" t="inlineStr"/>
      <c r="G385" t="inlineStr"/>
      <c r="H385" t="inlineStr">
        <is>
          <t>local declaration</t>
        </is>
      </c>
      <c r="I385" t="inlineStr">
        <is>
          <t>tier3, vehicles, ~reaper, ~promotion.reaper.acid, ~promotion.reaper.reflector</t>
        </is>
      </c>
      <c r="J385" t="inlineStr">
        <is>
          <t>RPTP.acid, ^ReflectorArmor</t>
        </is>
      </c>
      <c r="K385" t="inlineStr">
        <is>
          <t>Reaper.Acid</t>
        </is>
      </c>
      <c r="L385" t="inlineStr"/>
      <c r="M385" t="inlineStr">
        <is>
          <t>not modeled; inspection required</t>
        </is>
      </c>
      <c r="N385" t="inlineStr"/>
      <c r="O385" t="inlineStr">
        <is>
          <t>mods/ca/rules/scrin/vehicles.yaml</t>
        </is>
      </c>
    </row>
    <row r="386">
      <c r="A386" t="inlineStr">
        <is>
          <t>scrin</t>
        </is>
      </c>
      <c r="B386" t="inlineStr">
        <is>
          <t>RPTP.acid.PDL</t>
        </is>
      </c>
      <c r="C386" t="inlineStr">
        <is>
          <t>Acid Heavy Tripod (PDL)</t>
        </is>
      </c>
      <c r="D386" t="inlineStr">
        <is>
          <t>2300</t>
        </is>
      </c>
      <c r="E386" t="inlineStr"/>
      <c r="F386" t="inlineStr"/>
      <c r="G386" t="inlineStr"/>
      <c r="H386" t="inlineStr">
        <is>
          <t>local declaration</t>
        </is>
      </c>
      <c r="I386" t="inlineStr">
        <is>
          <t>tier3, vehicles, ~reaper, ~promotion.reaper.acid, ~promotion.reaper.pdl</t>
        </is>
      </c>
      <c r="J386" t="inlineStr">
        <is>
          <t>RPTP.acid, ^PointLaserDefenseSystem</t>
        </is>
      </c>
      <c r="K386" t="inlineStr"/>
      <c r="L386" t="inlineStr"/>
      <c r="M386" t="inlineStr">
        <is>
          <t>not modeled; inspection required</t>
        </is>
      </c>
      <c r="N386" t="inlineStr"/>
      <c r="O386" t="inlineStr">
        <is>
          <t>mods/ca/rules/scrin/vehicles.yaml</t>
        </is>
      </c>
    </row>
    <row r="387">
      <c r="A387" t="inlineStr">
        <is>
          <t>scrin</t>
        </is>
      </c>
      <c r="B387" t="inlineStr">
        <is>
          <t>Hexapod</t>
        </is>
      </c>
      <c r="C387" t="inlineStr">
        <is>
          <t>Hexapod Eradicator</t>
        </is>
      </c>
      <c r="D387" t="inlineStr">
        <is>
          <t>5000</t>
        </is>
      </c>
      <c r="E387" t="inlineStr">
        <is>
          <t>150000</t>
        </is>
      </c>
      <c r="F387" t="inlineStr">
        <is>
          <t>42</t>
        </is>
      </c>
      <c r="G387" t="inlineStr">
        <is>
          <t>sheavytracked</t>
        </is>
      </c>
      <c r="H387" t="inlineStr">
        <is>
          <t>local declaration</t>
        </is>
      </c>
      <c r="I387" t="inlineStr">
        <is>
          <t>tier3, ~promotion.hexapod</t>
        </is>
      </c>
      <c r="J387" t="inlineStr">
        <is>
          <t>^FightingTankTurreted, ^ScrinAcidUnit, ^BigVehicle, ^ScrinSpriteTS, ^ScrinLightsMedium, ^HighResWalkerShadow, ^BiologicalDriver, ^PrioArtillery</t>
        </is>
      </c>
      <c r="K387" t="inlineStr">
        <is>
          <t>HexapodAcid, HexapodAcid.Corrosive</t>
        </is>
      </c>
      <c r="L387" t="inlineStr">
        <is>
          <t>multiple/conditional armaments</t>
        </is>
      </c>
      <c r="M387" t="inlineStr">
        <is>
          <t>not modeled; inspection required</t>
        </is>
      </c>
      <c r="N387" t="inlineStr"/>
      <c r="O387" t="inlineStr">
        <is>
          <t>mods/ca/rules/scrin/vehicles.yaml</t>
        </is>
      </c>
    </row>
    <row r="388">
      <c r="A388" t="inlineStr">
        <is>
          <t>scrin</t>
        </is>
      </c>
      <c r="B388" t="inlineStr">
        <is>
          <t>SMCV</t>
        </is>
      </c>
      <c r="C388" t="inlineStr">
        <is>
          <t>Colony Ship</t>
        </is>
      </c>
      <c r="D388" t="inlineStr">
        <is>
          <t>3000</t>
        </is>
      </c>
      <c r="E388" t="inlineStr">
        <is>
          <t>75000</t>
        </is>
      </c>
      <c r="F388" t="inlineStr">
        <is>
          <t>56</t>
        </is>
      </c>
      <c r="G388" t="inlineStr"/>
      <c r="H388" t="inlineStr">
        <is>
          <t>local declaration</t>
        </is>
      </c>
      <c r="I388" t="inlineStr">
        <is>
          <t>srep, vehicles, ~scrin</t>
        </is>
      </c>
      <c r="J388" t="inlineStr">
        <is>
          <t>^ConstructionVehicle, ^HoverVehicle, ^ScrinLightsTripod, ^BigVehicle, ^BiologicalDriver, ^SelectableSupportUnit, ^MustBeDestroyed</t>
        </is>
      </c>
      <c r="K388" t="inlineStr"/>
      <c r="L388" t="inlineStr">
        <is>
          <t>transformation/deploy, hover/amphibious</t>
        </is>
      </c>
      <c r="M388" t="inlineStr">
        <is>
          <t>not modeled; inspection required</t>
        </is>
      </c>
      <c r="N388" t="inlineStr"/>
      <c r="O388" t="inlineStr">
        <is>
          <t>mods/ca/rules/scrin/vehicles.yaml</t>
        </is>
      </c>
    </row>
    <row r="389">
      <c r="A389" t="inlineStr">
        <is>
          <t>scrin</t>
        </is>
      </c>
      <c r="B389" t="inlineStr">
        <is>
          <t>SMCV.Nukular</t>
        </is>
      </c>
      <c r="C389" t="inlineStr"/>
      <c r="D389" t="inlineStr"/>
      <c r="E389" t="inlineStr"/>
      <c r="F389" t="inlineStr"/>
      <c r="G389" t="inlineStr"/>
      <c r="H389" t="inlineStr">
        <is>
          <t>removed locally</t>
        </is>
      </c>
      <c r="I389" t="inlineStr"/>
      <c r="J389" t="inlineStr">
        <is>
          <t>SMCV, ^NukularConyard</t>
        </is>
      </c>
      <c r="K389" t="inlineStr"/>
      <c r="L389" t="inlineStr">
        <is>
          <t>transformation/deploy</t>
        </is>
      </c>
      <c r="M389" t="inlineStr">
        <is>
          <t>not modeled; inspection required</t>
        </is>
      </c>
      <c r="N389" t="inlineStr"/>
      <c r="O389" t="inlineStr">
        <is>
          <t>mods/ca/rules/scrin/vehicles.yaml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25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Design</t>
        </is>
      </c>
      <c r="B1" s="1" t="inlineStr">
        <is>
          <t>Preis alt</t>
        </is>
      </c>
      <c r="C1" s="1" t="inlineStr">
        <is>
          <t>Hardware nach Fertigung</t>
        </is>
      </c>
      <c r="D1" s="1" t="inlineStr">
        <is>
          <t>CP-Abzug</t>
        </is>
      </c>
      <c r="E1" s="1" t="inlineStr">
        <is>
          <t>Preis neu</t>
        </is>
      </c>
      <c r="F1" s="1" t="inlineStr">
        <is>
          <t>Differenz</t>
        </is>
      </c>
      <c r="G1" s="1" t="inlineStr">
        <is>
          <t>Differenz %</t>
        </is>
      </c>
      <c r="H1" s="1" t="inlineStr">
        <is>
          <t>HP alt</t>
        </is>
      </c>
      <c r="I1" s="1" t="inlineStr">
        <is>
          <t>HP neu</t>
        </is>
      </c>
      <c r="J1" s="1" t="inlineStr">
        <is>
          <t>Tempo alt</t>
        </is>
      </c>
      <c r="K1" s="1" t="inlineStr">
        <is>
          <t>Tempo neu</t>
        </is>
      </c>
      <c r="L1" s="1" t="inlineStr">
        <is>
          <t>CP neu</t>
        </is>
      </c>
      <c r="M1" s="1" t="inlineStr">
        <is>
          <t>Katalog neu</t>
        </is>
      </c>
      <c r="N1" s="1" t="inlineStr">
        <is>
          <t>Grenzen</t>
        </is>
      </c>
    </row>
    <row r="2">
      <c r="A2" t="inlineStr">
        <is>
          <t>Hum-Vee baseline</t>
        </is>
      </c>
      <c r="B2" t="n">
        <v>400</v>
      </c>
      <c r="C2">
        <f>Entwuerfe!AE2</f>
        <v/>
      </c>
      <c r="D2">
        <f>Entwuerfe!Q2</f>
        <v/>
      </c>
      <c r="E2">
        <f>Entwuerfe!R2</f>
        <v/>
      </c>
      <c r="F2">
        <f>E2-B2</f>
        <v/>
      </c>
      <c r="G2" s="2">
        <f>IF(B2=0,0,F2/B2)</f>
        <v/>
      </c>
      <c r="H2" t="n">
        <v>15000</v>
      </c>
      <c r="I2">
        <f>Entwuerfe!S2</f>
        <v/>
      </c>
      <c r="J2" t="n">
        <v>157</v>
      </c>
      <c r="K2">
        <f>Entwuerfe!W2</f>
        <v/>
      </c>
      <c r="L2">
        <f>Entwuerfe!N2</f>
        <v/>
      </c>
      <c r="M2">
        <f>Entwuerfe!M2</f>
        <v/>
      </c>
      <c r="N2">
        <f>Entwuerfe!Y2</f>
        <v/>
      </c>
    </row>
    <row r="3">
      <c r="A3" t="inlineStr">
        <is>
          <t>Buggy baseline</t>
        </is>
      </c>
      <c r="B3" t="n">
        <v>350</v>
      </c>
      <c r="C3">
        <f>Entwuerfe!AE3</f>
        <v/>
      </c>
      <c r="D3">
        <f>Entwuerfe!Q3</f>
        <v/>
      </c>
      <c r="E3">
        <f>Entwuerfe!R3</f>
        <v/>
      </c>
      <c r="F3">
        <f>E3-B3</f>
        <v/>
      </c>
      <c r="G3" s="2">
        <f>IF(B3=0,0,F3/B3)</f>
        <v/>
      </c>
      <c r="H3" t="n">
        <v>14000</v>
      </c>
      <c r="I3">
        <f>Entwuerfe!S3</f>
        <v/>
      </c>
      <c r="J3" t="n">
        <v>157</v>
      </c>
      <c r="K3">
        <f>Entwuerfe!W3</f>
        <v/>
      </c>
      <c r="L3">
        <f>Entwuerfe!N3</f>
        <v/>
      </c>
      <c r="M3">
        <f>Entwuerfe!M3</f>
        <v/>
      </c>
      <c r="N3">
        <f>Entwuerfe!Y3</f>
        <v/>
      </c>
    </row>
    <row r="4">
      <c r="A4" t="inlineStr">
        <is>
          <t>Nod Light Tank baseline</t>
        </is>
      </c>
      <c r="B4" t="n">
        <v>625</v>
      </c>
      <c r="C4">
        <f>Entwuerfe!AE4</f>
        <v/>
      </c>
      <c r="D4">
        <f>Entwuerfe!Q4</f>
        <v/>
      </c>
      <c r="E4">
        <f>Entwuerfe!R4</f>
        <v/>
      </c>
      <c r="F4">
        <f>E4-B4</f>
        <v/>
      </c>
      <c r="G4" s="2">
        <f>IF(B4=0,0,F4/B4)</f>
        <v/>
      </c>
      <c r="H4" t="n">
        <v>41250</v>
      </c>
      <c r="I4">
        <f>Entwuerfe!S4</f>
        <v/>
      </c>
      <c r="J4" t="n">
        <v>100</v>
      </c>
      <c r="K4">
        <f>Entwuerfe!W4</f>
        <v/>
      </c>
      <c r="L4">
        <f>Entwuerfe!N4</f>
        <v/>
      </c>
      <c r="M4">
        <f>Entwuerfe!M4</f>
        <v/>
      </c>
      <c r="N4">
        <f>Entwuerfe!Y4</f>
        <v/>
      </c>
    </row>
    <row r="5">
      <c r="A5" t="inlineStr">
        <is>
          <t>T-34 baseline</t>
        </is>
      </c>
      <c r="B5" t="n">
        <v>600</v>
      </c>
      <c r="C5">
        <f>Entwuerfe!AE5</f>
        <v/>
      </c>
      <c r="D5">
        <f>Entwuerfe!Q5</f>
        <v/>
      </c>
      <c r="E5">
        <f>Entwuerfe!R5</f>
        <v/>
      </c>
      <c r="F5">
        <f>E5-B5</f>
        <v/>
      </c>
      <c r="G5" s="2">
        <f>IF(B5=0,0,F5/B5)</f>
        <v/>
      </c>
      <c r="H5" t="n">
        <v>42000</v>
      </c>
      <c r="I5">
        <f>Entwuerfe!S5</f>
        <v/>
      </c>
      <c r="J5" t="n">
        <v>100</v>
      </c>
      <c r="K5">
        <f>Entwuerfe!W5</f>
        <v/>
      </c>
      <c r="L5">
        <f>Entwuerfe!N5</f>
        <v/>
      </c>
      <c r="M5">
        <f>Entwuerfe!M5</f>
        <v/>
      </c>
      <c r="N5">
        <f>Entwuerfe!Y5</f>
        <v/>
      </c>
    </row>
    <row r="6">
      <c r="A6" t="inlineStr">
        <is>
          <t>Devil Tank baseline</t>
        </is>
      </c>
      <c r="B6" t="n">
        <v>700</v>
      </c>
      <c r="C6">
        <f>Entwuerfe!AE6</f>
        <v/>
      </c>
      <c r="D6">
        <f>Entwuerfe!Q6</f>
        <v/>
      </c>
      <c r="E6">
        <f>Entwuerfe!R6</f>
        <v/>
      </c>
      <c r="F6">
        <f>E6-B6</f>
        <v/>
      </c>
      <c r="G6" s="2">
        <f>IF(B6=0,0,F6/B6)</f>
        <v/>
      </c>
      <c r="H6" t="n">
        <v>45000</v>
      </c>
      <c r="I6">
        <f>Entwuerfe!S6</f>
        <v/>
      </c>
      <c r="J6" t="n">
        <v>90</v>
      </c>
      <c r="K6">
        <f>Entwuerfe!W6</f>
        <v/>
      </c>
      <c r="L6">
        <f>Entwuerfe!N6</f>
        <v/>
      </c>
      <c r="M6">
        <f>Entwuerfe!M6</f>
        <v/>
      </c>
      <c r="N6">
        <f>Entwuerfe!Y6</f>
        <v/>
      </c>
    </row>
    <row r="7">
      <c r="A7" t="inlineStr">
        <is>
          <t>GDI Battle Tank baseline</t>
        </is>
      </c>
      <c r="B7" t="n">
        <v>900</v>
      </c>
      <c r="C7">
        <f>Entwuerfe!AE7</f>
        <v/>
      </c>
      <c r="D7">
        <f>Entwuerfe!Q7</f>
        <v/>
      </c>
      <c r="E7">
        <f>Entwuerfe!R7</f>
        <v/>
      </c>
      <c r="F7">
        <f>E7-B7</f>
        <v/>
      </c>
      <c r="G7" s="2">
        <f>IF(B7=0,0,F7/B7)</f>
        <v/>
      </c>
      <c r="H7" t="n">
        <v>52000</v>
      </c>
      <c r="I7">
        <f>Entwuerfe!S7</f>
        <v/>
      </c>
      <c r="J7" t="n">
        <v>82</v>
      </c>
      <c r="K7">
        <f>Entwuerfe!W7</f>
        <v/>
      </c>
      <c r="L7">
        <f>Entwuerfe!N7</f>
        <v/>
      </c>
      <c r="M7">
        <f>Entwuerfe!M7</f>
        <v/>
      </c>
      <c r="N7">
        <f>Entwuerfe!Y7</f>
        <v/>
      </c>
    </row>
    <row r="8">
      <c r="A8" t="inlineStr">
        <is>
          <t>Allied Medium Tank prototype</t>
        </is>
      </c>
      <c r="B8" t="n">
        <v>800</v>
      </c>
      <c r="C8">
        <f>Entwuerfe!AE8</f>
        <v/>
      </c>
      <c r="D8">
        <f>Entwuerfe!Q8</f>
        <v/>
      </c>
      <c r="E8">
        <f>Entwuerfe!R8</f>
        <v/>
      </c>
      <c r="F8">
        <f>E8-B8</f>
        <v/>
      </c>
      <c r="G8" s="2">
        <f>IF(B8=0,0,F8/B8)</f>
        <v/>
      </c>
      <c r="H8" t="n">
        <v>45000</v>
      </c>
      <c r="I8">
        <f>Entwuerfe!S8</f>
        <v/>
      </c>
      <c r="J8" t="n">
        <v>82</v>
      </c>
      <c r="K8">
        <f>Entwuerfe!W8</f>
        <v/>
      </c>
      <c r="L8">
        <f>Entwuerfe!N8</f>
        <v/>
      </c>
      <c r="M8">
        <f>Entwuerfe!M8</f>
        <v/>
      </c>
      <c r="N8">
        <f>Entwuerfe!Y8</f>
        <v/>
      </c>
    </row>
    <row r="9">
      <c r="A9" t="inlineStr">
        <is>
          <t>Challenger baseline</t>
        </is>
      </c>
      <c r="B9" t="n">
        <v>800</v>
      </c>
      <c r="C9">
        <f>Entwuerfe!AE9</f>
        <v/>
      </c>
      <c r="D9">
        <f>Entwuerfe!Q9</f>
        <v/>
      </c>
      <c r="E9">
        <f>Entwuerfe!R9</f>
        <v/>
      </c>
      <c r="F9">
        <f>E9-B9</f>
        <v/>
      </c>
      <c r="G9" s="2">
        <f>IF(B9=0,0,F9/B9)</f>
        <v/>
      </c>
      <c r="H9" t="n">
        <v>45000</v>
      </c>
      <c r="I9">
        <f>Entwuerfe!S9</f>
        <v/>
      </c>
      <c r="J9" t="n">
        <v>82</v>
      </c>
      <c r="K9">
        <f>Entwuerfe!W9</f>
        <v/>
      </c>
      <c r="L9">
        <f>Entwuerfe!N9</f>
        <v/>
      </c>
      <c r="M9">
        <f>Entwuerfe!M9</f>
        <v/>
      </c>
      <c r="N9">
        <f>Entwuerfe!Y9</f>
        <v/>
      </c>
    </row>
    <row r="10">
      <c r="A10" t="inlineStr">
        <is>
          <t>Leclerc baseline</t>
        </is>
      </c>
      <c r="B10" t="n">
        <v>800</v>
      </c>
      <c r="C10">
        <f>Entwuerfe!AE10</f>
        <v/>
      </c>
      <c r="D10">
        <f>Entwuerfe!Q10</f>
        <v/>
      </c>
      <c r="E10">
        <f>Entwuerfe!R10</f>
        <v/>
      </c>
      <c r="F10">
        <f>E10-B10</f>
        <v/>
      </c>
      <c r="G10" s="2">
        <f>IF(B10=0,0,F10/B10)</f>
        <v/>
      </c>
      <c r="H10" t="n">
        <v>45000</v>
      </c>
      <c r="I10">
        <f>Entwuerfe!S10</f>
        <v/>
      </c>
      <c r="J10" t="n">
        <v>82</v>
      </c>
      <c r="K10">
        <f>Entwuerfe!W10</f>
        <v/>
      </c>
      <c r="L10">
        <f>Entwuerfe!N10</f>
        <v/>
      </c>
      <c r="M10">
        <f>Entwuerfe!M10</f>
        <v/>
      </c>
      <c r="N10">
        <f>Entwuerfe!Y10</f>
        <v/>
      </c>
    </row>
    <row r="11">
      <c r="A11" t="inlineStr">
        <is>
          <t>Leopard baseline</t>
        </is>
      </c>
      <c r="B11" t="n">
        <v>800</v>
      </c>
      <c r="C11">
        <f>Entwuerfe!AE11</f>
        <v/>
      </c>
      <c r="D11">
        <f>Entwuerfe!Q11</f>
        <v/>
      </c>
      <c r="E11">
        <f>Entwuerfe!R11</f>
        <v/>
      </c>
      <c r="F11">
        <f>E11-B11</f>
        <v/>
      </c>
      <c r="G11" s="2">
        <f>IF(B11=0,0,F11/B11)</f>
        <v/>
      </c>
      <c r="H11" t="n">
        <v>45000</v>
      </c>
      <c r="I11">
        <f>Entwuerfe!S11</f>
        <v/>
      </c>
      <c r="J11" t="n">
        <v>82</v>
      </c>
      <c r="K11">
        <f>Entwuerfe!W11</f>
        <v/>
      </c>
      <c r="L11">
        <f>Entwuerfe!N11</f>
        <v/>
      </c>
      <c r="M11">
        <f>Entwuerfe!M11</f>
        <v/>
      </c>
      <c r="N11">
        <f>Entwuerfe!Y11</f>
        <v/>
      </c>
    </row>
    <row r="12">
      <c r="A12" t="inlineStr">
        <is>
          <t>Soviet Heavy Tank baseline</t>
        </is>
      </c>
      <c r="B12" t="n">
        <v>1100</v>
      </c>
      <c r="C12">
        <f>Entwuerfe!AE12</f>
        <v/>
      </c>
      <c r="D12">
        <f>Entwuerfe!Q12</f>
        <v/>
      </c>
      <c r="E12">
        <f>Entwuerfe!R12</f>
        <v/>
      </c>
      <c r="F12">
        <f>E12-B12</f>
        <v/>
      </c>
      <c r="G12" s="2">
        <f>IF(B12=0,0,F12/B12)</f>
        <v/>
      </c>
      <c r="H12" t="n">
        <v>65000</v>
      </c>
      <c r="I12">
        <f>Entwuerfe!S12</f>
        <v/>
      </c>
      <c r="J12" t="n">
        <v>68</v>
      </c>
      <c r="K12">
        <f>Entwuerfe!W12</f>
        <v/>
      </c>
      <c r="L12">
        <f>Entwuerfe!N12</f>
        <v/>
      </c>
      <c r="M12">
        <f>Entwuerfe!M12</f>
        <v/>
      </c>
      <c r="N12">
        <f>Entwuerfe!Y12</f>
        <v/>
      </c>
    </row>
    <row r="13">
      <c r="A13" t="inlineStr">
        <is>
          <t>Allied Artillery baseline</t>
        </is>
      </c>
      <c r="B13" t="n">
        <v>550</v>
      </c>
      <c r="C13">
        <f>Entwuerfe!AE13</f>
        <v/>
      </c>
      <c r="D13">
        <f>Entwuerfe!Q13</f>
        <v/>
      </c>
      <c r="E13">
        <f>Entwuerfe!R13</f>
        <v/>
      </c>
      <c r="F13">
        <f>E13-B13</f>
        <v/>
      </c>
      <c r="G13" s="2">
        <f>IF(B13=0,0,F13/B13)</f>
        <v/>
      </c>
      <c r="H13" t="n">
        <v>10000</v>
      </c>
      <c r="I13">
        <f>Entwuerfe!S13</f>
        <v/>
      </c>
      <c r="J13" t="n">
        <v>56</v>
      </c>
      <c r="K13">
        <f>Entwuerfe!W13</f>
        <v/>
      </c>
      <c r="L13">
        <f>Entwuerfe!N13</f>
        <v/>
      </c>
      <c r="M13">
        <f>Entwuerfe!M13</f>
        <v/>
      </c>
      <c r="N13">
        <f>Entwuerfe!Y13</f>
        <v/>
      </c>
    </row>
    <row r="14">
      <c r="A14" t="inlineStr">
        <is>
          <t>Overlord Gatling</t>
        </is>
      </c>
      <c r="B14" t="n">
        <v>2000</v>
      </c>
      <c r="C14">
        <f>Entwuerfe!AE20</f>
        <v/>
      </c>
      <c r="D14">
        <f>Entwuerfe!Q20</f>
        <v/>
      </c>
      <c r="E14">
        <f>Entwuerfe!R20</f>
        <v/>
      </c>
      <c r="F14">
        <f>E14-B14</f>
        <v/>
      </c>
      <c r="G14" s="2">
        <f>IF(B14=0,0,F14/B14)</f>
        <v/>
      </c>
      <c r="H14" t="n">
        <v>95000</v>
      </c>
      <c r="I14">
        <f>Entwuerfe!S20</f>
        <v/>
      </c>
      <c r="J14" t="n">
        <v>56</v>
      </c>
      <c r="K14">
        <f>Entwuerfe!W20</f>
        <v/>
      </c>
      <c r="L14">
        <f>Entwuerfe!N20</f>
        <v/>
      </c>
      <c r="M14">
        <f>Entwuerfe!M20</f>
        <v/>
      </c>
      <c r="N14">
        <f>Entwuerfe!Y20</f>
        <v/>
      </c>
    </row>
    <row r="15">
      <c r="A15" t="inlineStr">
        <is>
          <t>Overlord Gatling PDL</t>
        </is>
      </c>
      <c r="B15" t="n">
        <v>2800</v>
      </c>
      <c r="C15">
        <f>Entwuerfe!AE21</f>
        <v/>
      </c>
      <c r="D15">
        <f>Entwuerfe!Q21</f>
        <v/>
      </c>
      <c r="E15">
        <f>Entwuerfe!R21</f>
        <v/>
      </c>
      <c r="F15">
        <f>E15-B15</f>
        <v/>
      </c>
      <c r="G15" s="2">
        <f>IF(B15=0,0,F15/B15)</f>
        <v/>
      </c>
      <c r="H15" t="n">
        <v>95000</v>
      </c>
      <c r="I15">
        <f>Entwuerfe!S21</f>
        <v/>
      </c>
      <c r="J15" t="n">
        <v>56</v>
      </c>
      <c r="K15">
        <f>Entwuerfe!W21</f>
        <v/>
      </c>
      <c r="L15">
        <f>Entwuerfe!N21</f>
        <v/>
      </c>
      <c r="M15">
        <f>Entwuerfe!M21</f>
        <v/>
      </c>
      <c r="N15">
        <f>Entwuerfe!Y21</f>
        <v/>
      </c>
    </row>
    <row r="16">
      <c r="A16" t="inlineStr">
        <is>
          <t>Overlord Gatling Reflector</t>
        </is>
      </c>
      <c r="B16" t="n">
        <v>2000</v>
      </c>
      <c r="C16">
        <f>Entwuerfe!AE22</f>
        <v/>
      </c>
      <c r="D16">
        <f>Entwuerfe!Q22</f>
        <v/>
      </c>
      <c r="E16">
        <f>Entwuerfe!R22</f>
        <v/>
      </c>
      <c r="F16">
        <f>E16-B16</f>
        <v/>
      </c>
      <c r="G16" s="2">
        <f>IF(B16=0,0,F16/B16)</f>
        <v/>
      </c>
      <c r="H16" t="n">
        <v>95000</v>
      </c>
      <c r="I16">
        <f>Entwuerfe!S22</f>
        <v/>
      </c>
      <c r="J16" t="n">
        <v>56</v>
      </c>
      <c r="K16">
        <f>Entwuerfe!W22</f>
        <v/>
      </c>
      <c r="L16">
        <f>Entwuerfe!N22</f>
        <v/>
      </c>
      <c r="M16">
        <f>Entwuerfe!M22</f>
        <v/>
      </c>
      <c r="N16">
        <f>Entwuerfe!Y22</f>
        <v/>
      </c>
    </row>
    <row r="17">
      <c r="A17" t="inlineStr">
        <is>
          <t>Overlord Bunker</t>
        </is>
      </c>
      <c r="B17" t="n">
        <v>3000</v>
      </c>
      <c r="C17">
        <f>Entwuerfe!AE26</f>
        <v/>
      </c>
      <c r="D17">
        <f>Entwuerfe!Q26</f>
        <v/>
      </c>
      <c r="E17">
        <f>Entwuerfe!R26</f>
        <v/>
      </c>
      <c r="F17">
        <f>E17-B17</f>
        <v/>
      </c>
      <c r="G17" s="2">
        <f>IF(B17=0,0,F17/B17)</f>
        <v/>
      </c>
      <c r="H17" t="n">
        <v>95000</v>
      </c>
      <c r="I17">
        <f>Entwuerfe!S26</f>
        <v/>
      </c>
      <c r="J17" t="n">
        <v>56</v>
      </c>
      <c r="K17">
        <f>Entwuerfe!W26</f>
        <v/>
      </c>
      <c r="L17">
        <f>Entwuerfe!N26</f>
        <v/>
      </c>
      <c r="M17">
        <f>Entwuerfe!M26</f>
        <v/>
      </c>
      <c r="N17">
        <f>Entwuerfe!Y26</f>
        <v/>
      </c>
    </row>
    <row r="18">
      <c r="A18" t="inlineStr">
        <is>
          <t>Overlord Bunker PDL</t>
        </is>
      </c>
      <c r="B18" t="n">
        <v>3600</v>
      </c>
      <c r="C18">
        <f>Entwuerfe!AE27</f>
        <v/>
      </c>
      <c r="D18">
        <f>Entwuerfe!Q27</f>
        <v/>
      </c>
      <c r="E18">
        <f>Entwuerfe!R27</f>
        <v/>
      </c>
      <c r="F18">
        <f>E18-B18</f>
        <v/>
      </c>
      <c r="G18" s="2">
        <f>IF(B18=0,0,F18/B18)</f>
        <v/>
      </c>
      <c r="H18" t="n">
        <v>95000</v>
      </c>
      <c r="I18">
        <f>Entwuerfe!S27</f>
        <v/>
      </c>
      <c r="J18" t="n">
        <v>56</v>
      </c>
      <c r="K18">
        <f>Entwuerfe!W27</f>
        <v/>
      </c>
      <c r="L18">
        <f>Entwuerfe!N27</f>
        <v/>
      </c>
      <c r="M18">
        <f>Entwuerfe!M27</f>
        <v/>
      </c>
      <c r="N18">
        <f>Entwuerfe!Y27</f>
        <v/>
      </c>
    </row>
    <row r="19">
      <c r="A19" t="inlineStr">
        <is>
          <t>Overlord Bunker Reflector</t>
        </is>
      </c>
      <c r="B19" t="n">
        <v>3000</v>
      </c>
      <c r="C19">
        <f>Entwuerfe!AE28</f>
        <v/>
      </c>
      <c r="D19">
        <f>Entwuerfe!Q28</f>
        <v/>
      </c>
      <c r="E19">
        <f>Entwuerfe!R28</f>
        <v/>
      </c>
      <c r="F19">
        <f>E19-B19</f>
        <v/>
      </c>
      <c r="G19" s="2">
        <f>IF(B19=0,0,F19/B19)</f>
        <v/>
      </c>
      <c r="H19" t="n">
        <v>95000</v>
      </c>
      <c r="I19">
        <f>Entwuerfe!S28</f>
        <v/>
      </c>
      <c r="J19" t="n">
        <v>56</v>
      </c>
      <c r="K19">
        <f>Entwuerfe!W28</f>
        <v/>
      </c>
      <c r="L19">
        <f>Entwuerfe!N28</f>
        <v/>
      </c>
      <c r="M19">
        <f>Entwuerfe!M28</f>
        <v/>
      </c>
      <c r="N19">
        <f>Entwuerfe!Y28</f>
        <v/>
      </c>
    </row>
    <row r="20">
      <c r="A20" t="inlineStr">
        <is>
          <t>Overlord baseline</t>
        </is>
      </c>
      <c r="B20" t="n">
        <v>2000</v>
      </c>
      <c r="C20">
        <f>Entwuerfe!AE29</f>
        <v/>
      </c>
      <c r="D20">
        <f>Entwuerfe!Q29</f>
        <v/>
      </c>
      <c r="E20">
        <f>Entwuerfe!R29</f>
        <v/>
      </c>
      <c r="F20">
        <f>E20-B20</f>
        <v/>
      </c>
      <c r="G20" s="2">
        <f>IF(B20=0,0,F20/B20)</f>
        <v/>
      </c>
      <c r="H20" t="n">
        <v>95000</v>
      </c>
      <c r="I20">
        <f>Entwuerfe!S29</f>
        <v/>
      </c>
      <c r="J20" t="n">
        <v>56</v>
      </c>
      <c r="K20">
        <f>Entwuerfe!W29</f>
        <v/>
      </c>
      <c r="L20">
        <f>Entwuerfe!N29</f>
        <v/>
      </c>
      <c r="M20">
        <f>Entwuerfe!M29</f>
        <v/>
      </c>
      <c r="N20">
        <f>Entwuerfe!Y29</f>
        <v/>
      </c>
    </row>
    <row r="21">
      <c r="A21" t="inlineStr">
        <is>
          <t>Overlord Nuclear Shells</t>
        </is>
      </c>
      <c r="B21" t="n">
        <v>2500</v>
      </c>
      <c r="C21">
        <f>Entwuerfe!AE30</f>
        <v/>
      </c>
      <c r="D21">
        <f>Entwuerfe!Q30</f>
        <v/>
      </c>
      <c r="E21">
        <f>Entwuerfe!R30</f>
        <v/>
      </c>
      <c r="F21">
        <f>E21-B21</f>
        <v/>
      </c>
      <c r="G21" s="2">
        <f>IF(B21=0,0,F21/B21)</f>
        <v/>
      </c>
      <c r="H21" t="n">
        <v>95000</v>
      </c>
      <c r="I21">
        <f>Entwuerfe!S30</f>
        <v/>
      </c>
      <c r="J21" t="n">
        <v>56</v>
      </c>
      <c r="K21">
        <f>Entwuerfe!W30</f>
        <v/>
      </c>
      <c r="L21">
        <f>Entwuerfe!N30</f>
        <v/>
      </c>
      <c r="M21">
        <f>Entwuerfe!M30</f>
        <v/>
      </c>
      <c r="N21">
        <f>Entwuerfe!Y30</f>
        <v/>
      </c>
    </row>
    <row r="22">
      <c r="A22" t="inlineStr">
        <is>
          <t>Overlord Nuclear Shells PDL</t>
        </is>
      </c>
      <c r="B22" t="n">
        <v>3000</v>
      </c>
      <c r="C22">
        <f>Entwuerfe!AE31</f>
        <v/>
      </c>
      <c r="D22">
        <f>Entwuerfe!Q31</f>
        <v/>
      </c>
      <c r="E22">
        <f>Entwuerfe!R31</f>
        <v/>
      </c>
      <c r="F22">
        <f>E22-B22</f>
        <v/>
      </c>
      <c r="G22" s="2">
        <f>IF(B22=0,0,F22/B22)</f>
        <v/>
      </c>
      <c r="H22" t="n">
        <v>95000</v>
      </c>
      <c r="I22">
        <f>Entwuerfe!S31</f>
        <v/>
      </c>
      <c r="J22" t="n">
        <v>56</v>
      </c>
      <c r="K22">
        <f>Entwuerfe!W31</f>
        <v/>
      </c>
      <c r="L22">
        <f>Entwuerfe!N31</f>
        <v/>
      </c>
      <c r="M22">
        <f>Entwuerfe!M31</f>
        <v/>
      </c>
      <c r="N22">
        <f>Entwuerfe!Y31</f>
        <v/>
      </c>
    </row>
    <row r="23">
      <c r="A23" t="inlineStr">
        <is>
          <t>Overlord Nuclear Shells Reflector</t>
        </is>
      </c>
      <c r="B23" t="n">
        <v>2500</v>
      </c>
      <c r="C23">
        <f>Entwuerfe!AE32</f>
        <v/>
      </c>
      <c r="D23">
        <f>Entwuerfe!Q32</f>
        <v/>
      </c>
      <c r="E23">
        <f>Entwuerfe!R32</f>
        <v/>
      </c>
      <c r="F23">
        <f>E23-B23</f>
        <v/>
      </c>
      <c r="G23" s="2">
        <f>IF(B23=0,0,F23/B23)</f>
        <v/>
      </c>
      <c r="H23" t="n">
        <v>95000</v>
      </c>
      <c r="I23">
        <f>Entwuerfe!S32</f>
        <v/>
      </c>
      <c r="J23" t="n">
        <v>56</v>
      </c>
      <c r="K23">
        <f>Entwuerfe!W32</f>
        <v/>
      </c>
      <c r="L23">
        <f>Entwuerfe!N32</f>
        <v/>
      </c>
      <c r="M23">
        <f>Entwuerfe!M32</f>
        <v/>
      </c>
      <c r="N23">
        <f>Entwuerfe!Y32</f>
        <v/>
      </c>
    </row>
    <row r="24">
      <c r="A24" t="inlineStr">
        <is>
          <t>Overlord Propaganda</t>
        </is>
      </c>
      <c r="B24" t="n">
        <v>2200</v>
      </c>
      <c r="C24">
        <f>Entwuerfe!AE33</f>
        <v/>
      </c>
      <c r="D24">
        <f>Entwuerfe!Q33</f>
        <v/>
      </c>
      <c r="E24">
        <f>Entwuerfe!R33</f>
        <v/>
      </c>
      <c r="F24">
        <f>E24-B24</f>
        <v/>
      </c>
      <c r="G24" s="2">
        <f>IF(B24=0,0,F24/B24)</f>
        <v/>
      </c>
      <c r="H24" t="n">
        <v>95000</v>
      </c>
      <c r="I24">
        <f>Entwuerfe!S33</f>
        <v/>
      </c>
      <c r="J24" t="n">
        <v>56</v>
      </c>
      <c r="K24">
        <f>Entwuerfe!W33</f>
        <v/>
      </c>
      <c r="L24">
        <f>Entwuerfe!N33</f>
        <v/>
      </c>
      <c r="M24">
        <f>Entwuerfe!M33</f>
        <v/>
      </c>
      <c r="N24">
        <f>Entwuerfe!Y33</f>
        <v/>
      </c>
    </row>
    <row r="25">
      <c r="A25" t="inlineStr">
        <is>
          <t>Overlord Propaganda PDL</t>
        </is>
      </c>
      <c r="B25" t="n">
        <v>2800</v>
      </c>
      <c r="C25">
        <f>Entwuerfe!AE34</f>
        <v/>
      </c>
      <c r="D25">
        <f>Entwuerfe!Q34</f>
        <v/>
      </c>
      <c r="E25">
        <f>Entwuerfe!R34</f>
        <v/>
      </c>
      <c r="F25">
        <f>E25-B25</f>
        <v/>
      </c>
      <c r="G25" s="2">
        <f>IF(B25=0,0,F25/B25)</f>
        <v/>
      </c>
      <c r="H25" t="n">
        <v>95000</v>
      </c>
      <c r="I25">
        <f>Entwuerfe!S34</f>
        <v/>
      </c>
      <c r="J25" t="n">
        <v>56</v>
      </c>
      <c r="K25">
        <f>Entwuerfe!W34</f>
        <v/>
      </c>
      <c r="L25">
        <f>Entwuerfe!N34</f>
        <v/>
      </c>
      <c r="M25">
        <f>Entwuerfe!M34</f>
        <v/>
      </c>
      <c r="N25">
        <f>Entwuerfe!Y34</f>
        <v/>
      </c>
    </row>
    <row r="26">
      <c r="A26" t="inlineStr">
        <is>
          <t>Overlord Propaganda Reflector</t>
        </is>
      </c>
      <c r="B26" t="n">
        <v>2200</v>
      </c>
      <c r="C26">
        <f>Entwuerfe!AE35</f>
        <v/>
      </c>
      <c r="D26">
        <f>Entwuerfe!Q35</f>
        <v/>
      </c>
      <c r="E26">
        <f>Entwuerfe!R35</f>
        <v/>
      </c>
      <c r="F26">
        <f>E26-B26</f>
        <v/>
      </c>
      <c r="G26" s="2">
        <f>IF(B26=0,0,F26/B26)</f>
        <v/>
      </c>
      <c r="H26" t="n">
        <v>95000</v>
      </c>
      <c r="I26">
        <f>Entwuerfe!S35</f>
        <v/>
      </c>
      <c r="J26" t="n">
        <v>56</v>
      </c>
      <c r="K26">
        <f>Entwuerfe!W35</f>
        <v/>
      </c>
      <c r="L26">
        <f>Entwuerfe!N35</f>
        <v/>
      </c>
      <c r="M26">
        <f>Entwuerfe!M35</f>
        <v/>
      </c>
      <c r="N26">
        <f>Entwuerfe!Y35</f>
        <v/>
      </c>
    </row>
    <row r="27">
      <c r="A27" t="inlineStr">
        <is>
          <t>Dragon Tank</t>
        </is>
      </c>
      <c r="B27" t="n">
        <v>600</v>
      </c>
      <c r="C27">
        <f>Entwuerfe!AE36</f>
        <v/>
      </c>
      <c r="D27">
        <f>Entwuerfe!Q36</f>
        <v/>
      </c>
      <c r="E27">
        <f>Entwuerfe!R36</f>
        <v/>
      </c>
      <c r="F27">
        <f>E27-B27</f>
        <v/>
      </c>
      <c r="G27" s="2">
        <f>IF(B27=0,0,F27/B27)</f>
        <v/>
      </c>
      <c r="H27" t="n">
        <v>28000</v>
      </c>
      <c r="I27">
        <f>Entwuerfe!S36</f>
        <v/>
      </c>
      <c r="J27" t="n">
        <v>103</v>
      </c>
      <c r="K27">
        <f>Entwuerfe!W36</f>
        <v/>
      </c>
      <c r="L27">
        <f>Entwuerfe!N36</f>
        <v/>
      </c>
      <c r="M27">
        <f>Entwuerfe!M36</f>
        <v/>
      </c>
      <c r="N27">
        <f>Entwuerfe!Y36</f>
        <v/>
      </c>
    </row>
    <row r="28">
      <c r="A28" t="inlineStr">
        <is>
          <t>Dragon Tank PDL</t>
        </is>
      </c>
      <c r="B28" t="n">
        <v>1200</v>
      </c>
      <c r="C28">
        <f>Entwuerfe!AE37</f>
        <v/>
      </c>
      <c r="D28">
        <f>Entwuerfe!Q37</f>
        <v/>
      </c>
      <c r="E28">
        <f>Entwuerfe!R37</f>
        <v/>
      </c>
      <c r="F28">
        <f>E28-B28</f>
        <v/>
      </c>
      <c r="G28" s="2">
        <f>IF(B28=0,0,F28/B28)</f>
        <v/>
      </c>
      <c r="H28" t="n">
        <v>28000</v>
      </c>
      <c r="I28">
        <f>Entwuerfe!S37</f>
        <v/>
      </c>
      <c r="J28" t="n">
        <v>103</v>
      </c>
      <c r="K28">
        <f>Entwuerfe!W37</f>
        <v/>
      </c>
      <c r="L28">
        <f>Entwuerfe!N37</f>
        <v/>
      </c>
      <c r="M28">
        <f>Entwuerfe!M37</f>
        <v/>
      </c>
      <c r="N28">
        <f>Entwuerfe!Y37</f>
        <v/>
      </c>
    </row>
    <row r="29">
      <c r="A29" t="inlineStr">
        <is>
          <t>Dragon Tank Reflector</t>
        </is>
      </c>
      <c r="B29" t="n">
        <v>600</v>
      </c>
      <c r="C29">
        <f>Entwuerfe!AE38</f>
        <v/>
      </c>
      <c r="D29">
        <f>Entwuerfe!Q38</f>
        <v/>
      </c>
      <c r="E29">
        <f>Entwuerfe!R38</f>
        <v/>
      </c>
      <c r="F29">
        <f>E29-B29</f>
        <v/>
      </c>
      <c r="G29" s="2">
        <f>IF(B29=0,0,F29/B29)</f>
        <v/>
      </c>
      <c r="H29" t="n">
        <v>28000</v>
      </c>
      <c r="I29">
        <f>Entwuerfe!S38</f>
        <v/>
      </c>
      <c r="J29" t="n">
        <v>103</v>
      </c>
      <c r="K29">
        <f>Entwuerfe!W38</f>
        <v/>
      </c>
      <c r="L29">
        <f>Entwuerfe!N38</f>
        <v/>
      </c>
      <c r="M29">
        <f>Entwuerfe!M38</f>
        <v/>
      </c>
      <c r="N29">
        <f>Entwuerfe!Y38</f>
        <v/>
      </c>
    </row>
    <row r="30">
      <c r="A30" t="inlineStr">
        <is>
          <t>Gatling Tank</t>
        </is>
      </c>
      <c r="B30" t="n">
        <v>800</v>
      </c>
      <c r="C30">
        <f>Entwuerfe!AE39</f>
        <v/>
      </c>
      <c r="D30">
        <f>Entwuerfe!Q39</f>
        <v/>
      </c>
      <c r="E30">
        <f>Entwuerfe!R39</f>
        <v/>
      </c>
      <c r="F30">
        <f>E30-B30</f>
        <v/>
      </c>
      <c r="G30" s="2">
        <f>IF(B30=0,0,F30/B30)</f>
        <v/>
      </c>
      <c r="H30" t="n">
        <v>30000</v>
      </c>
      <c r="I30">
        <f>Entwuerfe!S39</f>
        <v/>
      </c>
      <c r="J30" t="n">
        <v>108</v>
      </c>
      <c r="K30">
        <f>Entwuerfe!W39</f>
        <v/>
      </c>
      <c r="L30">
        <f>Entwuerfe!N39</f>
        <v/>
      </c>
      <c r="M30">
        <f>Entwuerfe!M39</f>
        <v/>
      </c>
      <c r="N30">
        <f>Entwuerfe!Y39</f>
        <v/>
      </c>
    </row>
    <row r="31">
      <c r="A31" t="inlineStr">
        <is>
          <t>Gatling Tank PDL</t>
        </is>
      </c>
      <c r="B31" t="n">
        <v>1400</v>
      </c>
      <c r="C31">
        <f>Entwuerfe!AE40</f>
        <v/>
      </c>
      <c r="D31">
        <f>Entwuerfe!Q40</f>
        <v/>
      </c>
      <c r="E31">
        <f>Entwuerfe!R40</f>
        <v/>
      </c>
      <c r="F31">
        <f>E31-B31</f>
        <v/>
      </c>
      <c r="G31" s="2">
        <f>IF(B31=0,0,F31/B31)</f>
        <v/>
      </c>
      <c r="H31" t="n">
        <v>30000</v>
      </c>
      <c r="I31">
        <f>Entwuerfe!S40</f>
        <v/>
      </c>
      <c r="J31" t="n">
        <v>108</v>
      </c>
      <c r="K31">
        <f>Entwuerfe!W40</f>
        <v/>
      </c>
      <c r="L31">
        <f>Entwuerfe!N40</f>
        <v/>
      </c>
      <c r="M31">
        <f>Entwuerfe!M40</f>
        <v/>
      </c>
      <c r="N31">
        <f>Entwuerfe!Y40</f>
        <v/>
      </c>
    </row>
    <row r="32">
      <c r="A32" t="inlineStr">
        <is>
          <t>Gatling Tank Reflector</t>
        </is>
      </c>
      <c r="B32" t="n">
        <v>800</v>
      </c>
      <c r="C32">
        <f>Entwuerfe!AE41</f>
        <v/>
      </c>
      <c r="D32">
        <f>Entwuerfe!Q41</f>
        <v/>
      </c>
      <c r="E32">
        <f>Entwuerfe!R41</f>
        <v/>
      </c>
      <c r="F32">
        <f>E32-B32</f>
        <v/>
      </c>
      <c r="G32" s="2">
        <f>IF(B32=0,0,F32/B32)</f>
        <v/>
      </c>
      <c r="H32" t="n">
        <v>30000</v>
      </c>
      <c r="I32">
        <f>Entwuerfe!S41</f>
        <v/>
      </c>
      <c r="J32" t="n">
        <v>108</v>
      </c>
      <c r="K32">
        <f>Entwuerfe!W41</f>
        <v/>
      </c>
      <c r="L32">
        <f>Entwuerfe!N41</f>
        <v/>
      </c>
      <c r="M32">
        <f>Entwuerfe!M41</f>
        <v/>
      </c>
      <c r="N32">
        <f>Entwuerfe!Y41</f>
        <v/>
      </c>
    </row>
    <row r="33">
      <c r="A33" t="inlineStr">
        <is>
          <t>Battlemaster Nuclear Shells</t>
        </is>
      </c>
      <c r="B33" t="n">
        <v>950</v>
      </c>
      <c r="C33">
        <f>Entwuerfe!AE42</f>
        <v/>
      </c>
      <c r="D33">
        <f>Entwuerfe!Q42</f>
        <v/>
      </c>
      <c r="E33">
        <f>Entwuerfe!R42</f>
        <v/>
      </c>
      <c r="F33">
        <f>E33-B33</f>
        <v/>
      </c>
      <c r="G33" s="2">
        <f>IF(B33=0,0,F33/B33)</f>
        <v/>
      </c>
      <c r="H33" t="n">
        <v>40000</v>
      </c>
      <c r="I33">
        <f>Entwuerfe!S42</f>
        <v/>
      </c>
      <c r="J33" t="n">
        <v>100</v>
      </c>
      <c r="K33">
        <f>Entwuerfe!W42</f>
        <v/>
      </c>
      <c r="L33">
        <f>Entwuerfe!N42</f>
        <v/>
      </c>
      <c r="M33">
        <f>Entwuerfe!M42</f>
        <v/>
      </c>
      <c r="N33">
        <f>Entwuerfe!Y42</f>
        <v/>
      </c>
    </row>
    <row r="34">
      <c r="A34" t="inlineStr">
        <is>
          <t>Battlemaster Nuclear Shells PDL</t>
        </is>
      </c>
      <c r="B34" t="n">
        <v>1600</v>
      </c>
      <c r="C34">
        <f>Entwuerfe!AE43</f>
        <v/>
      </c>
      <c r="D34">
        <f>Entwuerfe!Q43</f>
        <v/>
      </c>
      <c r="E34">
        <f>Entwuerfe!R43</f>
        <v/>
      </c>
      <c r="F34">
        <f>E34-B34</f>
        <v/>
      </c>
      <c r="G34" s="2">
        <f>IF(B34=0,0,F34/B34)</f>
        <v/>
      </c>
      <c r="H34" t="n">
        <v>40000</v>
      </c>
      <c r="I34">
        <f>Entwuerfe!S43</f>
        <v/>
      </c>
      <c r="J34" t="n">
        <v>100</v>
      </c>
      <c r="K34">
        <f>Entwuerfe!W43</f>
        <v/>
      </c>
      <c r="L34">
        <f>Entwuerfe!N43</f>
        <v/>
      </c>
      <c r="M34">
        <f>Entwuerfe!M43</f>
        <v/>
      </c>
      <c r="N34">
        <f>Entwuerfe!Y43</f>
        <v/>
      </c>
    </row>
    <row r="35">
      <c r="A35" t="inlineStr">
        <is>
          <t>Battlemaster Nuclear Shells Reflector</t>
        </is>
      </c>
      <c r="B35" t="n">
        <v>950</v>
      </c>
      <c r="C35">
        <f>Entwuerfe!AE44</f>
        <v/>
      </c>
      <c r="D35">
        <f>Entwuerfe!Q44</f>
        <v/>
      </c>
      <c r="E35">
        <f>Entwuerfe!R44</f>
        <v/>
      </c>
      <c r="F35">
        <f>E35-B35</f>
        <v/>
      </c>
      <c r="G35" s="2">
        <f>IF(B35=0,0,F35/B35)</f>
        <v/>
      </c>
      <c r="H35" t="n">
        <v>40000</v>
      </c>
      <c r="I35">
        <f>Entwuerfe!S44</f>
        <v/>
      </c>
      <c r="J35" t="n">
        <v>100</v>
      </c>
      <c r="K35">
        <f>Entwuerfe!W44</f>
        <v/>
      </c>
      <c r="L35">
        <f>Entwuerfe!N44</f>
        <v/>
      </c>
      <c r="M35">
        <f>Entwuerfe!M44</f>
        <v/>
      </c>
      <c r="N35">
        <f>Entwuerfe!Y44</f>
        <v/>
      </c>
    </row>
    <row r="36">
      <c r="A36" t="inlineStr">
        <is>
          <t>Battlemaster Mass Production</t>
        </is>
      </c>
      <c r="B36" t="n">
        <v>600</v>
      </c>
      <c r="C36">
        <f>Entwuerfe!AE45</f>
        <v/>
      </c>
      <c r="D36">
        <f>Entwuerfe!Q45</f>
        <v/>
      </c>
      <c r="E36">
        <f>Entwuerfe!R45</f>
        <v/>
      </c>
      <c r="F36">
        <f>E36-B36</f>
        <v/>
      </c>
      <c r="G36" s="2">
        <f>IF(B36=0,0,F36/B36)</f>
        <v/>
      </c>
      <c r="H36" t="n">
        <v>40000</v>
      </c>
      <c r="I36">
        <f>Entwuerfe!S45</f>
        <v/>
      </c>
      <c r="J36" t="n">
        <v>100</v>
      </c>
      <c r="K36">
        <f>Entwuerfe!W45</f>
        <v/>
      </c>
      <c r="L36">
        <f>Entwuerfe!N45</f>
        <v/>
      </c>
      <c r="M36">
        <f>Entwuerfe!M45</f>
        <v/>
      </c>
      <c r="N36">
        <f>Entwuerfe!Y45</f>
        <v/>
      </c>
    </row>
    <row r="37">
      <c r="A37" t="inlineStr">
        <is>
          <t>Battlemaster Mass Production PDL</t>
        </is>
      </c>
      <c r="B37" t="n">
        <v>1000</v>
      </c>
      <c r="C37">
        <f>Entwuerfe!AE46</f>
        <v/>
      </c>
      <c r="D37">
        <f>Entwuerfe!Q46</f>
        <v/>
      </c>
      <c r="E37">
        <f>Entwuerfe!R46</f>
        <v/>
      </c>
      <c r="F37">
        <f>E37-B37</f>
        <v/>
      </c>
      <c r="G37" s="2">
        <f>IF(B37=0,0,F37/B37)</f>
        <v/>
      </c>
      <c r="H37" t="n">
        <v>40000</v>
      </c>
      <c r="I37">
        <f>Entwuerfe!S46</f>
        <v/>
      </c>
      <c r="J37" t="n">
        <v>100</v>
      </c>
      <c r="K37">
        <f>Entwuerfe!W46</f>
        <v/>
      </c>
      <c r="L37">
        <f>Entwuerfe!N46</f>
        <v/>
      </c>
      <c r="M37">
        <f>Entwuerfe!M46</f>
        <v/>
      </c>
      <c r="N37">
        <f>Entwuerfe!Y46</f>
        <v/>
      </c>
    </row>
    <row r="38">
      <c r="A38" t="inlineStr">
        <is>
          <t>Battlemaster Mass Production Reflector</t>
        </is>
      </c>
      <c r="B38" t="n">
        <v>600</v>
      </c>
      <c r="C38">
        <f>Entwuerfe!AE47</f>
        <v/>
      </c>
      <c r="D38">
        <f>Entwuerfe!Q47</f>
        <v/>
      </c>
      <c r="E38">
        <f>Entwuerfe!R47</f>
        <v/>
      </c>
      <c r="F38">
        <f>E38-B38</f>
        <v/>
      </c>
      <c r="G38" s="2">
        <f>IF(B38=0,0,F38/B38)</f>
        <v/>
      </c>
      <c r="H38" t="n">
        <v>40000</v>
      </c>
      <c r="I38">
        <f>Entwuerfe!S47</f>
        <v/>
      </c>
      <c r="J38" t="n">
        <v>100</v>
      </c>
      <c r="K38">
        <f>Entwuerfe!W47</f>
        <v/>
      </c>
      <c r="L38">
        <f>Entwuerfe!N47</f>
        <v/>
      </c>
      <c r="M38">
        <f>Entwuerfe!M47</f>
        <v/>
      </c>
      <c r="N38">
        <f>Entwuerfe!Y47</f>
        <v/>
      </c>
    </row>
    <row r="39">
      <c r="A39" t="inlineStr">
        <is>
          <t>Battlemaster Autoloader</t>
        </is>
      </c>
      <c r="B39" t="n">
        <v>950</v>
      </c>
      <c r="C39">
        <f>Entwuerfe!AE48</f>
        <v/>
      </c>
      <c r="D39">
        <f>Entwuerfe!Q48</f>
        <v/>
      </c>
      <c r="E39">
        <f>Entwuerfe!R48</f>
        <v/>
      </c>
      <c r="F39">
        <f>E39-B39</f>
        <v/>
      </c>
      <c r="G39" s="2">
        <f>IF(B39=0,0,F39/B39)</f>
        <v/>
      </c>
      <c r="H39" t="n">
        <v>40000</v>
      </c>
      <c r="I39">
        <f>Entwuerfe!S48</f>
        <v/>
      </c>
      <c r="J39" t="n">
        <v>100</v>
      </c>
      <c r="K39">
        <f>Entwuerfe!W48</f>
        <v/>
      </c>
      <c r="L39">
        <f>Entwuerfe!N48</f>
        <v/>
      </c>
      <c r="M39">
        <f>Entwuerfe!M48</f>
        <v/>
      </c>
      <c r="N39">
        <f>Entwuerfe!Y48</f>
        <v/>
      </c>
    </row>
    <row r="40">
      <c r="A40" t="inlineStr">
        <is>
          <t>Battlemaster Autoloader PDL</t>
        </is>
      </c>
      <c r="B40" t="n">
        <v>1600</v>
      </c>
      <c r="C40">
        <f>Entwuerfe!AE49</f>
        <v/>
      </c>
      <c r="D40">
        <f>Entwuerfe!Q49</f>
        <v/>
      </c>
      <c r="E40">
        <f>Entwuerfe!R49</f>
        <v/>
      </c>
      <c r="F40">
        <f>E40-B40</f>
        <v/>
      </c>
      <c r="G40" s="2">
        <f>IF(B40=0,0,F40/B40)</f>
        <v/>
      </c>
      <c r="H40" t="n">
        <v>40000</v>
      </c>
      <c r="I40">
        <f>Entwuerfe!S49</f>
        <v/>
      </c>
      <c r="J40" t="n">
        <v>100</v>
      </c>
      <c r="K40">
        <f>Entwuerfe!W49</f>
        <v/>
      </c>
      <c r="L40">
        <f>Entwuerfe!N49</f>
        <v/>
      </c>
      <c r="M40">
        <f>Entwuerfe!M49</f>
        <v/>
      </c>
      <c r="N40">
        <f>Entwuerfe!Y49</f>
        <v/>
      </c>
    </row>
    <row r="41">
      <c r="A41" t="inlineStr">
        <is>
          <t>Battlemaster Autoloader Reflector</t>
        </is>
      </c>
      <c r="B41" t="n">
        <v>950</v>
      </c>
      <c r="C41">
        <f>Entwuerfe!AE50</f>
        <v/>
      </c>
      <c r="D41">
        <f>Entwuerfe!Q50</f>
        <v/>
      </c>
      <c r="E41">
        <f>Entwuerfe!R50</f>
        <v/>
      </c>
      <c r="F41">
        <f>E41-B41</f>
        <v/>
      </c>
      <c r="G41" s="2">
        <f>IF(B41=0,0,F41/B41)</f>
        <v/>
      </c>
      <c r="H41" t="n">
        <v>40000</v>
      </c>
      <c r="I41">
        <f>Entwuerfe!S50</f>
        <v/>
      </c>
      <c r="J41" t="n">
        <v>100</v>
      </c>
      <c r="K41">
        <f>Entwuerfe!W50</f>
        <v/>
      </c>
      <c r="L41">
        <f>Entwuerfe!N50</f>
        <v/>
      </c>
      <c r="M41">
        <f>Entwuerfe!M50</f>
        <v/>
      </c>
      <c r="N41">
        <f>Entwuerfe!Y50</f>
        <v/>
      </c>
    </row>
    <row r="42">
      <c r="A42" t="inlineStr">
        <is>
          <t>Battlemaster baseline</t>
        </is>
      </c>
      <c r="B42" t="n">
        <v>950</v>
      </c>
      <c r="C42">
        <f>Entwuerfe!AE51</f>
        <v/>
      </c>
      <c r="D42">
        <f>Entwuerfe!Q51</f>
        <v/>
      </c>
      <c r="E42">
        <f>Entwuerfe!R51</f>
        <v/>
      </c>
      <c r="F42">
        <f>E42-B42</f>
        <v/>
      </c>
      <c r="G42" s="2">
        <f>IF(B42=0,0,F42/B42)</f>
        <v/>
      </c>
      <c r="H42" t="n">
        <v>40000</v>
      </c>
      <c r="I42">
        <f>Entwuerfe!S51</f>
        <v/>
      </c>
      <c r="J42" t="n">
        <v>100</v>
      </c>
      <c r="K42">
        <f>Entwuerfe!W51</f>
        <v/>
      </c>
      <c r="L42">
        <f>Entwuerfe!N51</f>
        <v/>
      </c>
      <c r="M42">
        <f>Entwuerfe!M51</f>
        <v/>
      </c>
      <c r="N42">
        <f>Entwuerfe!Y51</f>
        <v/>
      </c>
    </row>
    <row r="43">
      <c r="A43" t="inlineStr">
        <is>
          <t>Battlemaster nuclear drive</t>
        </is>
      </c>
      <c r="B43" t="n">
        <v>950</v>
      </c>
      <c r="C43">
        <f>Entwuerfe!AE52</f>
        <v/>
      </c>
      <c r="D43">
        <f>Entwuerfe!Q52</f>
        <v/>
      </c>
      <c r="E43">
        <f>Entwuerfe!R52</f>
        <v/>
      </c>
      <c r="F43">
        <f>E43-B43</f>
        <v/>
      </c>
      <c r="G43" s="2">
        <f>IF(B43=0,0,F43/B43)</f>
        <v/>
      </c>
      <c r="H43" t="n">
        <v>40000</v>
      </c>
      <c r="I43">
        <f>Entwuerfe!S52</f>
        <v/>
      </c>
      <c r="J43" t="n">
        <v>125</v>
      </c>
      <c r="K43">
        <f>Entwuerfe!W52</f>
        <v/>
      </c>
      <c r="L43">
        <f>Entwuerfe!N52</f>
        <v/>
      </c>
      <c r="M43">
        <f>Entwuerfe!M52</f>
        <v/>
      </c>
      <c r="N43">
        <f>Entwuerfe!Y52</f>
        <v/>
      </c>
    </row>
    <row r="44">
      <c r="A44" t="inlineStr">
        <is>
          <t>Juggernaut baseline</t>
        </is>
      </c>
      <c r="B44" t="n">
        <v>2000</v>
      </c>
      <c r="C44">
        <f>Entwuerfe!AE58</f>
        <v/>
      </c>
      <c r="D44">
        <f>Entwuerfe!Q58</f>
        <v/>
      </c>
      <c r="E44">
        <f>Entwuerfe!R58</f>
        <v/>
      </c>
      <c r="F44">
        <f>E44-B44</f>
        <v/>
      </c>
      <c r="G44" s="2">
        <f>IF(B44=0,0,F44/B44)</f>
        <v/>
      </c>
      <c r="H44" t="n">
        <v>60000</v>
      </c>
      <c r="I44">
        <f>Entwuerfe!S58</f>
        <v/>
      </c>
      <c r="J44" t="n">
        <v>50</v>
      </c>
      <c r="K44">
        <f>Entwuerfe!W58</f>
        <v/>
      </c>
      <c r="L44">
        <f>Entwuerfe!N58</f>
        <v/>
      </c>
      <c r="M44">
        <f>Entwuerfe!M58</f>
        <v/>
      </c>
      <c r="N44">
        <f>Entwuerfe!Y58</f>
        <v/>
      </c>
    </row>
    <row r="45">
      <c r="A45" t="inlineStr">
        <is>
          <t>Juggernaut EMP / baseline</t>
        </is>
      </c>
      <c r="B45" t="n">
        <v>2000</v>
      </c>
      <c r="C45">
        <f>Entwuerfe!AE59</f>
        <v/>
      </c>
      <c r="D45">
        <f>Entwuerfe!Q59</f>
        <v/>
      </c>
      <c r="E45">
        <f>Entwuerfe!R59</f>
        <v/>
      </c>
      <c r="F45">
        <f>E45-B45</f>
        <v/>
      </c>
      <c r="G45" s="2">
        <f>IF(B45=0,0,F45/B45)</f>
        <v/>
      </c>
      <c r="H45" t="n">
        <v>60000</v>
      </c>
      <c r="I45">
        <f>Entwuerfe!S59</f>
        <v/>
      </c>
      <c r="J45" t="n">
        <v>50</v>
      </c>
      <c r="K45">
        <f>Entwuerfe!W59</f>
        <v/>
      </c>
      <c r="L45">
        <f>Entwuerfe!N59</f>
        <v/>
      </c>
      <c r="M45">
        <f>Entwuerfe!M59</f>
        <v/>
      </c>
      <c r="N45">
        <f>Entwuerfe!Y59</f>
        <v/>
      </c>
    </row>
    <row r="46">
      <c r="A46" t="inlineStr">
        <is>
          <t>Juggernaut EMP / efficient</t>
        </is>
      </c>
      <c r="B46" t="n">
        <v>2000</v>
      </c>
      <c r="C46">
        <f>Entwuerfe!AE60</f>
        <v/>
      </c>
      <c r="D46">
        <f>Entwuerfe!Q60</f>
        <v/>
      </c>
      <c r="E46">
        <f>Entwuerfe!R60</f>
        <v/>
      </c>
      <c r="F46">
        <f>E46-B46</f>
        <v/>
      </c>
      <c r="G46" s="2">
        <f>IF(B46=0,0,F46/B46)</f>
        <v/>
      </c>
      <c r="H46" t="n">
        <v>60000</v>
      </c>
      <c r="I46">
        <f>Entwuerfe!S60</f>
        <v/>
      </c>
      <c r="J46" t="n">
        <v>50</v>
      </c>
      <c r="K46">
        <f>Entwuerfe!W60</f>
        <v/>
      </c>
      <c r="L46">
        <f>Entwuerfe!N60</f>
        <v/>
      </c>
      <c r="M46">
        <f>Entwuerfe!M60</f>
        <v/>
      </c>
      <c r="N46">
        <f>Entwuerfe!Y60</f>
        <v/>
      </c>
    </row>
    <row r="47">
      <c r="A47" t="inlineStr">
        <is>
          <t>Heavy Tesla Tank baseline</t>
        </is>
      </c>
      <c r="B47" t="n">
        <v>1350</v>
      </c>
      <c r="C47">
        <f>Entwuerfe!AE61</f>
        <v/>
      </c>
      <c r="D47">
        <f>Entwuerfe!Q61</f>
        <v/>
      </c>
      <c r="E47">
        <f>Entwuerfe!R61</f>
        <v/>
      </c>
      <c r="F47">
        <f>E47-B47</f>
        <v/>
      </c>
      <c r="G47" s="2">
        <f>IF(B47=0,0,F47/B47)</f>
        <v/>
      </c>
      <c r="H47" t="n">
        <v>48000</v>
      </c>
      <c r="I47">
        <f>Entwuerfe!S61</f>
        <v/>
      </c>
      <c r="J47" t="n">
        <v>100</v>
      </c>
      <c r="K47">
        <f>Entwuerfe!W61</f>
        <v/>
      </c>
      <c r="L47">
        <f>Entwuerfe!N61</f>
        <v/>
      </c>
      <c r="M47">
        <f>Entwuerfe!M61</f>
        <v/>
      </c>
      <c r="N47">
        <f>Entwuerfe!Y61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7" customWidth="1" min="6" max="6"/>
    <col width="20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Familie</t>
        </is>
      </c>
      <c r="B1" s="1" t="inlineStr">
        <is>
          <t>Actor</t>
        </is>
      </c>
      <c r="C1" s="1" t="inlineStr">
        <is>
          <t>Originalpreis</t>
        </is>
      </c>
      <c r="D1" s="1" t="inlineStr">
        <is>
          <t>PDL Preis</t>
        </is>
      </c>
      <c r="E1" s="1" t="inlineStr">
        <is>
          <t>PDL Aufpreis</t>
        </is>
      </c>
      <c r="F1" s="1" t="inlineStr">
        <is>
          <t>Reflector Preis</t>
        </is>
      </c>
      <c r="G1" s="1" t="inlineStr">
        <is>
          <t>Reflector Aufpreis</t>
        </is>
      </c>
      <c r="H1" s="1" t="inlineStr">
        <is>
          <t>CP ohne Abwehr</t>
        </is>
      </c>
      <c r="I1" s="1" t="inlineStr">
        <is>
          <t>CP mit Abwehr</t>
        </is>
      </c>
      <c r="J1" s="1" t="inlineStr">
        <is>
          <t>Basis HP</t>
        </is>
      </c>
      <c r="K1" s="1" t="inlineStr">
        <is>
          <t>Basistempo</t>
        </is>
      </c>
      <c r="L1" s="1" t="inlineStr">
        <is>
          <t>Hinweise</t>
        </is>
      </c>
    </row>
    <row r="2">
      <c r="A2" t="inlineStr">
        <is>
          <t>Overlord Basis</t>
        </is>
      </c>
      <c r="B2" t="inlineStr">
        <is>
          <t>choverlord</t>
        </is>
      </c>
      <c r="C2" t="n">
        <v>2000</v>
      </c>
      <c r="H2" t="n">
        <v>0</v>
      </c>
      <c r="J2" t="n">
        <v>95000</v>
      </c>
      <c r="K2" t="n">
        <v>56</v>
      </c>
      <c r="L2" t="inlineStr">
        <is>
          <t>NUR ORIGINAL, noch kein Baukastendesign. Radar prerequisite. No standalone PDL/Reflector actor. Emperor has conditional 80% received damage; not additional base HP.</t>
        </is>
      </c>
    </row>
    <row r="3">
      <c r="A3" t="inlineStr">
        <is>
          <t>Gatling Overlord</t>
        </is>
      </c>
      <c r="B3" t="inlineStr">
        <is>
          <t>choverlord.Gatling</t>
        </is>
      </c>
      <c r="C3" t="n">
        <v>2000</v>
      </c>
      <c r="D3" t="n">
        <v>2800</v>
      </c>
      <c r="E3">
        <f>D3-C3</f>
        <v/>
      </c>
      <c r="F3" t="n">
        <v>2000</v>
      </c>
      <c r="G3">
        <f>F3-C3</f>
        <v/>
      </c>
      <c r="H3" t="n">
        <v>1</v>
      </c>
      <c r="I3" t="n">
        <v>2</v>
      </c>
      <c r="J3" t="n">
        <v>95000</v>
      </c>
      <c r="K3" t="n">
        <v>56</v>
      </c>
      <c r="L3" t="inlineStr">
        <is>
          <t>NUR ORIGINAL, noch kein Baukastendesign. Additional gatling mount and SensorEquipment. Defense variants total 2 CP.</t>
        </is>
      </c>
    </row>
    <row r="4">
      <c r="A4" t="inlineStr">
        <is>
          <t>Bunker Overlord</t>
        </is>
      </c>
      <c r="B4" t="inlineStr">
        <is>
          <t>choverlord.Bunker</t>
        </is>
      </c>
      <c r="C4" t="n">
        <v>3000</v>
      </c>
      <c r="D4" t="n">
        <v>3600</v>
      </c>
      <c r="E4">
        <f>D4-C4</f>
        <v/>
      </c>
      <c r="F4" t="n">
        <v>3000</v>
      </c>
      <c r="G4">
        <f>F4-C4</f>
        <v/>
      </c>
      <c r="H4" t="n">
        <v>1</v>
      </c>
      <c r="I4" t="n">
        <v>2</v>
      </c>
      <c r="J4" t="n">
        <v>95000</v>
      </c>
      <c r="K4" t="n">
        <v>56</v>
      </c>
      <c r="L4" t="inlineStr">
        <is>
          <t>NUR ORIGINAL, noch kein Baukastendesign. Includes 4 che3 Tank Hunters, firing cargo. PDL uses AttackingCargoAndPDL with standard PointLaserDefenseSystem.</t>
        </is>
      </c>
    </row>
    <row r="5">
      <c r="A5" t="inlineStr">
        <is>
          <t>Propaganda Overlord</t>
        </is>
      </c>
      <c r="B5" t="inlineStr">
        <is>
          <t>choverlord.Propaganda</t>
        </is>
      </c>
      <c r="C5" t="n">
        <v>2200</v>
      </c>
      <c r="D5" t="n">
        <v>2800</v>
      </c>
      <c r="E5">
        <f>D5-C5</f>
        <v/>
      </c>
      <c r="F5" t="n">
        <v>2200</v>
      </c>
      <c r="G5">
        <f>F5-C5</f>
        <v/>
      </c>
      <c r="H5" t="n">
        <v>1</v>
      </c>
      <c r="I5" t="n">
        <v>2</v>
      </c>
      <c r="J5" t="n">
        <v>95000</v>
      </c>
      <c r="K5" t="n">
        <v>56</v>
      </c>
      <c r="L5" t="inlineStr">
        <is>
          <t>NUR ORIGINAL, noch kein Baukastendesign. PropagandaSpeaker behavior. Not merely a cosmetic turret.</t>
        </is>
      </c>
    </row>
    <row r="6">
      <c r="A6" t="inlineStr">
        <is>
          <t>Nuke Overlord</t>
        </is>
      </c>
      <c r="B6" t="inlineStr">
        <is>
          <t>choverlord.Nuke_Shells</t>
        </is>
      </c>
      <c r="C6" t="n">
        <v>2500</v>
      </c>
      <c r="D6" t="n">
        <v>3000</v>
      </c>
      <c r="E6">
        <f>D6-C6</f>
        <v/>
      </c>
      <c r="F6" t="n">
        <v>2500</v>
      </c>
      <c r="G6">
        <f>F6-C6</f>
        <v/>
      </c>
      <c r="H6" t="n">
        <v>1</v>
      </c>
      <c r="I6" t="n">
        <v>2</v>
      </c>
      <c r="J6" t="n">
        <v>95000</v>
      </c>
      <c r="K6" t="n">
        <v>56</v>
      </c>
      <c r="L6" t="inlineStr">
        <is>
          <t>NUR ORIGINAL, noch kein Baukastendesign. OverlordCannonNuclear range 5c512. Nuclear ammunition is not nuclear propulsion.</t>
        </is>
      </c>
    </row>
    <row r="7">
      <c r="A7" t="inlineStr">
        <is>
          <t>Plasma Overlord</t>
        </is>
      </c>
      <c r="B7" t="inlineStr">
        <is>
          <t>choverlord.Plasma</t>
        </is>
      </c>
      <c r="C7" t="n">
        <v>2000</v>
      </c>
      <c r="D7" t="n">
        <v>2500</v>
      </c>
      <c r="E7">
        <f>D7-C7</f>
        <v/>
      </c>
      <c r="F7" t="n">
        <v>2000</v>
      </c>
      <c r="G7">
        <f>F7-C7</f>
        <v/>
      </c>
      <c r="H7" t="n">
        <v>1</v>
      </c>
      <c r="I7" t="n">
        <v>2</v>
      </c>
      <c r="J7" t="n">
        <v>95000</v>
      </c>
      <c r="K7" t="n">
        <v>56</v>
      </c>
      <c r="L7" t="inlineStr">
        <is>
          <t>NUR ORIGINAL, noch kein Baukastendesign. Two CHECMBeam.Overlord armaments. Do not use the commented obsolete OverlordCannon.Plasma weapon as reference.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6" customWidth="1" min="4" max="4"/>
    <col width="17" customWidth="1" min="5" max="5"/>
    <col width="16" customWidth="1" min="6" max="6"/>
    <col width="20" customWidth="1" min="7" max="7"/>
    <col width="16" customWidth="1" min="8" max="8"/>
  </cols>
  <sheetData>
    <row r="1">
      <c r="A1" s="1" t="inlineStr">
        <is>
          <t>CP-Wert</t>
        </is>
      </c>
      <c r="B1" s="1" t="inlineStr">
        <is>
          <t>Fertigungsfaktor</t>
        </is>
      </c>
      <c r="C1" s="1" t="inlineStr">
        <is>
          <t>Upgrade Hardware</t>
        </is>
      </c>
      <c r="D1" s="1" t="inlineStr">
        <is>
          <t>PDL Paket</t>
        </is>
      </c>
      <c r="E1" s="1" t="inlineStr">
        <is>
          <t>Reflector Paket</t>
        </is>
      </c>
      <c r="F1" s="1" t="inlineStr">
        <is>
          <t>RMSE Credits</t>
        </is>
      </c>
      <c r="G1" s="1" t="inlineStr">
        <is>
          <t>Max Fehler Credits</t>
        </is>
      </c>
      <c r="H1" s="1" t="inlineStr">
        <is>
          <t>Status</t>
        </is>
      </c>
    </row>
    <row r="2">
      <c r="A2" t="n">
        <v>0</v>
      </c>
      <c r="B2" t="n">
        <v>0.628</v>
      </c>
      <c r="C2" t="n">
        <v>0.2762042239465548</v>
      </c>
      <c r="D2" t="n">
        <v>648.5103440183808</v>
      </c>
      <c r="E2" t="n">
        <v>0.6610433214166467</v>
      </c>
      <c r="F2" t="n">
        <v>2.114976262423828</v>
      </c>
      <c r="G2" t="n">
        <v>3.864496043543113</v>
      </c>
      <c r="H2" t="inlineStr">
        <is>
          <t>Statische Fit-Momentaufnahme</t>
        </is>
      </c>
    </row>
    <row r="3">
      <c r="A3" t="n">
        <v>100</v>
      </c>
      <c r="B3" t="n">
        <v>0.724</v>
      </c>
      <c r="C3" t="n">
        <v>98.17608148134666</v>
      </c>
      <c r="D3" t="n">
        <v>742.6109102682647</v>
      </c>
      <c r="E3" t="n">
        <v>112.8608452965668</v>
      </c>
      <c r="F3" t="n">
        <v>15.44222703006305</v>
      </c>
      <c r="G3" t="n">
        <v>30.48874800528574</v>
      </c>
      <c r="H3" t="inlineStr">
        <is>
          <t>Statische Fit-Momentaufnahme</t>
        </is>
      </c>
    </row>
    <row r="4">
      <c r="A4" t="n">
        <v>200</v>
      </c>
      <c r="B4" t="n">
        <v>0.8120000000000001</v>
      </c>
      <c r="C4" t="n">
        <v>199.0610432547051</v>
      </c>
      <c r="D4" t="n">
        <v>831.8973075655463</v>
      </c>
      <c r="E4" t="n">
        <v>220.9195626780852</v>
      </c>
      <c r="F4" t="n">
        <v>27.81877716488385</v>
      </c>
      <c r="G4" t="n">
        <v>49.21331510539471</v>
      </c>
      <c r="H4" t="inlineStr">
        <is>
          <t>Statische Fit-Momentaufnahme</t>
        </is>
      </c>
    </row>
    <row r="5">
      <c r="A5" t="n">
        <v>300</v>
      </c>
      <c r="B5" t="n">
        <v>0.893</v>
      </c>
      <c r="C5" t="n">
        <v>302.6328407160875</v>
      </c>
      <c r="D5" t="n">
        <v>917.2491682843279</v>
      </c>
      <c r="E5" t="n">
        <v>324.8523095748394</v>
      </c>
      <c r="F5" t="n">
        <v>39.92474307451913</v>
      </c>
      <c r="G5" t="n">
        <v>67.45350727790492</v>
      </c>
      <c r="H5" t="inlineStr">
        <is>
          <t>Statische Fit-Momentaufnahme</t>
        </is>
      </c>
    </row>
    <row r="6">
      <c r="A6" t="n">
        <v>400</v>
      </c>
      <c r="B6" t="n">
        <v>0.969</v>
      </c>
      <c r="C6" t="n">
        <v>409.2838771511956</v>
      </c>
      <c r="D6" t="n">
        <v>998.1824514505666</v>
      </c>
      <c r="E6" t="n">
        <v>423.9659171039047</v>
      </c>
      <c r="F6" t="n">
        <v>52.41983153253534</v>
      </c>
      <c r="G6" t="n">
        <v>87.78879545559903</v>
      </c>
      <c r="H6" t="inlineStr">
        <is>
          <t>Statische Fit-Momentaufnahme</t>
        </is>
      </c>
    </row>
    <row r="7">
      <c r="A7" t="n">
        <v>600</v>
      </c>
      <c r="B7" t="n">
        <v>1</v>
      </c>
      <c r="C7" t="n">
        <v>550.0000000035816</v>
      </c>
      <c r="D7" t="n">
        <v>1283.333333330946</v>
      </c>
      <c r="E7" t="n">
        <v>716.666666664279</v>
      </c>
      <c r="F7" t="n">
        <v>103.1898645611484</v>
      </c>
      <c r="G7" t="n">
        <v>250</v>
      </c>
      <c r="H7" t="inlineStr">
        <is>
          <t>Statische Fit-Momentaufnahme</t>
        </is>
      </c>
    </row>
    <row r="8">
      <c r="A8" t="n">
        <v>1000</v>
      </c>
      <c r="H8" t="inlineStr">
        <is>
          <t>Nicht zulässig unter Modellannahmen</t>
        </is>
      </c>
    </row>
    <row r="9">
      <c r="A9" t="n">
        <v>1500</v>
      </c>
      <c r="H9" t="inlineStr">
        <is>
          <t>Nicht zulässig unter Modellannahmen</t>
        </is>
      </c>
    </row>
    <row r="10">
      <c r="A10" t="n">
        <v>2000</v>
      </c>
      <c r="H10" t="inlineStr">
        <is>
          <t>Nicht zulässig unter Modellannahmen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CP-Wert</t>
        </is>
      </c>
      <c r="B1" s="1" t="inlineStr">
        <is>
          <t>Design</t>
        </is>
      </c>
      <c r="C1" s="1" t="inlineStr">
        <is>
          <t>Preis alt</t>
        </is>
      </c>
      <c r="D1" s="1" t="inlineStr">
        <is>
          <t>Preis Fit</t>
        </is>
      </c>
      <c r="E1" s="1" t="inlineStr">
        <is>
          <t>Differenz</t>
        </is>
      </c>
      <c r="F1" s="1" t="inlineStr">
        <is>
          <t>Differenz %</t>
        </is>
      </c>
    </row>
    <row r="2">
      <c r="A2" t="n">
        <v>0</v>
      </c>
      <c r="B2" t="inlineStr">
        <is>
          <t>Battlemaster Autoloader</t>
        </is>
      </c>
      <c r="C2" t="n">
        <v>950</v>
      </c>
      <c r="D2" t="n">
        <v>950.2762042239466</v>
      </c>
      <c r="E2" t="n">
        <v>0.2762042239465927</v>
      </c>
      <c r="F2" s="2" t="n">
        <v>0.0002907412883648345</v>
      </c>
    </row>
    <row r="3">
      <c r="A3" t="n">
        <v>0</v>
      </c>
      <c r="B3" t="inlineStr">
        <is>
          <t>Battlemaster Autoloader PDL</t>
        </is>
      </c>
      <c r="C3" t="n">
        <v>1600</v>
      </c>
      <c r="D3" t="n">
        <v>1598.786548242327</v>
      </c>
      <c r="E3" t="n">
        <v>-1.213451757672601</v>
      </c>
      <c r="F3" s="2" t="n">
        <v>-0.0007584073485453757</v>
      </c>
    </row>
    <row r="4">
      <c r="A4" t="n">
        <v>0</v>
      </c>
      <c r="B4" t="inlineStr">
        <is>
          <t>Battlemaster Autoloader Reflector</t>
        </is>
      </c>
      <c r="C4" t="n">
        <v>950</v>
      </c>
      <c r="D4" t="n">
        <v>950.9372475453632</v>
      </c>
      <c r="E4" t="n">
        <v>0.9372475453632205</v>
      </c>
      <c r="F4" s="2" t="n">
        <v>0.0009865763635402321</v>
      </c>
    </row>
    <row r="5">
      <c r="A5" t="n">
        <v>0</v>
      </c>
      <c r="B5" t="inlineStr">
        <is>
          <t>Battlemaster Nuclear Shells</t>
        </is>
      </c>
      <c r="C5" t="n">
        <v>950</v>
      </c>
      <c r="D5" t="n">
        <v>950.2762042239466</v>
      </c>
      <c r="E5" t="n">
        <v>0.2762042239465927</v>
      </c>
      <c r="F5" s="2" t="n">
        <v>0.0002907412883648345</v>
      </c>
    </row>
    <row r="6">
      <c r="A6" t="n">
        <v>0</v>
      </c>
      <c r="B6" t="inlineStr">
        <is>
          <t>Battlemaster Nuclear Shells PDL</t>
        </is>
      </c>
      <c r="C6" t="n">
        <v>1600</v>
      </c>
      <c r="D6" t="n">
        <v>1598.786548242327</v>
      </c>
      <c r="E6" t="n">
        <v>-1.213451757672601</v>
      </c>
      <c r="F6" s="2" t="n">
        <v>-0.0007584073485453757</v>
      </c>
    </row>
    <row r="7">
      <c r="A7" t="n">
        <v>0</v>
      </c>
      <c r="B7" t="inlineStr">
        <is>
          <t>Battlemaster Nuclear Shells Reflector</t>
        </is>
      </c>
      <c r="C7" t="n">
        <v>950</v>
      </c>
      <c r="D7" t="n">
        <v>950.9372475453632</v>
      </c>
      <c r="E7" t="n">
        <v>0.9372475453632205</v>
      </c>
      <c r="F7" s="2" t="n">
        <v>0.0009865763635402321</v>
      </c>
    </row>
    <row r="8">
      <c r="A8" t="n">
        <v>0</v>
      </c>
      <c r="B8" t="inlineStr">
        <is>
          <t>Battlemaster Mass Production</t>
        </is>
      </c>
      <c r="C8" t="n">
        <v>600</v>
      </c>
      <c r="D8" t="n">
        <v>596.6</v>
      </c>
      <c r="E8" t="n">
        <v>-3.399999999999977</v>
      </c>
      <c r="F8" s="2" t="n">
        <v>-0.005666666666666629</v>
      </c>
    </row>
    <row r="9">
      <c r="A9" t="n">
        <v>0</v>
      </c>
      <c r="B9" t="inlineStr">
        <is>
          <t>Battlemaster Mass Production PDL</t>
        </is>
      </c>
      <c r="C9" t="n">
        <v>1000</v>
      </c>
      <c r="D9" t="n">
        <v>1003.864496043543</v>
      </c>
      <c r="E9" t="n">
        <v>3.864496043543113</v>
      </c>
      <c r="F9" s="2" t="n">
        <v>0.003864496043543113</v>
      </c>
    </row>
    <row r="10">
      <c r="A10" t="n">
        <v>0</v>
      </c>
      <c r="B10" t="inlineStr">
        <is>
          <t>Battlemaster Mass Production Reflector</t>
        </is>
      </c>
      <c r="C10" t="n">
        <v>600</v>
      </c>
      <c r="D10" t="n">
        <v>597.0151352058497</v>
      </c>
      <c r="E10" t="n">
        <v>-2.984864794150326</v>
      </c>
      <c r="F10" s="2" t="n">
        <v>-0.00497477465691721</v>
      </c>
    </row>
    <row r="11">
      <c r="A11" t="n">
        <v>100</v>
      </c>
      <c r="B11" t="inlineStr">
        <is>
          <t>Battlemaster Autoloader</t>
        </is>
      </c>
      <c r="C11" t="n">
        <v>950</v>
      </c>
      <c r="D11" t="n">
        <v>948.1760814813466</v>
      </c>
      <c r="E11" t="n">
        <v>-1.823918518653386</v>
      </c>
      <c r="F11" s="2" t="n">
        <v>-0.001919914230161459</v>
      </c>
    </row>
    <row r="12">
      <c r="A12" t="n">
        <v>100</v>
      </c>
      <c r="B12" t="inlineStr">
        <is>
          <t>Battlemaster Autoloader PDL</t>
        </is>
      </c>
      <c r="C12" t="n">
        <v>1600</v>
      </c>
      <c r="D12" t="n">
        <v>1590.786991749611</v>
      </c>
      <c r="E12" t="n">
        <v>-9.213008250388611</v>
      </c>
      <c r="F12" s="2" t="n">
        <v>-0.005758130156492882</v>
      </c>
    </row>
    <row r="13">
      <c r="A13" t="n">
        <v>100</v>
      </c>
      <c r="B13" t="inlineStr">
        <is>
          <t>Battlemaster Autoloader Reflector</t>
        </is>
      </c>
      <c r="C13" t="n">
        <v>950</v>
      </c>
      <c r="D13" t="n">
        <v>961.0369267779134</v>
      </c>
      <c r="E13" t="n">
        <v>11.03692677791344</v>
      </c>
      <c r="F13" s="2" t="n">
        <v>0.01161781766096151</v>
      </c>
    </row>
    <row r="14">
      <c r="A14" t="n">
        <v>100</v>
      </c>
      <c r="B14" t="inlineStr">
        <is>
          <t>Battlemaster Nuclear Shells</t>
        </is>
      </c>
      <c r="C14" t="n">
        <v>950</v>
      </c>
      <c r="D14" t="n">
        <v>948.1760814813466</v>
      </c>
      <c r="E14" t="n">
        <v>-1.823918518653386</v>
      </c>
      <c r="F14" s="2" t="n">
        <v>-0.001919914230161459</v>
      </c>
    </row>
    <row r="15">
      <c r="A15" t="n">
        <v>100</v>
      </c>
      <c r="B15" t="inlineStr">
        <is>
          <t>Battlemaster Nuclear Shells PDL</t>
        </is>
      </c>
      <c r="C15" t="n">
        <v>1600</v>
      </c>
      <c r="D15" t="n">
        <v>1590.786991749611</v>
      </c>
      <c r="E15" t="n">
        <v>-9.213008250388611</v>
      </c>
      <c r="F15" s="2" t="n">
        <v>-0.005758130156492882</v>
      </c>
    </row>
    <row r="16">
      <c r="A16" t="n">
        <v>100</v>
      </c>
      <c r="B16" t="inlineStr">
        <is>
          <t>Battlemaster Nuclear Shells Reflector</t>
        </is>
      </c>
      <c r="C16" t="n">
        <v>950</v>
      </c>
      <c r="D16" t="n">
        <v>961.0369267779134</v>
      </c>
      <c r="E16" t="n">
        <v>11.03692677791344</v>
      </c>
      <c r="F16" s="2" t="n">
        <v>0.01161781766096151</v>
      </c>
    </row>
    <row r="17">
      <c r="A17" t="n">
        <v>100</v>
      </c>
      <c r="B17" t="inlineStr">
        <is>
          <t>Battlemaster Mass Production</t>
        </is>
      </c>
      <c r="C17" t="n">
        <v>600</v>
      </c>
      <c r="D17" t="n">
        <v>587.8</v>
      </c>
      <c r="E17" t="n">
        <v>-12.20000000000005</v>
      </c>
      <c r="F17" s="2" t="n">
        <v>-0.02033333333333341</v>
      </c>
    </row>
    <row r="18">
      <c r="A18" t="n">
        <v>100</v>
      </c>
      <c r="B18" t="inlineStr">
        <is>
          <t>Battlemaster Mass Production PDL</t>
        </is>
      </c>
      <c r="C18" t="n">
        <v>1000</v>
      </c>
      <c r="D18" t="n">
        <v>1025.450299034223</v>
      </c>
      <c r="E18" t="n">
        <v>25.45029903422346</v>
      </c>
      <c r="F18" s="2" t="n">
        <v>0.02545029903422346</v>
      </c>
    </row>
    <row r="19">
      <c r="A19" t="n">
        <v>100</v>
      </c>
      <c r="B19" t="inlineStr">
        <is>
          <t>Battlemaster Mass Production Reflector</t>
        </is>
      </c>
      <c r="C19" t="n">
        <v>600</v>
      </c>
      <c r="D19" t="n">
        <v>569.5112519947143</v>
      </c>
      <c r="E19" t="n">
        <v>-30.48874800528574</v>
      </c>
      <c r="F19" s="2" t="n">
        <v>-0.05081458000880957</v>
      </c>
    </row>
    <row r="20">
      <c r="A20" t="n">
        <v>200</v>
      </c>
      <c r="B20" t="inlineStr">
        <is>
          <t>Battlemaster Autoloader</t>
        </is>
      </c>
      <c r="C20" t="n">
        <v>950</v>
      </c>
      <c r="D20" t="n">
        <v>949.0610432547052</v>
      </c>
      <c r="E20" t="n">
        <v>-0.9389567452948313</v>
      </c>
      <c r="F20" s="2" t="n">
        <v>-0.0009883755213629802</v>
      </c>
    </row>
    <row r="21">
      <c r="A21" t="n">
        <v>200</v>
      </c>
      <c r="B21" t="inlineStr">
        <is>
          <t>Battlemaster Autoloader PDL</t>
        </is>
      </c>
      <c r="C21" t="n">
        <v>1600</v>
      </c>
      <c r="D21" t="n">
        <v>1580.958350820251</v>
      </c>
      <c r="E21" t="n">
        <v>-19.04164917974867</v>
      </c>
      <c r="F21" s="2" t="n">
        <v>-0.01190103073734292</v>
      </c>
    </row>
    <row r="22">
      <c r="A22" t="n">
        <v>200</v>
      </c>
      <c r="B22" t="inlineStr">
        <is>
          <t>Battlemaster Autoloader Reflector</t>
        </is>
      </c>
      <c r="C22" t="n">
        <v>950</v>
      </c>
      <c r="D22" t="n">
        <v>969.9806059327902</v>
      </c>
      <c r="E22" t="n">
        <v>19.98060593279024</v>
      </c>
      <c r="F22" s="2" t="n">
        <v>0.02103221677135815</v>
      </c>
    </row>
    <row r="23">
      <c r="A23" t="n">
        <v>200</v>
      </c>
      <c r="B23" t="inlineStr">
        <is>
          <t>Battlemaster Nuclear Shells</t>
        </is>
      </c>
      <c r="C23" t="n">
        <v>950</v>
      </c>
      <c r="D23" t="n">
        <v>949.0610432547052</v>
      </c>
      <c r="E23" t="n">
        <v>-0.9389567452948313</v>
      </c>
      <c r="F23" s="2" t="n">
        <v>-0.0009883755213629802</v>
      </c>
    </row>
    <row r="24">
      <c r="A24" t="n">
        <v>200</v>
      </c>
      <c r="B24" t="inlineStr">
        <is>
          <t>Battlemaster Nuclear Shells PDL</t>
        </is>
      </c>
      <c r="C24" t="n">
        <v>1600</v>
      </c>
      <c r="D24" t="n">
        <v>1580.958350820251</v>
      </c>
      <c r="E24" t="n">
        <v>-19.04164917974867</v>
      </c>
      <c r="F24" s="2" t="n">
        <v>-0.01190103073734292</v>
      </c>
    </row>
    <row r="25">
      <c r="A25" t="n">
        <v>200</v>
      </c>
      <c r="B25" t="inlineStr">
        <is>
          <t>Battlemaster Nuclear Shells Reflector</t>
        </is>
      </c>
      <c r="C25" t="n">
        <v>950</v>
      </c>
      <c r="D25" t="n">
        <v>969.9806059327902</v>
      </c>
      <c r="E25" t="n">
        <v>19.98060593279024</v>
      </c>
      <c r="F25" s="2" t="n">
        <v>0.02103221677135815</v>
      </c>
    </row>
    <row r="26">
      <c r="A26" t="n">
        <v>200</v>
      </c>
      <c r="B26" t="inlineStr">
        <is>
          <t>Battlemaster Mass Production</t>
        </is>
      </c>
      <c r="C26" t="n">
        <v>600</v>
      </c>
      <c r="D26" t="n">
        <v>571.4000000000001</v>
      </c>
      <c r="E26" t="n">
        <v>-28.59999999999991</v>
      </c>
      <c r="F26" s="2" t="n">
        <v>-0.04766666666666652</v>
      </c>
    </row>
    <row r="27">
      <c r="A27" t="n">
        <v>200</v>
      </c>
      <c r="B27" t="inlineStr">
        <is>
          <t>Battlemaster Mass Production PDL</t>
        </is>
      </c>
      <c r="C27" t="n">
        <v>1000</v>
      </c>
      <c r="D27" t="n">
        <v>1046.900613743224</v>
      </c>
      <c r="E27" t="n">
        <v>46.90061374322386</v>
      </c>
      <c r="F27" s="2" t="n">
        <v>0.04690061374322386</v>
      </c>
    </row>
    <row r="28">
      <c r="A28" t="n">
        <v>200</v>
      </c>
      <c r="B28" t="inlineStr">
        <is>
          <t>Battlemaster Mass Production Reflector</t>
        </is>
      </c>
      <c r="C28" t="n">
        <v>600</v>
      </c>
      <c r="D28" t="n">
        <v>550.7866848946053</v>
      </c>
      <c r="E28" t="n">
        <v>-49.21331510539471</v>
      </c>
      <c r="F28" s="2" t="n">
        <v>-0.08202219184232452</v>
      </c>
    </row>
    <row r="29">
      <c r="A29" t="n">
        <v>300</v>
      </c>
      <c r="B29" t="inlineStr">
        <is>
          <t>Battlemaster Autoloader</t>
        </is>
      </c>
      <c r="C29" t="n">
        <v>950</v>
      </c>
      <c r="D29" t="n">
        <v>952.6328407160875</v>
      </c>
      <c r="E29" t="n">
        <v>2.632840716087458</v>
      </c>
      <c r="F29" s="2" t="n">
        <v>0.002771411280092061</v>
      </c>
    </row>
    <row r="30">
      <c r="A30" t="n">
        <v>300</v>
      </c>
      <c r="B30" t="inlineStr">
        <is>
          <t>Battlemaster Autoloader PDL</t>
        </is>
      </c>
      <c r="C30" t="n">
        <v>1600</v>
      </c>
      <c r="D30" t="n">
        <v>1569.882009000415</v>
      </c>
      <c r="E30" t="n">
        <v>-30.11799099958466</v>
      </c>
      <c r="F30" s="2" t="n">
        <v>-0.01882374437474042</v>
      </c>
    </row>
    <row r="31">
      <c r="A31" t="n">
        <v>300</v>
      </c>
      <c r="B31" t="inlineStr">
        <is>
          <t>Battlemaster Autoloader Reflector</t>
        </is>
      </c>
      <c r="C31" t="n">
        <v>950</v>
      </c>
      <c r="D31" t="n">
        <v>977.4851502909269</v>
      </c>
      <c r="E31" t="n">
        <v>27.48515029092687</v>
      </c>
      <c r="F31" s="2" t="n">
        <v>0.02893173714834407</v>
      </c>
    </row>
    <row r="32">
      <c r="A32" t="n">
        <v>300</v>
      </c>
      <c r="B32" t="inlineStr">
        <is>
          <t>Battlemaster Nuclear Shells</t>
        </is>
      </c>
      <c r="C32" t="n">
        <v>950</v>
      </c>
      <c r="D32" t="n">
        <v>952.6328407160875</v>
      </c>
      <c r="E32" t="n">
        <v>2.632840716087458</v>
      </c>
      <c r="F32" s="2" t="n">
        <v>0.002771411280092061</v>
      </c>
    </row>
    <row r="33">
      <c r="A33" t="n">
        <v>300</v>
      </c>
      <c r="B33" t="inlineStr">
        <is>
          <t>Battlemaster Nuclear Shells PDL</t>
        </is>
      </c>
      <c r="C33" t="n">
        <v>1600</v>
      </c>
      <c r="D33" t="n">
        <v>1569.882009000415</v>
      </c>
      <c r="E33" t="n">
        <v>-30.11799099958466</v>
      </c>
      <c r="F33" s="2" t="n">
        <v>-0.01882374437474042</v>
      </c>
    </row>
    <row r="34">
      <c r="A34" t="n">
        <v>300</v>
      </c>
      <c r="B34" t="inlineStr">
        <is>
          <t>Battlemaster Nuclear Shells Reflector</t>
        </is>
      </c>
      <c r="C34" t="n">
        <v>950</v>
      </c>
      <c r="D34" t="n">
        <v>977.4851502909269</v>
      </c>
      <c r="E34" t="n">
        <v>27.48515029092687</v>
      </c>
      <c r="F34" s="2" t="n">
        <v>0.02893173714834407</v>
      </c>
    </row>
    <row r="35">
      <c r="A35" t="n">
        <v>300</v>
      </c>
      <c r="B35" t="inlineStr">
        <is>
          <t>Battlemaster Mass Production</t>
        </is>
      </c>
      <c r="C35" t="n">
        <v>600</v>
      </c>
      <c r="D35" t="n">
        <v>548.35</v>
      </c>
      <c r="E35" t="n">
        <v>-51.64999999999998</v>
      </c>
      <c r="F35" s="2" t="n">
        <v>-0.08608333333333329</v>
      </c>
    </row>
    <row r="36">
      <c r="A36" t="n">
        <v>300</v>
      </c>
      <c r="B36" t="inlineStr">
        <is>
          <t>Battlemaster Mass Production PDL</t>
        </is>
      </c>
      <c r="C36" t="n">
        <v>1000</v>
      </c>
      <c r="D36" t="n">
        <v>1067.453507277905</v>
      </c>
      <c r="E36" t="n">
        <v>67.45350727790492</v>
      </c>
      <c r="F36" s="2" t="n">
        <v>0.06745350727790492</v>
      </c>
    </row>
    <row r="37">
      <c r="A37" t="n">
        <v>300</v>
      </c>
      <c r="B37" t="inlineStr">
        <is>
          <t>Battlemaster Mass Production Reflector</t>
        </is>
      </c>
      <c r="C37" t="n">
        <v>600</v>
      </c>
      <c r="D37" t="n">
        <v>538.4431124503316</v>
      </c>
      <c r="E37" t="n">
        <v>-61.55688754966843</v>
      </c>
      <c r="F37" s="2" t="n">
        <v>-0.1025948125827807</v>
      </c>
    </row>
    <row r="38">
      <c r="A38" t="n">
        <v>400</v>
      </c>
      <c r="B38" t="inlineStr">
        <is>
          <t>Battlemaster Autoloader</t>
        </is>
      </c>
      <c r="C38" t="n">
        <v>950</v>
      </c>
      <c r="D38" t="n">
        <v>959.2838771511956</v>
      </c>
      <c r="E38" t="n">
        <v>9.283877151195611</v>
      </c>
      <c r="F38" s="2" t="n">
        <v>0.009772502264416432</v>
      </c>
    </row>
    <row r="39">
      <c r="A39" t="n">
        <v>400</v>
      </c>
      <c r="B39" t="inlineStr">
        <is>
          <t>Battlemaster Autoloader PDL</t>
        </is>
      </c>
      <c r="C39" t="n">
        <v>1600</v>
      </c>
      <c r="D39" t="n">
        <v>1557.466328601762</v>
      </c>
      <c r="E39" t="n">
        <v>-42.53367139823786</v>
      </c>
      <c r="F39" s="2" t="n">
        <v>-0.02658354462389866</v>
      </c>
    </row>
    <row r="40">
      <c r="A40" t="n">
        <v>400</v>
      </c>
      <c r="B40" t="inlineStr">
        <is>
          <t>Battlemaster Autoloader Reflector</t>
        </is>
      </c>
      <c r="C40" t="n">
        <v>950</v>
      </c>
      <c r="D40" t="n">
        <v>983.2497942551004</v>
      </c>
      <c r="E40" t="n">
        <v>33.24979425510037</v>
      </c>
      <c r="F40" s="2" t="n">
        <v>0.03499978342642144</v>
      </c>
    </row>
    <row r="41">
      <c r="A41" t="n">
        <v>400</v>
      </c>
      <c r="B41" t="inlineStr">
        <is>
          <t>Battlemaster Nuclear Shells</t>
        </is>
      </c>
      <c r="C41" t="n">
        <v>950</v>
      </c>
      <c r="D41" t="n">
        <v>959.2838771511956</v>
      </c>
      <c r="E41" t="n">
        <v>9.283877151195611</v>
      </c>
      <c r="F41" s="2" t="n">
        <v>0.009772502264416432</v>
      </c>
    </row>
    <row r="42">
      <c r="A42" t="n">
        <v>400</v>
      </c>
      <c r="B42" t="inlineStr">
        <is>
          <t>Battlemaster Nuclear Shells PDL</t>
        </is>
      </c>
      <c r="C42" t="n">
        <v>1600</v>
      </c>
      <c r="D42" t="n">
        <v>1557.466328601762</v>
      </c>
      <c r="E42" t="n">
        <v>-42.53367139823786</v>
      </c>
      <c r="F42" s="2" t="n">
        <v>-0.02658354462389866</v>
      </c>
    </row>
    <row r="43">
      <c r="A43" t="n">
        <v>400</v>
      </c>
      <c r="B43" t="inlineStr">
        <is>
          <t>Battlemaster Nuclear Shells Reflector</t>
        </is>
      </c>
      <c r="C43" t="n">
        <v>950</v>
      </c>
      <c r="D43" t="n">
        <v>983.2497942551004</v>
      </c>
      <c r="E43" t="n">
        <v>33.24979425510037</v>
      </c>
      <c r="F43" s="2" t="n">
        <v>0.03499978342642144</v>
      </c>
    </row>
    <row r="44">
      <c r="A44" t="n">
        <v>400</v>
      </c>
      <c r="B44" t="inlineStr">
        <is>
          <t>Battlemaster Mass Production</t>
        </is>
      </c>
      <c r="C44" t="n">
        <v>600</v>
      </c>
      <c r="D44" t="n">
        <v>520.55</v>
      </c>
      <c r="E44" t="n">
        <v>-79.45000000000005</v>
      </c>
      <c r="F44" s="2" t="n">
        <v>-0.1324166666666667</v>
      </c>
    </row>
    <row r="45">
      <c r="A45" t="n">
        <v>400</v>
      </c>
      <c r="B45" t="inlineStr">
        <is>
          <t>Battlemaster Mass Production PDL</t>
        </is>
      </c>
      <c r="C45" t="n">
        <v>1000</v>
      </c>
      <c r="D45" t="n">
        <v>1087.788795455599</v>
      </c>
      <c r="E45" t="n">
        <v>87.78879545559903</v>
      </c>
      <c r="F45" s="2" t="n">
        <v>0.08778879545559903</v>
      </c>
    </row>
    <row r="46">
      <c r="A46" t="n">
        <v>400</v>
      </c>
      <c r="B46" t="inlineStr">
        <is>
          <t>Battlemaster Mass Production Reflector</t>
        </is>
      </c>
      <c r="C46" t="n">
        <v>600</v>
      </c>
      <c r="D46" t="n">
        <v>531.3729736736836</v>
      </c>
      <c r="E46" t="n">
        <v>-68.62702632631635</v>
      </c>
      <c r="F46" s="2" t="n">
        <v>-0.1143783772105273</v>
      </c>
    </row>
    <row r="47">
      <c r="A47" t="n">
        <v>600</v>
      </c>
      <c r="B47" t="inlineStr">
        <is>
          <t>Battlemaster Autoloader</t>
        </is>
      </c>
      <c r="C47" t="n">
        <v>950</v>
      </c>
      <c r="D47" t="n">
        <v>900.0000000035816</v>
      </c>
      <c r="E47" t="n">
        <v>-49.99999999641841</v>
      </c>
      <c r="F47" s="2" t="n">
        <v>-0.05263157894359832</v>
      </c>
    </row>
    <row r="48">
      <c r="A48" t="n">
        <v>600</v>
      </c>
      <c r="B48" t="inlineStr">
        <is>
          <t>Battlemaster Autoloader PDL</t>
        </is>
      </c>
      <c r="C48" t="n">
        <v>1600</v>
      </c>
      <c r="D48" t="n">
        <v>1583.333333334527</v>
      </c>
      <c r="E48" t="n">
        <v>-16.6666666654728</v>
      </c>
      <c r="F48" s="2" t="n">
        <v>-0.0104166666659205</v>
      </c>
    </row>
    <row r="49">
      <c r="A49" t="n">
        <v>600</v>
      </c>
      <c r="B49" t="inlineStr">
        <is>
          <t>Battlemaster Autoloader Reflector</t>
        </is>
      </c>
      <c r="C49" t="n">
        <v>950</v>
      </c>
      <c r="D49" t="n">
        <v>1016.666666667861</v>
      </c>
      <c r="E49" t="n">
        <v>66.66666666786068</v>
      </c>
      <c r="F49" s="2" t="n">
        <v>0.07017543859774808</v>
      </c>
    </row>
    <row r="50">
      <c r="A50" t="n">
        <v>600</v>
      </c>
      <c r="B50" t="inlineStr">
        <is>
          <t>Battlemaster Nuclear Shells</t>
        </is>
      </c>
      <c r="C50" t="n">
        <v>950</v>
      </c>
      <c r="D50" t="n">
        <v>900.0000000035816</v>
      </c>
      <c r="E50" t="n">
        <v>-49.99999999641841</v>
      </c>
      <c r="F50" s="2" t="n">
        <v>-0.05263157894359832</v>
      </c>
    </row>
    <row r="51">
      <c r="A51" t="n">
        <v>600</v>
      </c>
      <c r="B51" t="inlineStr">
        <is>
          <t>Battlemaster Nuclear Shells PDL</t>
        </is>
      </c>
      <c r="C51" t="n">
        <v>1600</v>
      </c>
      <c r="D51" t="n">
        <v>1583.333333334527</v>
      </c>
      <c r="E51" t="n">
        <v>-16.6666666654728</v>
      </c>
      <c r="F51" s="2" t="n">
        <v>-0.0104166666659205</v>
      </c>
    </row>
    <row r="52">
      <c r="A52" t="n">
        <v>600</v>
      </c>
      <c r="B52" t="inlineStr">
        <is>
          <t>Battlemaster Nuclear Shells Reflector</t>
        </is>
      </c>
      <c r="C52" t="n">
        <v>950</v>
      </c>
      <c r="D52" t="n">
        <v>1016.666666667861</v>
      </c>
      <c r="E52" t="n">
        <v>66.66666666786068</v>
      </c>
      <c r="F52" s="2" t="n">
        <v>0.07017543859774808</v>
      </c>
    </row>
    <row r="53">
      <c r="A53" t="n">
        <v>600</v>
      </c>
      <c r="B53" t="inlineStr">
        <is>
          <t>Battlemaster Mass Production</t>
        </is>
      </c>
      <c r="C53" t="n">
        <v>600</v>
      </c>
      <c r="D53" t="n">
        <v>350</v>
      </c>
      <c r="E53" t="n">
        <v>-250</v>
      </c>
      <c r="F53" s="2" t="n">
        <v>-0.4166666666666667</v>
      </c>
    </row>
    <row r="54">
      <c r="A54" t="n">
        <v>600</v>
      </c>
      <c r="B54" t="inlineStr">
        <is>
          <t>Battlemaster Mass Production PDL</t>
        </is>
      </c>
      <c r="C54" t="n">
        <v>1000</v>
      </c>
      <c r="D54" t="n">
        <v>1033.333333330946</v>
      </c>
      <c r="E54" t="n">
        <v>33.33333333094561</v>
      </c>
      <c r="F54" s="2" t="n">
        <v>0.0333333333309456</v>
      </c>
    </row>
    <row r="55">
      <c r="A55" t="n">
        <v>600</v>
      </c>
      <c r="B55" t="inlineStr">
        <is>
          <t>Battlemaster Mass Production Reflector</t>
        </is>
      </c>
      <c r="C55" t="n">
        <v>600</v>
      </c>
      <c r="D55" t="n">
        <v>466.666666664279</v>
      </c>
      <c r="E55" t="n">
        <v>-133.333333335721</v>
      </c>
      <c r="F55" s="2" t="n">
        <v>-0.2222222222262017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2026-09-27T10:40:53Z</dcterms:created>
  <dcterms:modified xsi:type="dcterms:W3CDTF">2026-09-27T10:40:54Z</dcterms:modified>
</cp:coreProperties>
</file>